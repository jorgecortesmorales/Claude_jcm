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dice" sheetId="1" state="visible" r:id="rId1"/>
    <sheet xmlns:r="http://schemas.openxmlformats.org/officeDocument/2006/relationships" name="01 Bases de datos" sheetId="2" state="visible" r:id="rId2"/>
    <sheet xmlns:r="http://schemas.openxmlformats.org/officeDocument/2006/relationships" name="02 Catalogo de calculos" sheetId="3" state="visible" r:id="rId3"/>
    <sheet xmlns:r="http://schemas.openxmlformats.org/officeDocument/2006/relationships" name="07 HHI numeradores" sheetId="4" state="visible" r:id="rId4"/>
    <sheet xmlns:r="http://schemas.openxmlformats.org/officeDocument/2006/relationships" name="08 HHI serie" sheetId="5" state="visible" r:id="rId5"/>
    <sheet xmlns:r="http://schemas.openxmlformats.org/officeDocument/2006/relationships" name="09 CCV" sheetId="6" state="visible" r:id="rId6"/>
    <sheet xmlns:r="http://schemas.openxmlformats.org/officeDocument/2006/relationships" name="10 Precios" sheetId="7" state="visible" r:id="rId7"/>
    <sheet xmlns:r="http://schemas.openxmlformats.org/officeDocument/2006/relationships" name="11 Peso bloque prod" sheetId="8" state="visible" r:id="rId8"/>
    <sheet xmlns:r="http://schemas.openxmlformats.org/officeDocument/2006/relationships" name="12 Peso bloque X" sheetId="9" state="visible" r:id="rId9"/>
    <sheet xmlns:r="http://schemas.openxmlformats.org/officeDocument/2006/relationships" name="13 Peso bloque PIB" sheetId="10" state="visible" r:id="rId10"/>
    <sheet xmlns:r="http://schemas.openxmlformats.org/officeDocument/2006/relationships" name="14 MIP encadenam" sheetId="11" state="visible" r:id="rId11"/>
    <sheet xmlns:r="http://schemas.openxmlformats.org/officeDocument/2006/relationships" name="15 MIP eslabones" sheetId="12" state="visible" r:id="rId12"/>
    <sheet xmlns:r="http://schemas.openxmlformats.org/officeDocument/2006/relationships" name="16 Demanda interm" sheetId="13" state="visible" r:id="rId13"/>
    <sheet xmlns:r="http://schemas.openxmlformats.org/officeDocument/2006/relationships" name="17 Georref extraccion" sheetId="14" state="visible" r:id="rId14"/>
    <sheet xmlns:r="http://schemas.openxmlformats.org/officeDocument/2006/relationships" name="17b HHI geografico" sheetId="15" state="visible" r:id="rId15"/>
    <sheet xmlns:r="http://schemas.openxmlformats.org/officeDocument/2006/relationships" name="17c Ghosh estatal" sheetId="16" state="visible" r:id="rId16"/>
    <sheet xmlns:r="http://schemas.openxmlformats.org/officeDocument/2006/relationships" name="18 Comercio posicion" sheetId="17" state="visible" r:id="rId17"/>
    <sheet xmlns:r="http://schemas.openxmlformats.org/officeDocument/2006/relationships" name="18b Comercio por etapa" sheetId="18" state="visible" r:id="rId18"/>
    <sheet xmlns:r="http://schemas.openxmlformats.org/officeDocument/2006/relationships" name="18c Concordancia HS" sheetId="19" state="visible" r:id="rId19"/>
    <sheet xmlns:r="http://schemas.openxmlformats.org/officeDocument/2006/relationships" name="19 Comercio destinos" sheetId="20" state="visible" r:id="rId20"/>
    <sheet xmlns:r="http://schemas.openxmlformats.org/officeDocument/2006/relationships" name="19b Destinos acumulado" sheetId="21" state="visible" r:id="rId21"/>
    <sheet xmlns:r="http://schemas.openxmlformats.org/officeDocument/2006/relationships" name="20 Empresas transform" sheetId="22" state="visible" r:id="rId22"/>
    <sheet xmlns:r="http://schemas.openxmlformats.org/officeDocument/2006/relationships" name="20b Fichas por eslabon" sheetId="23" state="visible" r:id="rId23"/>
    <sheet xmlns:r="http://schemas.openxmlformats.org/officeDocument/2006/relationships" name="20c Tipologia ABCD" sheetId="24" state="visible" r:id="rId24"/>
    <sheet xmlns:r="http://schemas.openxmlformats.org/officeDocument/2006/relationships" name="21 ICIO comparacion" sheetId="25" state="visible" r:id="rId25"/>
    <sheet xmlns:r="http://schemas.openxmlformats.org/officeDocument/2006/relationships" name="21b ICIO DVA" sheetId="26" state="visible" r:id="rId26"/>
    <sheet xmlns:r="http://schemas.openxmlformats.org/officeDocument/2006/relationships" name="22 Criticidad" sheetId="27" state="visible" r:id="rId27"/>
    <sheet xmlns:r="http://schemas.openxmlformats.org/officeDocument/2006/relationships" name="23 HEM nacional" sheetId="28" state="visible" r:id="rId28"/>
    <sheet xmlns:r="http://schemas.openxmlformats.org/officeDocument/2006/relationships" name="24 HEM estata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9"/>
    </font>
    <font>
      <b val="1"/>
      <color rgb="00FFFFFF"/>
      <sz val="10"/>
    </font>
    <font>
      <b val="1"/>
      <color rgb="002E5496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6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4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Bases de datos'!A1" TargetMode="External" Id="rId1"/><Relationship Type="http://schemas.openxmlformats.org/officeDocument/2006/relationships/hyperlink" Target="#'02 Catalogo de calculos'!A1" TargetMode="External" Id="rId2"/><Relationship Type="http://schemas.openxmlformats.org/officeDocument/2006/relationships/hyperlink" Target="#'07 HHI numeradores'!A1" TargetMode="External" Id="rId3"/><Relationship Type="http://schemas.openxmlformats.org/officeDocument/2006/relationships/hyperlink" Target="#'08 HHI serie'!A1" TargetMode="External" Id="rId4"/><Relationship Type="http://schemas.openxmlformats.org/officeDocument/2006/relationships/hyperlink" Target="#'09 CCV'!A1" TargetMode="External" Id="rId5"/><Relationship Type="http://schemas.openxmlformats.org/officeDocument/2006/relationships/hyperlink" Target="#'10 Precios'!A1" TargetMode="External" Id="rId6"/><Relationship Type="http://schemas.openxmlformats.org/officeDocument/2006/relationships/hyperlink" Target="#'11 Peso bloque prod'!A1" TargetMode="External" Id="rId7"/><Relationship Type="http://schemas.openxmlformats.org/officeDocument/2006/relationships/hyperlink" Target="#'12 Peso bloque X'!A1" TargetMode="External" Id="rId8"/><Relationship Type="http://schemas.openxmlformats.org/officeDocument/2006/relationships/hyperlink" Target="#'13 Peso bloque PIB'!A1" TargetMode="External" Id="rId9"/><Relationship Type="http://schemas.openxmlformats.org/officeDocument/2006/relationships/hyperlink" Target="#'14 MIP encadenam'!A1" TargetMode="External" Id="rId10"/><Relationship Type="http://schemas.openxmlformats.org/officeDocument/2006/relationships/hyperlink" Target="#'15 MIP eslabones'!A1" TargetMode="External" Id="rId11"/><Relationship Type="http://schemas.openxmlformats.org/officeDocument/2006/relationships/hyperlink" Target="#'16 Demanda interm'!A1" TargetMode="External" Id="rId12"/><Relationship Type="http://schemas.openxmlformats.org/officeDocument/2006/relationships/hyperlink" Target="#'17 Georref extraccion'!A1" TargetMode="External" Id="rId13"/><Relationship Type="http://schemas.openxmlformats.org/officeDocument/2006/relationships/hyperlink" Target="#'17b HHI geografico'!A1" TargetMode="External" Id="rId14"/><Relationship Type="http://schemas.openxmlformats.org/officeDocument/2006/relationships/hyperlink" Target="#'17c Ghosh estatal'!A1" TargetMode="External" Id="rId15"/><Relationship Type="http://schemas.openxmlformats.org/officeDocument/2006/relationships/hyperlink" Target="#'18 Comercio posicion'!A1" TargetMode="External" Id="rId16"/><Relationship Type="http://schemas.openxmlformats.org/officeDocument/2006/relationships/hyperlink" Target="#'18b Comercio por etapa'!A1" TargetMode="External" Id="rId17"/><Relationship Type="http://schemas.openxmlformats.org/officeDocument/2006/relationships/hyperlink" Target="#'18c Concordancia HS'!A1" TargetMode="External" Id="rId18"/><Relationship Type="http://schemas.openxmlformats.org/officeDocument/2006/relationships/hyperlink" Target="#'19 Comercio destinos'!A1" TargetMode="External" Id="rId19"/><Relationship Type="http://schemas.openxmlformats.org/officeDocument/2006/relationships/hyperlink" Target="#'19b Destinos acumulado'!A1" TargetMode="External" Id="rId20"/><Relationship Type="http://schemas.openxmlformats.org/officeDocument/2006/relationships/hyperlink" Target="#'20 Empresas transform'!A1" TargetMode="External" Id="rId21"/><Relationship Type="http://schemas.openxmlformats.org/officeDocument/2006/relationships/hyperlink" Target="#'20b Fichas por eslabon'!A1" TargetMode="External" Id="rId22"/><Relationship Type="http://schemas.openxmlformats.org/officeDocument/2006/relationships/hyperlink" Target="#'20c Tipologia ABCD'!A1" TargetMode="External" Id="rId23"/><Relationship Type="http://schemas.openxmlformats.org/officeDocument/2006/relationships/hyperlink" Target="#'21 ICIO comparacion'!A1" TargetMode="External" Id="rId24"/><Relationship Type="http://schemas.openxmlformats.org/officeDocument/2006/relationships/hyperlink" Target="#'21b ICIO DVA'!A1" TargetMode="External" Id="rId25"/><Relationship Type="http://schemas.openxmlformats.org/officeDocument/2006/relationships/hyperlink" Target="#'22 Criticidad'!A1" TargetMode="External" Id="rId26"/><Relationship Type="http://schemas.openxmlformats.org/officeDocument/2006/relationships/hyperlink" Target="#'23 HEM nacional'!A1" TargetMode="External" Id="rId27"/><Relationship Type="http://schemas.openxmlformats.org/officeDocument/2006/relationships/hyperlink" Target="#'24 HEM estatal'!A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0" customWidth="1" min="3" max="3"/>
    <col width="30" customWidth="1" min="4" max="4"/>
    <col width="32" customWidth="1" min="5" max="5"/>
  </cols>
  <sheetData>
    <row r="1" ht="24" customHeight="1">
      <c r="A1" s="1" t="inlineStr">
        <is>
          <t>Consolidado ICR - datos, calculos e indicadores</t>
        </is>
      </c>
    </row>
    <row r="2" ht="40" customHeight="1">
      <c r="A2" s="2" t="inlineStr">
        <is>
          <t>Un solo libro con (1) el inventario de bases, (2) el catalogo de todos los calculos, y (3) una hoja por bloque de indicadores. Trazabilidad: las columnas VERDES contienen la FORMULA VIVA de Excel que recomputa el indicador desde sus insumos (con una columna 'dif' que debe dar ~0); las columnas NARANJAS son resultados de algebra matricial (inversas de Leontief/Ghosh) calculados en Python y validados contra INEGI a precision de maquina (~1e-15), con su script y CSV. Ninguna cifra es un numero suelto: o se recomputa aqui, o apunta a su script. Fecha de generacion: 2026-09-28.</t>
        </is>
      </c>
    </row>
    <row r="3">
      <c r="A3" s="3" t="inlineStr">
        <is>
          <t>Hoja</t>
        </is>
      </c>
      <c r="B3" s="3" t="inlineStr">
        <is>
          <t>Contenido</t>
        </is>
      </c>
      <c r="C3" s="3" t="inlineStr">
        <is>
          <t>CSV fuente</t>
        </is>
      </c>
      <c r="D3" s="3" t="inlineStr">
        <is>
          <t>Script</t>
        </is>
      </c>
      <c r="E3" s="3" t="inlineStr">
        <is>
          <t>Tipo de trazabilidad</t>
        </is>
      </c>
    </row>
    <row r="4">
      <c r="A4" s="4" t="inlineStr">
        <is>
          <t>01 Bases de datos</t>
        </is>
      </c>
      <c r="B4" s="5" t="inlineStr">
        <is>
          <t>Inventario de todas las fuentes originales</t>
        </is>
      </c>
      <c r="C4" s="5" t="inlineStr">
        <is>
          <t>varias</t>
        </is>
      </c>
      <c r="D4" s="6" t="inlineStr">
        <is>
          <t>-</t>
        </is>
      </c>
      <c r="E4" s="5" t="inlineStr">
        <is>
          <t>Catalogo</t>
        </is>
      </c>
    </row>
    <row r="5">
      <c r="A5" s="7" t="inlineStr">
        <is>
          <t>02 Catalogo de calculos</t>
        </is>
      </c>
      <c r="B5" s="8" t="inlineStr">
        <is>
          <t>Todos los indicadores con formula, script y tipo de traza</t>
        </is>
      </c>
      <c r="C5" s="8" t="inlineStr">
        <is>
          <t>varias</t>
        </is>
      </c>
      <c r="D5" s="9" t="inlineStr">
        <is>
          <t>varios</t>
        </is>
      </c>
      <c r="E5" s="8" t="inlineStr">
        <is>
          <t>Catalogo</t>
        </is>
      </c>
    </row>
    <row r="6">
      <c r="A6" s="4" t="inlineStr">
        <is>
          <t>07 HHI numeradores</t>
        </is>
      </c>
      <c r="B6" s="5" t="inlineStr">
        <is>
          <t>Participaciones empresa/mina con fuente y pagina; share recomputado</t>
        </is>
      </c>
      <c r="C6" s="5" t="inlineStr">
        <is>
          <t>hhi_numeradores.csv</t>
        </is>
      </c>
      <c r="D6" s="6" t="inlineStr">
        <is>
          <t>hhi_2024.py / hhi_1994_2003.py</t>
        </is>
      </c>
      <c r="E6" s="5" t="inlineStr">
        <is>
          <t>Formula viva (share)</t>
        </is>
      </c>
    </row>
    <row r="7">
      <c r="A7" s="7" t="inlineStr">
        <is>
          <t>08 HHI serie</t>
        </is>
      </c>
      <c r="B7" s="8" t="inlineStr">
        <is>
          <t>HHI por mineral-anio con metodo/cobertura por fila</t>
        </is>
      </c>
      <c r="C7" s="8" t="inlineStr">
        <is>
          <t>hhi_consolidado.csv</t>
        </is>
      </c>
      <c r="D7" s="9" t="inlineStr">
        <is>
          <t>hhi_consolidado_2004_2020.py, hhi_2024.py, hhi_1994_2003.py</t>
        </is>
      </c>
      <c r="E7" s="8" t="inlineStr">
        <is>
          <t>Resultado + metodo por fila</t>
        </is>
      </c>
    </row>
    <row r="8">
      <c r="A8" s="4" t="inlineStr">
        <is>
          <t>09 CCV</t>
        </is>
      </c>
      <c r="B8" s="5" t="inlineStr">
        <is>
          <t>CCV por mineral-anio; numerador y denominador con recomputo</t>
        </is>
      </c>
      <c r="C8" s="5" t="inlineStr">
        <is>
          <t>ccv_serie.csv</t>
        </is>
      </c>
      <c r="D8" s="6" t="inlineStr">
        <is>
          <t>ccv_download.py, ccv_calc.py, ccv_fill_gaps.py</t>
        </is>
      </c>
      <c r="E8" s="5" t="inlineStr">
        <is>
          <t>Formula viva</t>
        </is>
      </c>
    </row>
    <row r="9">
      <c r="A9" s="7" t="inlineStr">
        <is>
          <t>10 Precios</t>
        </is>
      </c>
      <c r="B9" s="8" t="inlineStr">
        <is>
          <t>Precio anual de referencia por mineral con metodo de empalme</t>
        </is>
      </c>
      <c r="C9" s="8" t="inlineStr">
        <is>
          <t>precios_usgs_anual_empalmado.csv</t>
        </is>
      </c>
      <c r="D9" s="9" t="inlineStr">
        <is>
          <t>(extraccion USGS)</t>
        </is>
      </c>
      <c r="E9" s="8" t="inlineStr">
        <is>
          <t>Resultado + procedencia</t>
        </is>
      </c>
    </row>
    <row r="10">
      <c r="A10" s="4" t="inlineStr">
        <is>
          <t>11 Peso bloque prod</t>
        </is>
      </c>
      <c r="B10" s="5" t="inlineStr">
        <is>
          <t>Valor de produccion del bloque; V=Q*p y share recomputados</t>
        </is>
      </c>
      <c r="C10" s="5" t="inlineStr">
        <is>
          <t>peso_bloque_hist_produccion.csv</t>
        </is>
      </c>
      <c r="D10" s="6" t="inlineStr">
        <is>
          <t>peso_bloque_historico.py</t>
        </is>
      </c>
      <c r="E10" s="5" t="inlineStr">
        <is>
          <t>Formula viva</t>
        </is>
      </c>
    </row>
    <row r="11">
      <c r="A11" s="7" t="inlineStr">
        <is>
          <t>12 Peso bloque X</t>
        </is>
      </c>
      <c r="B11" s="8" t="inlineStr">
        <is>
          <t>% del bloque en exportaciones nacionales; recomputado</t>
        </is>
      </c>
      <c r="C11" s="8" t="inlineStr">
        <is>
          <t>peso_bloque_hist_exportaciones.csv</t>
        </is>
      </c>
      <c r="D11" s="9" t="inlineStr">
        <is>
          <t>peso_bloque_historico.py</t>
        </is>
      </c>
      <c r="E11" s="8" t="inlineStr">
        <is>
          <t>Formula viva</t>
        </is>
      </c>
    </row>
    <row r="12">
      <c r="A12" s="4" t="inlineStr">
        <is>
          <t>13 Peso bloque PIB</t>
        </is>
      </c>
      <c r="B12" s="5" t="inlineStr">
        <is>
          <t>PIB/VBP/empleo del bloque y participaciones; recomputado</t>
        </is>
      </c>
      <c r="C12" s="5" t="inlineStr">
        <is>
          <t>peso_bloque_mineria.csv</t>
        </is>
      </c>
      <c r="D12" s="6" t="inlineStr">
        <is>
          <t>peso_bloque.py</t>
        </is>
      </c>
      <c r="E12" s="5" t="inlineStr">
        <is>
          <t>Formula viva</t>
        </is>
      </c>
    </row>
    <row r="13">
      <c r="A13" s="7" t="inlineStr">
        <is>
          <t>14 MIP encadenam</t>
        </is>
      </c>
      <c r="B13" s="8" t="inlineStr">
        <is>
          <t>VBP, DI/VBP, Leontief/Ghosh y Rasmussen por mineral (2013/2018)</t>
        </is>
      </c>
      <c r="C13" s="8" t="inlineStr">
        <is>
          <t>mip_encadenamientos_minerales.csv</t>
        </is>
      </c>
      <c r="D13" s="9" t="inlineStr">
        <is>
          <t>mip_calc.py</t>
        </is>
      </c>
      <c r="E13" s="8" t="inlineStr">
        <is>
          <t>Resultado validado + Rasmussen formula viva</t>
        </is>
      </c>
    </row>
    <row r="14">
      <c r="A14" s="4" t="inlineStr">
        <is>
          <t>15 MIP eslabones</t>
        </is>
      </c>
      <c r="B14" s="5" t="inlineStr">
        <is>
          <t>Ghosh por eslabon (L1/L2/L3) por mineral</t>
        </is>
      </c>
      <c r="C14" s="5" t="inlineStr">
        <is>
          <t>mip_encadenamientos_eslabones.csv</t>
        </is>
      </c>
      <c r="D14" s="6" t="inlineStr">
        <is>
          <t>mip_eslabones.py</t>
        </is>
      </c>
      <c r="E14" s="5" t="inlineStr">
        <is>
          <t>Resultado validado</t>
        </is>
      </c>
    </row>
    <row r="15">
      <c r="A15" s="7" t="inlineStr">
        <is>
          <t>16 Demanda interm</t>
        </is>
      </c>
      <c r="B15" s="8" t="inlineStr">
        <is>
          <t>Top compradores domesticos por mineral; share recomputado</t>
        </is>
      </c>
      <c r="C15" s="8" t="inlineStr">
        <is>
          <t>mip_demanda_intermedia_minerales.csv</t>
        </is>
      </c>
      <c r="D15" s="9" t="inlineStr">
        <is>
          <t>mip_calc.py</t>
        </is>
      </c>
      <c r="E15" s="8" t="inlineStr">
        <is>
          <t>Formula viva</t>
        </is>
      </c>
    </row>
    <row r="16">
      <c r="A16" s="4" t="inlineStr">
        <is>
          <t>17 Georref extraccion</t>
        </is>
      </c>
      <c r="B16" s="5" t="inlineStr">
        <is>
          <t>Produccion por mineral x estado 2024 y share; recomputado</t>
        </is>
      </c>
      <c r="C16" s="5" t="inlineStr">
        <is>
          <t>georref_extraccion_mineral_estado_cuantitativo.csv</t>
        </is>
      </c>
      <c r="D16" s="6" t="inlineStr">
        <is>
          <t>georref_cuantitativo.py</t>
        </is>
      </c>
      <c r="E16" s="5" t="inlineStr">
        <is>
          <t>Formula viva</t>
        </is>
      </c>
    </row>
    <row r="17">
      <c r="A17" s="7" t="inlineStr">
        <is>
          <t>17b HHI geografico</t>
        </is>
      </c>
      <c r="B17" s="8" t="inlineStr">
        <is>
          <t>HHI geografico por mineral y co-localizacion; recomputado</t>
        </is>
      </c>
      <c r="C17" s="8" t="inlineStr">
        <is>
          <t>georref_regionalizacion.csv</t>
        </is>
      </c>
      <c r="D17" s="9" t="inlineStr">
        <is>
          <t>georref_regionalizacion.py</t>
        </is>
      </c>
      <c r="E17" s="8" t="inlineStr">
        <is>
          <t>Formula viva</t>
        </is>
      </c>
    </row>
    <row r="18">
      <c r="A18" s="4" t="inlineStr">
        <is>
          <t>17c Ghosh estatal</t>
        </is>
      </c>
      <c r="B18" s="5" t="inlineStr">
        <is>
          <t>Ghosh/fuga/peso por entidad (mineria 2018)</t>
        </is>
      </c>
      <c r="C18" s="5" t="inlineStr">
        <is>
          <t>ghosh_estatal_mineria.csv</t>
        </is>
      </c>
      <c r="D18" s="6" t="inlineStr">
        <is>
          <t>ghosh_estatal.py</t>
        </is>
      </c>
      <c r="E18" s="5" t="inlineStr">
        <is>
          <t>Resultado validado + procedencia</t>
        </is>
      </c>
    </row>
    <row r="19">
      <c r="A19" s="7" t="inlineStr">
        <is>
          <t>18 Comercio posicion</t>
        </is>
      </c>
      <c r="B19" s="8" t="inlineStr">
        <is>
          <t>Share exportado en crudo por mineral-anio; recomputado</t>
        </is>
      </c>
      <c r="C19" s="8" t="inlineStr">
        <is>
          <t>comercio_posicion_1992_2024.csv</t>
        </is>
      </c>
      <c r="D19" s="9" t="inlineStr">
        <is>
          <t>comercio_etapa_merge.py</t>
        </is>
      </c>
      <c r="E19" s="8" t="inlineStr">
        <is>
          <t>Formula viva</t>
        </is>
      </c>
    </row>
    <row r="20">
      <c r="A20" s="4" t="inlineStr">
        <is>
          <t>18b Comercio por etapa</t>
        </is>
      </c>
      <c r="B20" s="5" t="inlineStr">
        <is>
          <t>Valor de comercio por mineral/etapa/flujo/anio</t>
        </is>
      </c>
      <c r="C20" s="5" t="inlineStr">
        <is>
          <t>comercio_por_etapa_1992_2024.csv</t>
        </is>
      </c>
      <c r="D20" s="6" t="inlineStr">
        <is>
          <t>comercio_etapa_backseries.py</t>
        </is>
      </c>
      <c r="E20" s="5" t="inlineStr">
        <is>
          <t>Dato base (Comtrade)</t>
        </is>
      </c>
    </row>
    <row r="21">
      <c r="A21" s="7" t="inlineStr">
        <is>
          <t>18c Concordancia HS</t>
        </is>
      </c>
      <c r="B21" s="8" t="inlineStr">
        <is>
          <t>Asignacion HS -&gt; etapa por mineral</t>
        </is>
      </c>
      <c r="C21" s="8" t="inlineStr">
        <is>
          <t>concordancia_hs_etapa.csv</t>
        </is>
      </c>
      <c r="D21" s="9" t="inlineStr">
        <is>
          <t>comercio_etapa.py</t>
        </is>
      </c>
      <c r="E21" s="8" t="inlineStr">
        <is>
          <t>Clasificacion</t>
        </is>
      </c>
    </row>
    <row r="22">
      <c r="A22" s="4" t="inlineStr">
        <is>
          <t>19 Comercio destinos</t>
        </is>
      </c>
      <c r="B22" s="5" t="inlineStr">
        <is>
          <t>Destino principal y share China/EUA por mineral-etapa-anio</t>
        </is>
      </c>
      <c r="C22" s="5" t="inlineStr">
        <is>
          <t>comercio_destinos_serie_resumen.csv</t>
        </is>
      </c>
      <c r="D22" s="6" t="inlineStr">
        <is>
          <t>comercio_destinos_serie_resumen.py</t>
        </is>
      </c>
      <c r="E22" s="5" t="inlineStr">
        <is>
          <t>Resultado + procedencia</t>
        </is>
      </c>
    </row>
    <row r="23">
      <c r="A23" s="7" t="inlineStr">
        <is>
          <t>19b Destinos acumulado</t>
        </is>
      </c>
      <c r="B23" s="8" t="inlineStr">
        <is>
          <t>Share por destino, mineral y etapa (acumulado)</t>
        </is>
      </c>
      <c r="C23" s="8" t="inlineStr">
        <is>
          <t>comercio_destinos_mineral_etapa.csv</t>
        </is>
      </c>
      <c r="D23" s="9" t="inlineStr">
        <is>
          <t>comercio_destinos.py</t>
        </is>
      </c>
      <c r="E23" s="8" t="inlineStr">
        <is>
          <t>Resultado</t>
        </is>
      </c>
    </row>
    <row r="24">
      <c r="A24" s="4" t="inlineStr">
        <is>
          <t>20 Empresas transform</t>
        </is>
      </c>
      <c r="B24" s="5" t="inlineStr">
        <is>
          <t>19 empresas de transformacion verificadas</t>
        </is>
      </c>
      <c r="C24" s="5" t="inlineStr">
        <is>
          <t>empresas_transformacion.csv</t>
        </is>
      </c>
      <c r="D24" s="6" t="inlineStr">
        <is>
          <t>(fichado)</t>
        </is>
      </c>
      <c r="E24" s="5" t="inlineStr">
        <is>
          <t>Dato base</t>
        </is>
      </c>
    </row>
    <row r="25">
      <c r="A25" s="7" t="inlineStr">
        <is>
          <t>20b Fichas por eslabon</t>
        </is>
      </c>
      <c r="B25" s="8" t="inlineStr">
        <is>
          <t>Eslabones cuantificados por mineral</t>
        </is>
      </c>
      <c r="C25" s="8" t="inlineStr">
        <is>
          <t>cv_eslabones_cuantificado.csv</t>
        </is>
      </c>
      <c r="D25" s="9" t="inlineStr">
        <is>
          <t>cv_build.py</t>
        </is>
      </c>
      <c r="E25" s="8" t="inlineStr">
        <is>
          <t>Resultado</t>
        </is>
      </c>
    </row>
    <row r="26">
      <c r="A26" s="4" t="inlineStr">
        <is>
          <t>20c Tipologia ABCD</t>
        </is>
      </c>
      <c r="B26" s="5" t="inlineStr">
        <is>
          <t>Tipologia descriptiva de los 10 mercados</t>
        </is>
      </c>
      <c r="C26" s="5" t="inlineStr">
        <is>
          <t>cv_tipologia.csv</t>
        </is>
      </c>
      <c r="D26" s="6" t="inlineStr">
        <is>
          <t>cv_build.py</t>
        </is>
      </c>
      <c r="E26" s="5" t="inlineStr">
        <is>
          <t>Clasificacion (sintesis)</t>
        </is>
      </c>
    </row>
    <row r="27">
      <c r="A27" s="7" t="inlineStr">
        <is>
          <t>21 ICIO comparacion</t>
        </is>
      </c>
      <c r="B27" s="8" t="inlineStr">
        <is>
          <t>Ghosh/Leontief de mineria por pais (comparacion)</t>
        </is>
      </c>
      <c r="C27" s="8" t="inlineStr">
        <is>
          <t>icio_comparacion_mineria.csv</t>
        </is>
      </c>
      <c r="D27" s="9" t="inlineStr">
        <is>
          <t>icio_comparacion.py</t>
        </is>
      </c>
      <c r="E27" s="8" t="inlineStr">
        <is>
          <t>Resultado + procedencia</t>
        </is>
      </c>
    </row>
    <row r="28">
      <c r="A28" s="4" t="inlineStr">
        <is>
          <t>21b ICIO DVA</t>
        </is>
      </c>
      <c r="B28" s="5" t="inlineStr">
        <is>
          <t>DVA, crudo_share por pais/sector/anio; identidad verificada</t>
        </is>
      </c>
      <c r="C28" s="5" t="inlineStr">
        <is>
          <t>icio_dva_mineria.csv</t>
        </is>
      </c>
      <c r="D28" s="6" t="inlineStr">
        <is>
          <t>icio_dva.py</t>
        </is>
      </c>
      <c r="E28" s="5" t="inlineStr">
        <is>
          <t>Resultado + identidad formula viva</t>
        </is>
      </c>
    </row>
    <row r="29">
      <c r="A29" s="7" t="inlineStr">
        <is>
          <t>22 Criticidad</t>
        </is>
      </c>
      <c r="B29" s="8" t="inlineStr">
        <is>
          <t>Nivel de criticidad por producto/eslabon</t>
        </is>
      </c>
      <c r="C29" s="8" t="inlineStr">
        <is>
          <t>criticidad_productos.csv</t>
        </is>
      </c>
      <c r="D29" s="9" t="inlineStr">
        <is>
          <t>(fichado)</t>
        </is>
      </c>
      <c r="E29" s="8" t="inlineStr">
        <is>
          <t>Clasificacion</t>
        </is>
      </c>
    </row>
    <row r="30">
      <c r="A30" s="4" t="inlineStr">
        <is>
          <t>23 HEM nacional</t>
        </is>
      </c>
      <c r="B30" s="5" t="inlineStr">
        <is>
          <t>HEM backward/forward/total y rango por mineral (2013/2018)</t>
        </is>
      </c>
      <c r="C30" s="5" t="inlineStr">
        <is>
          <t>mip_hem_minerales.csv</t>
        </is>
      </c>
      <c r="D30" s="6" t="inlineStr">
        <is>
          <t>mip_hem.py</t>
        </is>
      </c>
      <c r="E30" s="5" t="inlineStr">
        <is>
          <t>Resultado validado + total formula viva</t>
        </is>
      </c>
    </row>
    <row r="31">
      <c r="A31" s="7" t="inlineStr">
        <is>
          <t>24 HEM estatal</t>
        </is>
      </c>
      <c r="B31" s="8" t="inlineStr">
        <is>
          <t>HEM backward/forward/total de la mineria por entidad (2018)</t>
        </is>
      </c>
      <c r="C31" s="8" t="inlineStr">
        <is>
          <t>hem_estatal_mineria.csv</t>
        </is>
      </c>
      <c r="D31" s="9" t="inlineStr">
        <is>
          <t>hem_estatal.py</t>
        </is>
      </c>
      <c r="E31" s="8" t="inlineStr">
        <is>
          <t>Resultado validado + total formula viva</t>
        </is>
      </c>
    </row>
  </sheetData>
  <mergeCells count="2">
    <mergeCell ref="A2:E2"/>
    <mergeCell ref="A1:E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14" customWidth="1" min="4" max="4"/>
    <col width="26" customWidth="1" min="5" max="5"/>
    <col width="50" customWidth="1" min="6" max="6"/>
  </cols>
  <sheetData>
    <row r="1" ht="24" customHeight="1">
      <c r="A1" s="1" t="inlineStr">
        <is>
          <t>Bases de datos utilizadas en la ICR</t>
        </is>
      </c>
    </row>
    <row r="2" ht="40" customHeight="1">
      <c r="A2" s="2" t="inlineStr">
        <is>
          <t>Inventario de todas las fuentes que alimentan los calculos. Detalle por hoja en 10 Datos/Catalogo de Bases de Datos.md. Ademas de estas bases originales, todas las hojas estan exportadas a CSV limpio en 10 Datos/raw/csv/ (40 archivos).</t>
        </is>
      </c>
    </row>
    <row r="3">
      <c r="A3" s="3" t="inlineStr">
        <is>
          <t>Bloque</t>
        </is>
      </c>
      <c r="B3" s="3" t="inlineStr">
        <is>
          <t>Fuente / archivo</t>
        </is>
      </c>
      <c r="C3" s="3" t="inlineStr">
        <is>
          <t>Contenido</t>
        </is>
      </c>
      <c r="D3" s="3" t="inlineStr">
        <is>
          <t>Periodo</t>
        </is>
      </c>
      <c r="E3" s="3" t="inlineStr">
        <is>
          <t>Utilidad</t>
        </is>
      </c>
      <c r="F3" s="3" t="inlineStr">
        <is>
          <t>Ubicacion en el repositorio</t>
        </is>
      </c>
    </row>
    <row r="4">
      <c r="A4" s="6" t="inlineStr">
        <is>
          <t>01 Criticidad</t>
        </is>
      </c>
      <c r="B4" s="5" t="inlineStr">
        <is>
          <t>USGS/Gobierno EE.UU. + Comision Europea (listas de criticidad)</t>
        </is>
      </c>
      <c r="C4" s="5" t="inlineStr">
        <is>
          <t>Clasificacion oficial de criticidad por mineral (riesgo de suministro, importancia economica)</t>
        </is>
      </c>
      <c r="D4" s="6" t="inlineStr">
        <is>
          <t>2018-2023</t>
        </is>
      </c>
      <c r="E4" s="6" t="inlineStr">
        <is>
          <t>Directa (criterio 1 del corpus)</t>
        </is>
      </c>
      <c r="F4" s="5" t="inlineStr">
        <is>
          <t>Bases Originales/01 Criticidad y Produccion Historica/1. minerales criticos.xlsx</t>
        </is>
      </c>
    </row>
    <row r="5">
      <c r="A5" s="9" t="inlineStr">
        <is>
          <t>01 Produccion hist.</t>
        </is>
      </c>
      <c r="B5" s="8" t="inlineStr">
        <is>
          <t>INEGI / SGM (hoja Produccion)</t>
        </is>
      </c>
      <c r="C5" s="8" t="inlineStr">
        <is>
          <t>Valor de produccion minera nacional, todos los minerales, MDP</t>
        </is>
      </c>
      <c r="D5" s="9" t="inlineStr">
        <is>
          <t>1998-2024</t>
        </is>
      </c>
      <c r="E5" s="9" t="inlineStr">
        <is>
          <t>Indirecta (contexto peso del bloque)</t>
        </is>
      </c>
      <c r="F5" s="8" t="inlineStr">
        <is>
          <t>idem, hoja 'Produccion'</t>
        </is>
      </c>
    </row>
    <row r="6">
      <c r="A6" s="6" t="inlineStr">
        <is>
          <t>02 Prod. y precios</t>
        </is>
      </c>
      <c r="B6" s="5" t="inlineStr">
        <is>
          <t>INEGI Banco de Indicadores</t>
        </is>
      </c>
      <c r="C6" s="5" t="inlineStr">
        <is>
          <t>Valor y volumen de produccion MENSUAL de los 10 minerales del corpus</t>
        </is>
      </c>
      <c r="D6" s="6" t="inlineStr">
        <is>
          <t>2000-2025</t>
        </is>
      </c>
      <c r="E6" s="6" t="inlineStr">
        <is>
          <t>Directa (valor de produccion, precio implicito)</t>
        </is>
      </c>
      <c r="F6" s="5" t="inlineStr">
        <is>
          <t>Bases Originales/02 Produccion y Precios Nacionales/2. produccion y precios.xlsx</t>
        </is>
      </c>
    </row>
    <row r="7">
      <c r="A7" s="9" t="inlineStr">
        <is>
          <t>03 Precios Cochilco</t>
        </is>
      </c>
      <c r="B7" s="8" t="inlineStr">
        <is>
          <t>Comision Chilena del Cobre (LME/COMEX)</t>
        </is>
      </c>
      <c r="C7" s="8" t="inlineStr">
        <is>
          <t>Precios internacionales mensuales, USD, 5 metales (Cu, Ag, Au, Pb, Zn)</t>
        </is>
      </c>
      <c r="D7" s="9" t="inlineStr">
        <is>
          <t>1960-2024</t>
        </is>
      </c>
      <c r="E7" s="9" t="inlineStr">
        <is>
          <t>Directa (validacion de precios)</t>
        </is>
      </c>
      <c r="F7" s="8" t="inlineStr">
        <is>
          <t>Bases Originales/03 Precios Internacionales Cochilco/ (5 archivos)</t>
        </is>
      </c>
    </row>
    <row r="8">
      <c r="A8" s="6" t="inlineStr">
        <is>
          <t>04 Comercio ext.</t>
        </is>
      </c>
      <c r="B8" s="5" t="inlineStr">
        <is>
          <t>CAMIMEX, Informe Anual (extraccion manual de PDF)</t>
        </is>
      </c>
      <c r="C8" s="5" t="inlineStr">
        <is>
          <t>Exportaciones/importaciones/balanza por producto, USD</t>
        </is>
      </c>
      <c r="D8" s="6" t="inlineStr">
        <is>
          <t>2015-2024</t>
        </is>
      </c>
      <c r="E8" s="6" t="inlineStr">
        <is>
          <t>Directa (CCV tramo reciente)</t>
        </is>
      </c>
      <c r="F8" s="5" t="inlineStr">
        <is>
          <t>Bases Originales/04 Comercio Exterior/4. balanza comercial.xlsx</t>
        </is>
      </c>
    </row>
    <row r="9">
      <c r="A9" s="9" t="inlineStr">
        <is>
          <t>05 Reservas mundo</t>
        </is>
      </c>
      <c r="B9" s="8" t="inlineStr">
        <is>
          <t>USGS / fuentes mundiales</t>
        </is>
      </c>
      <c r="C9" s="8" t="inlineStr">
        <is>
          <t>Produccion y reservas por pais y mineral, % mundial (una foto)</t>
        </is>
      </c>
      <c r="D9" s="9" t="inlineStr">
        <is>
          <t>corte unico</t>
        </is>
      </c>
      <c r="E9" s="9" t="inlineStr">
        <is>
          <t>Indirecta (posicion mundial de Mexico)</t>
        </is>
      </c>
      <c r="F9" s="8" t="inlineStr">
        <is>
          <t>Bases Originales/05 Reservas y Produccion Mundial/3. reservas y produccion mundial.xlsx</t>
        </is>
      </c>
    </row>
    <row r="10">
      <c r="A10" s="6" t="inlineStr">
        <is>
          <t>06 USGS DS-140</t>
        </is>
      </c>
      <c r="B10" s="5" t="inlineStr">
        <is>
          <t>USGS Historical Statistics for Mineral and Material Commodities</t>
        </is>
      </c>
      <c r="C10" s="5" t="inlineStr">
        <is>
          <t>Valor unitario anual (USD/t nominal y constante 1998), desde 1900</t>
        </is>
      </c>
      <c r="D10" s="6" t="inlineStr">
        <is>
          <t>1900-2019</t>
        </is>
      </c>
      <c r="E10" s="6" t="inlineStr">
        <is>
          <t>Directa (denominador CCV, precios de referencia)</t>
        </is>
      </c>
      <c r="F10" s="5" t="inlineStr">
        <is>
          <t>Bases Originales/06 USGS DS-140/ (10 archivos ds140-*.xlsx)</t>
        </is>
      </c>
    </row>
    <row r="11">
      <c r="A11" s="9" t="inlineStr">
        <is>
          <t>07 USGS MCS/MYB</t>
        </is>
      </c>
      <c r="B11" s="8" t="inlineStr">
        <is>
          <t>USGS Mineral Commodity Summaries + Minerals Yearbook Mexico</t>
        </is>
      </c>
      <c r="C11" s="8" t="inlineStr">
        <is>
          <t>Estructura de la industria (empresas, capacidades) y produccion nacional; base del HHI 1994-2003</t>
        </is>
      </c>
      <c r="D11" s="9" t="inlineStr">
        <is>
          <t>1994-2024</t>
        </is>
      </c>
      <c r="E11" s="9" t="inlineStr">
        <is>
          <t>Directa (HHI regimen, estructura industria)</t>
        </is>
      </c>
      <c r="F11" s="8" t="inlineStr">
        <is>
          <t>Bases Originales/07 USGS MCS/ (incl. MYB Mexico 1994-2003)</t>
        </is>
      </c>
    </row>
    <row r="12">
      <c r="A12" s="6" t="inlineStr">
        <is>
          <t>08 CAMIMEX</t>
        </is>
      </c>
      <c r="B12" s="5" t="inlineStr">
        <is>
          <t>Camara Minera de Mexico, Informes Anuales</t>
        </is>
      </c>
      <c r="C12" s="5" t="inlineStr">
        <is>
          <t>Produccion por mina/empresa y total nacional; base del HHI 2004-2024</t>
        </is>
      </c>
      <c r="D12" s="6" t="inlineStr">
        <is>
          <t>2004-2025</t>
        </is>
      </c>
      <c r="E12" s="6" t="inlineStr">
        <is>
          <t>Directa (numeradores HHI)</t>
        </is>
      </c>
      <c r="F12" s="5" t="inlineStr">
        <is>
          <t>Bases Originales/08 CAMIMEX Informes Anuales/</t>
        </is>
      </c>
    </row>
    <row r="13">
      <c r="A13" s="9" t="inlineStr">
        <is>
          <t>09 SGM Anuarios</t>
        </is>
      </c>
      <c r="B13" s="8" t="inlineStr">
        <is>
          <t>Servicio Geologico Mexicano, Anuario Estadistico de la Mineria</t>
        </is>
      </c>
      <c r="C13" s="8" t="inlineStr">
        <is>
          <t>Produccion por entidad federativa (georreferenciacion) y valor minero por estado</t>
        </is>
      </c>
      <c r="D13" s="9" t="inlineStr">
        <is>
          <t>2019-2025</t>
        </is>
      </c>
      <c r="E13" s="9" t="inlineStr">
        <is>
          <t>Directa (georref cuantitativa 2024)</t>
        </is>
      </c>
      <c r="F13" s="8" t="inlineStr">
        <is>
          <t>Bases Originales/09 SGM Anuarios/</t>
        </is>
      </c>
    </row>
    <row r="14">
      <c r="A14" s="6" t="inlineStr">
        <is>
          <t>10 MIP INEGI</t>
        </is>
      </c>
      <c r="B14" s="5" t="inlineStr">
        <is>
          <t>INEGI, Matriz Insumo-Producto simetrica producto x producto (clase SCIAN 6d)</t>
        </is>
      </c>
      <c r="C14" s="5" t="inlineStr">
        <is>
          <t>Coef. tecnicos (ctec=A) y directos+indirectos (cdi=inversa Leontief); base 2013 y 2018 + ref. 2008</t>
        </is>
      </c>
      <c r="D14" s="6" t="inlineStr">
        <is>
          <t>2008/2013/2018</t>
        </is>
      </c>
      <c r="E14" s="6" t="inlineStr">
        <is>
          <t>Directa (Leontief, Ghosh, Rasmussen, demanda intermedia)</t>
        </is>
      </c>
      <c r="F14" s="5" t="inlineStr">
        <is>
          <t>Bases Originales/10 MIP INEGI/</t>
        </is>
      </c>
    </row>
    <row r="15">
      <c r="A15" s="9" t="inlineStr">
        <is>
          <t>11 Comtrade</t>
        </is>
      </c>
      <c r="B15" s="8" t="inlineStr">
        <is>
          <t>UN Comtrade (API publica; reportante Mexico 484)</t>
        </is>
      </c>
      <c r="C15" s="8" t="inlineStr">
        <is>
          <t>Comercio por fraccion HS por flujo y ano; valor y peso de la etapa E1 (numerador CCV)</t>
        </is>
      </c>
      <c r="D15" s="9" t="inlineStr">
        <is>
          <t>1992-2025</t>
        </is>
      </c>
      <c r="E15" s="9" t="inlineStr">
        <is>
          <t>Directa (comercio por etapa, destinos, numerador CCV)</t>
        </is>
      </c>
      <c r="F15" s="8" t="inlineStr">
        <is>
          <t>Bases Originales/11 Comercio Comtrade/</t>
        </is>
      </c>
    </row>
    <row r="16">
      <c r="A16" s="6" t="inlineStr">
        <is>
          <t>12 OECD ICIO</t>
        </is>
      </c>
      <c r="B16" s="5" t="inlineStr">
        <is>
          <t>OECD Inter-Country Input-Output 2023 (77 economias x 45 industrias ISIC Rev.4)</t>
        </is>
      </c>
      <c r="C16" s="5" t="inlineStr">
        <is>
          <t>Bloques domesticos de mineria; encadenamientos y descomposicion de valor agregado</t>
        </is>
      </c>
      <c r="D16" s="6" t="inlineStr">
        <is>
          <t>1995-2020</t>
        </is>
      </c>
      <c r="E16" s="6" t="inlineStr">
        <is>
          <t>Directa (comparacion internacional, DVA/crudo_share)</t>
        </is>
      </c>
      <c r="F16" s="5" t="inlineStr">
        <is>
          <t>Bases Originales/12 OECD ICIO/ (bloques extraidos; CSV completos re-descargables)</t>
        </is>
      </c>
    </row>
    <row r="17">
      <c r="A17" s="9" t="inlineStr">
        <is>
          <t>13 MIP Estatal</t>
        </is>
      </c>
      <c r="B17" s="8" t="inlineStr">
        <is>
          <t>INEGI, COU y MIP Multi-Estatales de Mexico 2018 (com. 236/24)</t>
        </is>
      </c>
      <c r="C17" s="8" t="inlineStr">
        <is>
          <t>MIP industria x industria intra-estatal y birregional por entidad (35 industrias)</t>
        </is>
      </c>
      <c r="D17" s="9" t="inlineStr">
        <is>
          <t>2018</t>
        </is>
      </c>
      <c r="E17" s="9" t="inlineStr">
        <is>
          <t>Directa (Ghosh estatal e interestatal de la mineria)</t>
        </is>
      </c>
      <c r="F17" s="8" t="inlineStr">
        <is>
          <t>Bases Originales/13 MIP Estatal INEGI/todos_2018.zip</t>
        </is>
      </c>
    </row>
    <row r="18">
      <c r="A18" s="6" t="inlineStr">
        <is>
          <t>14 Geo</t>
        </is>
      </c>
      <c r="B18" s="5" t="inlineStr">
        <is>
          <t>SGM + directorio propio de empresas</t>
        </is>
      </c>
      <c r="C18" s="5" t="inlineStr">
        <is>
          <t>Estados productores, nodos de transformacion, co-localizacion</t>
        </is>
      </c>
      <c r="D18" s="6" t="inlineStr">
        <is>
          <t>2024</t>
        </is>
      </c>
      <c r="E18" s="6" t="inlineStr">
        <is>
          <t>Directa (mapas, HHI geografico)</t>
        </is>
      </c>
      <c r="F18" s="5" t="inlineStr">
        <is>
          <t>Bases Originales/14 Geo/</t>
        </is>
      </c>
    </row>
    <row r="19">
      <c r="A19" s="9" t="inlineStr">
        <is>
          <t>15 Marco instit.</t>
        </is>
      </c>
      <c r="B19" s="8" t="inlineStr">
        <is>
          <t>Normativa (Ley Minera, reforma 2023, etc.)</t>
        </is>
      </c>
      <c r="C19" s="8" t="inlineStr">
        <is>
          <t>Marco institucional del sector (contexto Cap. IV/VII)</t>
        </is>
      </c>
      <c r="D19" s="9" t="inlineStr">
        <is>
          <t>-</t>
        </is>
      </c>
      <c r="E19" s="9" t="inlineStr">
        <is>
          <t>Indirecta (contexto)</t>
        </is>
      </c>
      <c r="F19" s="8" t="inlineStr">
        <is>
          <t>Bases Originales/15 Marco Institucional/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0" customWidth="1" min="3" max="3"/>
    <col width="40" customWidth="1" min="4" max="4"/>
    <col width="26" customWidth="1" min="5" max="5"/>
    <col width="28" customWidth="1" min="6" max="6"/>
    <col width="40" customWidth="1" min="7" max="7"/>
    <col width="18" customWidth="1" min="8" max="8"/>
    <col width="30" customWidth="1" min="9" max="9"/>
  </cols>
  <sheetData>
    <row r="1" ht="24" customHeight="1">
      <c r="A1" s="1" t="inlineStr">
        <is>
          <t>Catalogo de calculos e indicadores</t>
        </is>
      </c>
    </row>
    <row r="2" ht="40" customHeight="1">
      <c r="A2" s="2" t="inlineStr">
        <is>
          <t>Todos los calculos del proyecto, con su formula, insumos, script reproducible y el tipo de trazabilidad ofrecido en este libro. Base metodologica: 00 Proyecto/Metodologia y auditoria/Auditoria de indicadores.md. VERDE = columna con formula viva de Excel; NARANJA = columna de procedencia (resultado de script validado).</t>
        </is>
      </c>
    </row>
    <row r="3">
      <c r="A3" s="3" t="inlineStr">
        <is>
          <t>Grupo</t>
        </is>
      </c>
      <c r="B3" s="3" t="inlineStr">
        <is>
          <t>Indicador / calculo</t>
        </is>
      </c>
      <c r="C3" s="3" t="inlineStr">
        <is>
          <t>Que mide</t>
        </is>
      </c>
      <c r="D3" s="3" t="inlineStr">
        <is>
          <t>Formula / matematica</t>
        </is>
      </c>
      <c r="E3" s="3" t="inlineStr">
        <is>
          <t>Insumos</t>
        </is>
      </c>
      <c r="F3" s="3" t="inlineStr">
        <is>
          <t>Script</t>
        </is>
      </c>
      <c r="G3" s="3" t="inlineStr">
        <is>
          <t>CSV fuente</t>
        </is>
      </c>
      <c r="H3" s="3" t="inlineStr">
        <is>
          <t>Hoja en este libro</t>
        </is>
      </c>
      <c r="I3" s="3" t="inlineStr">
        <is>
          <t>Tipo de traza</t>
        </is>
      </c>
    </row>
    <row r="4">
      <c r="A4" s="6" t="inlineStr">
        <is>
          <t>0 Insumos</t>
        </is>
      </c>
      <c r="B4" s="6" t="inlineStr">
        <is>
          <t>Precios USGS empalmados</t>
        </is>
      </c>
      <c r="C4" s="5" t="inlineStr">
        <is>
          <t>Precio anual de referencia del producto refinado, USD/t (nominal y const. 1998)</t>
        </is>
      </c>
      <c r="D4" s="5" t="inlineStr">
        <is>
          <t>Empalme de series USGS por factor de enlace en anios de traslape; deflactor a 1998</t>
        </is>
      </c>
      <c r="E4" s="5" t="inlineStr">
        <is>
          <t>USGS DS-140 / MYB</t>
        </is>
      </c>
      <c r="F4" s="6" t="inlineStr">
        <is>
          <t>(extraccion USGS)</t>
        </is>
      </c>
      <c r="G4" s="6" t="inlineStr">
        <is>
          <t>precios_usgs_anual_empalmado.csv</t>
        </is>
      </c>
      <c r="H4" s="6" t="inlineStr">
        <is>
          <t>10 Precios</t>
        </is>
      </c>
      <c r="I4" s="5" t="inlineStr">
        <is>
          <t>Resultado + procedencia</t>
        </is>
      </c>
    </row>
    <row r="5">
      <c r="A5" s="9" t="inlineStr">
        <is>
          <t>0 Insumos</t>
        </is>
      </c>
      <c r="B5" s="9" t="inlineStr">
        <is>
          <t>Peso del bloque - produccion</t>
        </is>
      </c>
      <c r="C5" s="8" t="inlineStr">
        <is>
          <t>Valor de produccion del bloque y descomposicion precio/volumen</t>
        </is>
      </c>
      <c r="D5" s="8" t="inlineStr">
        <is>
          <t>V = Q x p ; indices de volumen y de precio entre t0 y t1</t>
        </is>
      </c>
      <c r="E5" s="8" t="inlineStr">
        <is>
          <t>volumen (USGS/CAMIMEX) x precio empalmado</t>
        </is>
      </c>
      <c r="F5" s="9" t="inlineStr">
        <is>
          <t>peso_bloque_historico.py</t>
        </is>
      </c>
      <c r="G5" s="9" t="inlineStr">
        <is>
          <t>peso_bloque_hist_produccion.csv</t>
        </is>
      </c>
      <c r="H5" s="9" t="inlineStr">
        <is>
          <t>11 Peso bloque prod</t>
        </is>
      </c>
      <c r="I5" s="8" t="inlineStr">
        <is>
          <t>Formula viva</t>
        </is>
      </c>
    </row>
    <row r="6">
      <c r="A6" s="6" t="inlineStr">
        <is>
          <t>0 Insumos</t>
        </is>
      </c>
      <c r="B6" s="6" t="inlineStr">
        <is>
          <t>Peso del bloque - exportaciones</t>
        </is>
      </c>
      <c r="C6" s="5" t="inlineStr">
        <is>
          <t>% del bloque en las exportaciones totales de Mexico</t>
        </is>
      </c>
      <c r="D6" s="5" t="inlineStr">
        <is>
          <t>share = X_bloque / X_nacional</t>
        </is>
      </c>
      <c r="E6" s="5" t="inlineStr">
        <is>
          <t>Comtrade + Banco Mundial TX.VAL.MRCH.CD.WT</t>
        </is>
      </c>
      <c r="F6" s="6" t="inlineStr">
        <is>
          <t>peso_bloque_historico.py</t>
        </is>
      </c>
      <c r="G6" s="6" t="inlineStr">
        <is>
          <t>peso_bloque_hist_exportaciones.csv</t>
        </is>
      </c>
      <c r="H6" s="6" t="inlineStr">
        <is>
          <t>12 Peso bloque X</t>
        </is>
      </c>
      <c r="I6" s="5" t="inlineStr">
        <is>
          <t>Formula viva</t>
        </is>
      </c>
    </row>
    <row r="7">
      <c r="A7" s="9" t="inlineStr">
        <is>
          <t>0 Insumos</t>
        </is>
      </c>
      <c r="B7" s="9" t="inlineStr">
        <is>
          <t>Peso del bloque - PIB / empleo</t>
        </is>
      </c>
      <c r="C7" s="8" t="inlineStr">
        <is>
          <t>Participacion del bloque en PIB y empleo</t>
        </is>
      </c>
      <c r="D7" s="8" t="inlineStr">
        <is>
          <t>pct = valor_bloque / total_nacional</t>
        </is>
      </c>
      <c r="E7" s="8" t="inlineStr">
        <is>
          <t>MIP 2013/2018 (B.1bP, P.1, PT)</t>
        </is>
      </c>
      <c r="F7" s="9" t="inlineStr">
        <is>
          <t>peso_bloque.py</t>
        </is>
      </c>
      <c r="G7" s="9" t="inlineStr">
        <is>
          <t>peso_bloque_mineria.csv</t>
        </is>
      </c>
      <c r="H7" s="9" t="inlineStr">
        <is>
          <t>13 Peso bloque PIB</t>
        </is>
      </c>
      <c r="I7" s="8" t="inlineStr">
        <is>
          <t>Formula viva</t>
        </is>
      </c>
    </row>
    <row r="8">
      <c r="A8" s="6" t="inlineStr">
        <is>
          <t>1 HHI</t>
        </is>
      </c>
      <c r="B8" s="6" t="inlineStr">
        <is>
          <t>HHI de concentracion extractiva</t>
        </is>
      </c>
      <c r="C8" s="5" t="inlineStr">
        <is>
          <t>Concentracion de la produccion por mineral (estructura de mercado)</t>
        </is>
      </c>
      <c r="D8" s="5" t="inlineStr">
        <is>
          <t>HHI = sum_i (s_i)^2 , s_i en % (escala 0-10000)</t>
        </is>
      </c>
      <c r="E8" s="5" t="inlineStr">
        <is>
          <t>participaciones empresa/mina y total nacional</t>
        </is>
      </c>
      <c r="F8" s="6" t="inlineStr">
        <is>
          <t>hhi_2024.py, hhi_consolidado_2004_2020.py, hhi_1994_2003.py</t>
        </is>
      </c>
      <c r="G8" s="6" t="inlineStr">
        <is>
          <t>hhi_numeradores.csv, hhi_consolidado.csv</t>
        </is>
      </c>
      <c r="H8" s="6" t="inlineStr">
        <is>
          <t>07-08 HHI</t>
        </is>
      </c>
      <c r="I8" s="5" t="inlineStr">
        <is>
          <t>Formula viva (participaciones) + resultado (residual/regimen)</t>
        </is>
      </c>
    </row>
    <row r="9">
      <c r="A9" s="9" t="inlineStr">
        <is>
          <t>1 HHI</t>
        </is>
      </c>
      <c r="B9" s="9" t="inlineStr">
        <is>
          <t>HHI geografico</t>
        </is>
      </c>
      <c r="C9" s="8" t="inlineStr">
        <is>
          <t>Concentracion territorial de la extraccion entre entidades</t>
        </is>
      </c>
      <c r="D9" s="8" t="inlineStr">
        <is>
          <t>HHI_geo = sum_estado (s_estado)^2</t>
        </is>
      </c>
      <c r="E9" s="8" t="inlineStr">
        <is>
          <t>produccion por estado 2024 (SGM)</t>
        </is>
      </c>
      <c r="F9" s="9" t="inlineStr">
        <is>
          <t>georref_regionalizacion.py</t>
        </is>
      </c>
      <c r="G9" s="9" t="inlineStr">
        <is>
          <t>georref_regionalizacion.csv</t>
        </is>
      </c>
      <c r="H9" s="9" t="inlineStr">
        <is>
          <t>17 Georref</t>
        </is>
      </c>
      <c r="I9" s="8" t="inlineStr">
        <is>
          <t>Formula viva</t>
        </is>
      </c>
    </row>
    <row r="10">
      <c r="A10" s="6" t="inlineStr">
        <is>
          <t>2 MIP nacional</t>
        </is>
      </c>
      <c r="B10" s="6" t="inlineStr">
        <is>
          <t>Leontief (hacia atras)</t>
        </is>
      </c>
      <c r="C10" s="5" t="inlineStr">
        <is>
          <t>Traccion a proveedores de cada mineral</t>
        </is>
      </c>
      <c r="D10" s="5" t="inlineStr">
        <is>
          <t>a_ij=z_ij/x_j ; L=(I-A)^-1 ; hacia atras = suma de columna</t>
        </is>
      </c>
      <c r="E10" s="5" t="inlineStr">
        <is>
          <t>MIP INEGI 2013/2018 (ctec/cdi)</t>
        </is>
      </c>
      <c r="F10" s="6" t="inlineStr">
        <is>
          <t>mip_calc.py</t>
        </is>
      </c>
      <c r="G10" s="6" t="inlineStr">
        <is>
          <t>mip_encadenamientos_minerales.csv</t>
        </is>
      </c>
      <c r="H10" s="6" t="inlineStr">
        <is>
          <t>14 MIP encadenam.</t>
        </is>
      </c>
      <c r="I10" s="5" t="inlineStr">
        <is>
          <t>Resultado validado (1e-15) + Rasmussen formula viva</t>
        </is>
      </c>
    </row>
    <row r="11">
      <c r="A11" s="9" t="inlineStr">
        <is>
          <t>2 MIP nacional</t>
        </is>
      </c>
      <c r="B11" s="9" t="inlineStr">
        <is>
          <t>Ghosh (hacia adelante) - central</t>
        </is>
      </c>
      <c r="C11" s="8" t="inlineStr">
        <is>
          <t>Distribucion de la produccion; si alimenta industria domestica</t>
        </is>
      </c>
      <c r="D11" s="8" t="inlineStr">
        <is>
          <t>b_ij=z_ij/x_i ; G=(I-B)^-1 ; hacia adelante = suma de fila</t>
        </is>
      </c>
      <c r="E11" s="8" t="inlineStr">
        <is>
          <t>MIP INEGI 2013/2018</t>
        </is>
      </c>
      <c r="F11" s="9" t="inlineStr">
        <is>
          <t>mip_calc.py</t>
        </is>
      </c>
      <c r="G11" s="9" t="inlineStr">
        <is>
          <t>mip_encadenamientos_minerales.csv</t>
        </is>
      </c>
      <c r="H11" s="9" t="inlineStr">
        <is>
          <t>14 MIP encadenam.</t>
        </is>
      </c>
      <c r="I11" s="8" t="inlineStr">
        <is>
          <t>Resultado validado + Rasmussen formula viva</t>
        </is>
      </c>
    </row>
    <row r="12">
      <c r="A12" s="6" t="inlineStr">
        <is>
          <t>2 MIP nacional</t>
        </is>
      </c>
      <c r="B12" s="6" t="inlineStr">
        <is>
          <t>Hirschman-Rasmussen</t>
        </is>
      </c>
      <c r="C12" s="5" t="inlineStr">
        <is>
          <t>Encadenamientos comparables entre ramas (media=1)</t>
        </is>
      </c>
      <c r="D12" s="5" t="inlineStr">
        <is>
          <t>suma sectorial / promedio de todas las sumas</t>
        </is>
      </c>
      <c r="E12" s="5" t="inlineStr">
        <is>
          <t>sumas de fila/columna de L y G</t>
        </is>
      </c>
      <c r="F12" s="6" t="inlineStr">
        <is>
          <t>mip_calc.py</t>
        </is>
      </c>
      <c r="G12" s="6" t="inlineStr">
        <is>
          <t>mip_encadenamientos_minerales.csv</t>
        </is>
      </c>
      <c r="H12" s="6" t="inlineStr">
        <is>
          <t>14 MIP encadenam.</t>
        </is>
      </c>
      <c r="I12" s="5" t="inlineStr">
        <is>
          <t>Formula viva (normalizacion)</t>
        </is>
      </c>
    </row>
    <row r="13">
      <c r="A13" s="9" t="inlineStr">
        <is>
          <t>2 MIP nacional</t>
        </is>
      </c>
      <c r="B13" s="9" t="inlineStr">
        <is>
          <t>Demanda intermedia (DI/VBP)</t>
        </is>
      </c>
      <c r="C13" s="8" t="inlineStr">
        <is>
          <t>Fraccion a uso intermedio interno y sectores compradores</t>
        </is>
      </c>
      <c r="D13" s="8" t="inlineStr">
        <is>
          <t>DI/VBP ; share de la fila del mineral</t>
        </is>
      </c>
      <c r="E13" s="8" t="inlineStr">
        <is>
          <t>MIP INEGI</t>
        </is>
      </c>
      <c r="F13" s="9" t="inlineStr">
        <is>
          <t>mip_calc.py</t>
        </is>
      </c>
      <c r="G13" s="9" t="inlineStr">
        <is>
          <t>mip_demanda_intermedia_minerales.csv</t>
        </is>
      </c>
      <c r="H13" s="9" t="inlineStr">
        <is>
          <t>16 Demanda interm.</t>
        </is>
      </c>
      <c r="I13" s="8" t="inlineStr">
        <is>
          <t>Formula viva</t>
        </is>
      </c>
    </row>
    <row r="14">
      <c r="A14" s="6" t="inlineStr">
        <is>
          <t>2 MIP nacional</t>
        </is>
      </c>
      <c r="B14" s="6" t="inlineStr">
        <is>
          <t>Encadenamiento por eslabon</t>
        </is>
      </c>
      <c r="C14" s="5" t="inlineStr">
        <is>
          <t>Si el arrastre se sostiene al descender L1-&gt;L2-&gt;L3</t>
        </is>
      </c>
      <c r="D14" s="5" t="inlineStr">
        <is>
          <t>Ghosh-Rasmussen por clase SCIAN 331... por mineral</t>
        </is>
      </c>
      <c r="E14" s="5" t="inlineStr">
        <is>
          <t>MIP INEGI</t>
        </is>
      </c>
      <c r="F14" s="6" t="inlineStr">
        <is>
          <t>mip_eslabones.py</t>
        </is>
      </c>
      <c r="G14" s="6" t="inlineStr">
        <is>
          <t>mip_encadenamientos_eslabones.csv</t>
        </is>
      </c>
      <c r="H14" s="6" t="inlineStr">
        <is>
          <t>15 MIP eslabones</t>
        </is>
      </c>
      <c r="I14" s="5" t="inlineStr">
        <is>
          <t>Resultado + Rasmussen formula viva</t>
        </is>
      </c>
    </row>
    <row r="15">
      <c r="A15" s="9" t="inlineStr">
        <is>
          <t>2 MIP nacional</t>
        </is>
      </c>
      <c r="B15" s="9" t="inlineStr">
        <is>
          <t>Corte de referencia 2008</t>
        </is>
      </c>
      <c r="C15" s="8" t="inlineStr">
        <is>
          <t>Tercer punto historico no encadenado</t>
        </is>
      </c>
      <c r="D15" s="8" t="inlineStr">
        <is>
          <t>idem MIP (base 2008 / SCIAN 2007)</t>
        </is>
      </c>
      <c r="E15" s="8" t="inlineStr">
        <is>
          <t>MIP INEGI 2008</t>
        </is>
      </c>
      <c r="F15" s="9" t="inlineStr">
        <is>
          <t>mip2008_calc.py</t>
        </is>
      </c>
      <c r="G15" s="9" t="inlineStr">
        <is>
          <t>mip_encadenamientos_2008_referencia.csv</t>
        </is>
      </c>
      <c r="H15" s="9" t="inlineStr">
        <is>
          <t>14 MIP encadenam.</t>
        </is>
      </c>
      <c r="I15" s="8" t="inlineStr">
        <is>
          <t>Resultado validado</t>
        </is>
      </c>
    </row>
    <row r="16">
      <c r="A16" s="6" t="inlineStr">
        <is>
          <t>2 MIP nacional</t>
        </is>
      </c>
      <c r="B16" s="6" t="inlineStr">
        <is>
          <t>Extraccion hipotetica (HEM) por mineral</t>
        </is>
      </c>
      <c r="C16" s="5" t="inlineStr">
        <is>
          <t>% del VBP nacional que se pierde al extraer compras/ventas del mineral</t>
        </is>
      </c>
      <c r="D16" s="5" t="inlineStr">
        <is>
          <t>BL=100*i'(x-xhat)/i'x, xhat=(I-A^(-k))^-1 f; FL analogo con Ghosh (Miller-Lahr casos 3/4)</t>
        </is>
      </c>
      <c r="E16" s="5" t="inlineStr">
        <is>
          <t>MIP INEGI 2013/2018 (A,B,x,Y,V)</t>
        </is>
      </c>
      <c r="F16" s="6" t="inlineStr">
        <is>
          <t>mip_hem.py</t>
        </is>
      </c>
      <c r="G16" s="6" t="inlineStr">
        <is>
          <t>mip_hem_minerales.csv</t>
        </is>
      </c>
      <c r="H16" s="6" t="inlineStr">
        <is>
          <t>23 HEM nacional</t>
        </is>
      </c>
      <c r="I16" s="5" t="inlineStr">
        <is>
          <t>Resultado validado (SM vs bruta 1e-14) + total formula viva</t>
        </is>
      </c>
    </row>
    <row r="17">
      <c r="A17" s="9" t="inlineStr">
        <is>
          <t>6 Territorial</t>
        </is>
      </c>
      <c r="B17" s="9" t="inlineStr">
        <is>
          <t>Extraccion hipotetica (HEM) estatal</t>
        </is>
      </c>
      <c r="C17" s="8" t="inlineStr">
        <is>
          <t>% del VBP birregional que se pierde al extraer la mineria de la entidad</t>
        </is>
      </c>
      <c r="D17" s="8" t="inlineStr">
        <is>
          <t>idem HEM sobre la MIP birregional 2018 (extraer sector 21-2 de la entidad)</t>
        </is>
      </c>
      <c r="E17" s="8" t="inlineStr">
        <is>
          <t>MIP Estatal birregional 2018</t>
        </is>
      </c>
      <c r="F17" s="9" t="inlineStr">
        <is>
          <t>hem_estatal.py</t>
        </is>
      </c>
      <c r="G17" s="9" t="inlineStr">
        <is>
          <t>hem_estatal_mineria.csv</t>
        </is>
      </c>
      <c r="H17" s="9" t="inlineStr">
        <is>
          <t>24 HEM estatal</t>
        </is>
      </c>
      <c r="I17" s="8" t="inlineStr">
        <is>
          <t>Resultado validado + total formula viva</t>
        </is>
      </c>
    </row>
    <row r="18">
      <c r="A18" s="6" t="inlineStr">
        <is>
          <t>3 CCV</t>
        </is>
      </c>
      <c r="B18" s="6" t="inlineStr">
        <is>
          <t>Coeficiente de captura de valor</t>
        </is>
      </c>
      <c r="C18" s="5" t="inlineStr">
        <is>
          <t>Cuanto del valor del refinado capta la forma bruta exportada</t>
        </is>
      </c>
      <c r="D18" s="5" t="inlineStr">
        <is>
          <t>CCV = v_E1 / p_USGS ; v_E1 = valor_E1 / peso_E1</t>
        </is>
      </c>
      <c r="E18" s="5" t="inlineStr">
        <is>
          <t>Comtrade E1 (valor y peso) / USGS empalmado</t>
        </is>
      </c>
      <c r="F18" s="6" t="inlineStr">
        <is>
          <t>ccv_download.py, ccv_calc.py, ccv_fill_gaps.py</t>
        </is>
      </c>
      <c r="G18" s="6" t="inlineStr">
        <is>
          <t>ccv_serie.csv</t>
        </is>
      </c>
      <c r="H18" s="6" t="inlineStr">
        <is>
          <t>09 CCV</t>
        </is>
      </c>
      <c r="I18" s="5" t="inlineStr">
        <is>
          <t>Formula viva</t>
        </is>
      </c>
    </row>
    <row r="19">
      <c r="A19" s="9" t="inlineStr">
        <is>
          <t>4 Comercio</t>
        </is>
      </c>
      <c r="B19" s="9" t="inlineStr">
        <is>
          <t>Concordancia HS x etapa</t>
        </is>
      </c>
      <c r="C19" s="8" t="inlineStr">
        <is>
          <t>Asigna cada fraccion HS a una etapa E1-E4</t>
        </is>
      </c>
      <c r="D19" s="8" t="inlineStr">
        <is>
          <t>(tabla de concordancia)</t>
        </is>
      </c>
      <c r="E19" s="8" t="inlineStr">
        <is>
          <t>clasificacion propia</t>
        </is>
      </c>
      <c r="F19" s="9" t="inlineStr">
        <is>
          <t>comercio_etapa.py</t>
        </is>
      </c>
      <c r="G19" s="9" t="inlineStr">
        <is>
          <t>concordancia_hs_etapa.csv</t>
        </is>
      </c>
      <c r="H19" s="9" t="inlineStr">
        <is>
          <t>18 Comercio etapa</t>
        </is>
      </c>
      <c r="I19" s="8" t="inlineStr">
        <is>
          <t>Clasificacion</t>
        </is>
      </c>
    </row>
    <row r="20">
      <c r="A20" s="6" t="inlineStr">
        <is>
          <t>4 Comercio</t>
        </is>
      </c>
      <c r="B20" s="6" t="inlineStr">
        <is>
          <t>Comercio por etapa y posicion</t>
        </is>
      </c>
      <c r="C20" s="5" t="inlineStr">
        <is>
          <t>Exportaciones por etapa y share exportado en crudo</t>
        </is>
      </c>
      <c r="D20" s="5" t="inlineStr">
        <is>
          <t>X_share_crudo = X_E1 / X_total</t>
        </is>
      </c>
      <c r="E20" s="5" t="inlineStr">
        <is>
          <t>Comtrade por HS</t>
        </is>
      </c>
      <c r="F20" s="6" t="inlineStr">
        <is>
          <t>comercio_etapa*.py</t>
        </is>
      </c>
      <c r="G20" s="6" t="inlineStr">
        <is>
          <t>comercio_por_etapa_1992_2024.csv, comercio_posicion_1992_2024.csv</t>
        </is>
      </c>
      <c r="H20" s="6" t="inlineStr">
        <is>
          <t>18 Comercio etapa</t>
        </is>
      </c>
      <c r="I20" s="5" t="inlineStr">
        <is>
          <t>Formula viva</t>
        </is>
      </c>
    </row>
    <row r="21">
      <c r="A21" s="9" t="inlineStr">
        <is>
          <t>4 Comercio</t>
        </is>
      </c>
      <c r="B21" s="9" t="inlineStr">
        <is>
          <t>Destinos de exportacion</t>
        </is>
      </c>
      <c r="C21" s="8" t="inlineStr">
        <is>
          <t>A quien se exporta cada etapa y su desplazamiento</t>
        </is>
      </c>
      <c r="D21" s="8" t="inlineStr">
        <is>
          <t>share por destino = valor_destino / valor_total</t>
        </is>
      </c>
      <c r="E21" s="8" t="inlineStr">
        <is>
          <t>Comtrade por socio</t>
        </is>
      </c>
      <c r="F21" s="9" t="inlineStr">
        <is>
          <t>comercio_destinos*.py</t>
        </is>
      </c>
      <c r="G21" s="9" t="inlineStr">
        <is>
          <t>comercio_destinos_serie_resumen.csv</t>
        </is>
      </c>
      <c r="H21" s="9" t="inlineStr">
        <is>
          <t>19 Comercio destinos</t>
        </is>
      </c>
      <c r="I21" s="8" t="inlineStr">
        <is>
          <t>Resultado + procedencia</t>
        </is>
      </c>
    </row>
    <row r="22">
      <c r="A22" s="6" t="inlineStr">
        <is>
          <t>5 Cadena local</t>
        </is>
      </c>
      <c r="B22" s="6" t="inlineStr">
        <is>
          <t>Empresas de transformacion</t>
        </is>
      </c>
      <c r="C22" s="5" t="inlineStr">
        <is>
          <t>Existe eslabon local? quien y donde</t>
        </is>
      </c>
      <c r="D22" s="5" t="inlineStr">
        <is>
          <t>(directorio verificado)</t>
        </is>
      </c>
      <c r="E22" s="5" t="inlineStr">
        <is>
          <t>USGS Tabla 2 + verificacion web</t>
        </is>
      </c>
      <c r="F22" s="6" t="inlineStr">
        <is>
          <t>(fichado manual)</t>
        </is>
      </c>
      <c r="G22" s="6" t="inlineStr">
        <is>
          <t>empresas_transformacion.csv</t>
        </is>
      </c>
      <c r="H22" s="6" t="inlineStr">
        <is>
          <t>20 Cadena local</t>
        </is>
      </c>
      <c r="I22" s="5" t="inlineStr">
        <is>
          <t>Dato base</t>
        </is>
      </c>
    </row>
    <row r="23">
      <c r="A23" s="9" t="inlineStr">
        <is>
          <t>5 Cadena local</t>
        </is>
      </c>
      <c r="B23" s="9" t="inlineStr">
        <is>
          <t>Fichas L0-L4 cuantificadas</t>
        </is>
      </c>
      <c r="C23" s="8" t="inlineStr">
        <is>
          <t>Cada mercado por eslabon (VBP/PIB/empleo, X/M)</t>
        </is>
      </c>
      <c r="D23" s="8" t="inlineStr">
        <is>
          <t>atribucion MIP + comercio por etapa</t>
        </is>
      </c>
      <c r="E23" s="8" t="inlineStr">
        <is>
          <t>MIP + Comtrade</t>
        </is>
      </c>
      <c r="F23" s="9" t="inlineStr">
        <is>
          <t>cv_build.py</t>
        </is>
      </c>
      <c r="G23" s="9" t="inlineStr">
        <is>
          <t>cv_eslabones_cuantificado.csv, cv_arbol_mineral.csv</t>
        </is>
      </c>
      <c r="H23" s="9" t="inlineStr">
        <is>
          <t>20 Cadena local</t>
        </is>
      </c>
      <c r="I23" s="8" t="inlineStr">
        <is>
          <t>Resultado</t>
        </is>
      </c>
    </row>
    <row r="24">
      <c r="A24" s="6" t="inlineStr">
        <is>
          <t>5 Cadena local</t>
        </is>
      </c>
      <c r="B24" s="6" t="inlineStr">
        <is>
          <t>Tipologia A/B/C/D</t>
        </is>
      </c>
      <c r="C24" s="5" t="inlineStr">
        <is>
          <t>Clasifica los 10 mercados por transformacion domestica</t>
        </is>
      </c>
      <c r="D24" s="5" t="inlineStr">
        <is>
          <t>criterios: actores + espejo + Ghosh/DI</t>
        </is>
      </c>
      <c r="E24" s="5" t="inlineStr">
        <is>
          <t>indicadores previos</t>
        </is>
      </c>
      <c r="F24" s="6" t="inlineStr">
        <is>
          <t>cv_build.py</t>
        </is>
      </c>
      <c r="G24" s="6" t="inlineStr">
        <is>
          <t>cv_tipologia.csv</t>
        </is>
      </c>
      <c r="H24" s="6" t="inlineStr">
        <is>
          <t>20 Cadena local</t>
        </is>
      </c>
      <c r="I24" s="5" t="inlineStr">
        <is>
          <t>Clasificacion</t>
        </is>
      </c>
    </row>
    <row r="25">
      <c r="A25" s="9" t="inlineStr">
        <is>
          <t>6 Territorial</t>
        </is>
      </c>
      <c r="B25" s="9" t="inlineStr">
        <is>
          <t>Georreferenciacion extraccion</t>
        </is>
      </c>
      <c r="C25" s="8" t="inlineStr">
        <is>
          <t>Distribucion estatal de la extraccion (share 2024)</t>
        </is>
      </c>
      <c r="D25" s="8" t="inlineStr">
        <is>
          <t>share_estado = prod_estado / prod_nacional</t>
        </is>
      </c>
      <c r="E25" s="8" t="inlineStr">
        <is>
          <t>SGM Anuario 2025</t>
        </is>
      </c>
      <c r="F25" s="9" t="inlineStr">
        <is>
          <t>georref_cuantitativo.py</t>
        </is>
      </c>
      <c r="G25" s="9" t="inlineStr">
        <is>
          <t>georref_extraccion_mineral_estado_cuantitativo.csv</t>
        </is>
      </c>
      <c r="H25" s="9" t="inlineStr">
        <is>
          <t>17 Georref</t>
        </is>
      </c>
      <c r="I25" s="8" t="inlineStr">
        <is>
          <t>Formula viva</t>
        </is>
      </c>
    </row>
    <row r="26">
      <c r="A26" s="6" t="inlineStr">
        <is>
          <t>6 Territorial</t>
        </is>
      </c>
      <c r="B26" s="6" t="inlineStr">
        <is>
          <t>Ghosh estatal</t>
        </is>
      </c>
      <c r="C26" s="5" t="inlineStr">
        <is>
          <t>Encadenamiento hacia adelante por entidad; fuga por exportacion</t>
        </is>
      </c>
      <c r="D26" s="5" t="inlineStr">
        <is>
          <t>Ghosh-Rasmussen sobre MIP estatal (rank 35)</t>
        </is>
      </c>
      <c r="E26" s="5" t="inlineStr">
        <is>
          <t>MIP Estatal 2018 (intra)</t>
        </is>
      </c>
      <c r="F26" s="6" t="inlineStr">
        <is>
          <t>ghosh_estatal.py</t>
        </is>
      </c>
      <c r="G26" s="6" t="inlineStr">
        <is>
          <t>ghosh_estatal_mineria.csv, ghosh_estatal_eslabones.csv</t>
        </is>
      </c>
      <c r="H26" s="6" t="inlineStr">
        <is>
          <t>17 Georref</t>
        </is>
      </c>
      <c r="I26" s="5" t="inlineStr">
        <is>
          <t>Resultado + Rasmussen/share formula viva</t>
        </is>
      </c>
    </row>
    <row r="27">
      <c r="A27" s="9" t="inlineStr">
        <is>
          <t>6 Territorial</t>
        </is>
      </c>
      <c r="B27" s="9" t="inlineStr">
        <is>
          <t>Ghosh interestatal</t>
        </is>
      </c>
      <c r="C27" s="8" t="inlineStr">
        <is>
          <t>Descompone producto minero: intra / inter-estatal / export</t>
        </is>
      </c>
      <c r="D27" s="8" t="inlineStr">
        <is>
          <t>Ghosh sobre MIP birregional (rank 70)</t>
        </is>
      </c>
      <c r="E27" s="8" t="inlineStr">
        <is>
          <t>MIP Estatal 2018 (birregional)</t>
        </is>
      </c>
      <c r="F27" s="9" t="inlineStr">
        <is>
          <t>ghosh_interestatal.py</t>
        </is>
      </c>
      <c r="G27" s="9" t="inlineStr">
        <is>
          <t>ghosh_interestatal_mineria.csv, ghosh_interestatal_eslabones.csv</t>
        </is>
      </c>
      <c r="H27" s="9" t="inlineStr">
        <is>
          <t>17 Georref</t>
        </is>
      </c>
      <c r="I27" s="8" t="inlineStr">
        <is>
          <t>Resultado + procedencia</t>
        </is>
      </c>
    </row>
    <row r="28">
      <c r="A28" s="6" t="inlineStr">
        <is>
          <t>7 Internacional</t>
        </is>
      </c>
      <c r="B28" s="6" t="inlineStr">
        <is>
          <t>Ghosh por pais (ICIO)</t>
        </is>
      </c>
      <c r="C28" s="5" t="inlineStr">
        <is>
          <t>Encadenamiento adelante de la mineria de 8 paises</t>
        </is>
      </c>
      <c r="D28" s="5" t="inlineStr">
        <is>
          <t>Ghosh-Rasmussen (media pais=1) sobre bloque domestico</t>
        </is>
      </c>
      <c r="E28" s="5" t="inlineStr">
        <is>
          <t>OECD ICIO 2023</t>
        </is>
      </c>
      <c r="F28" s="6" t="inlineStr">
        <is>
          <t>icio_comparacion.py, icio_eslabones.py</t>
        </is>
      </c>
      <c r="G28" s="6" t="inlineStr">
        <is>
          <t>icio_comparacion_mineria.csv, icio_eslabones_metal.csv</t>
        </is>
      </c>
      <c r="H28" s="6" t="inlineStr">
        <is>
          <t>21 ICIO</t>
        </is>
      </c>
      <c r="I28" s="5" t="inlineStr">
        <is>
          <t>Resultado + procedencia</t>
        </is>
      </c>
    </row>
    <row r="29">
      <c r="A29" s="9" t="inlineStr">
        <is>
          <t>7 Internacional</t>
        </is>
      </c>
      <c r="B29" s="9" t="inlineStr">
        <is>
          <t>DVA / crudo_share (ICIO)</t>
        </is>
      </c>
      <c r="C29" s="8" t="inlineStr">
        <is>
          <t>El enclave en dinero: fraccion del VA minero exportado en crudo</t>
        </is>
      </c>
      <c r="D29" s="8" t="inlineStr">
        <is>
          <t>descomposicion Leontief global: dva_share, crudo_share, foreign_abs</t>
        </is>
      </c>
      <c r="E29" s="8" t="inlineStr">
        <is>
          <t>OECD ICIO 2023 (matriz global)</t>
        </is>
      </c>
      <c r="F29" s="9" t="inlineStr">
        <is>
          <t>icio_dva.py</t>
        </is>
      </c>
      <c r="G29" s="9" t="inlineStr">
        <is>
          <t>icio_dva_mineria.csv</t>
        </is>
      </c>
      <c r="H29" s="9" t="inlineStr">
        <is>
          <t>21 ICIO</t>
        </is>
      </c>
      <c r="I29" s="8" t="inlineStr">
        <is>
          <t>Resultado + identidad crudo+reproc=1 formula viva</t>
        </is>
      </c>
    </row>
    <row r="30">
      <c r="A30" s="6" t="inlineStr">
        <is>
          <t>8 Criticidad</t>
        </is>
      </c>
      <c r="B30" s="6" t="inlineStr">
        <is>
          <t>Criticidad por producto</t>
        </is>
      </c>
      <c r="C30" s="5" t="inlineStr">
        <is>
          <t>Eslabon de mayor criticidad de cada mineral y si Mexico lo produce/exporta/importa</t>
        </is>
      </c>
      <c r="D30" s="5" t="inlineStr">
        <is>
          <t>(clasificacion oficial USGS/UE/IEA)</t>
        </is>
      </c>
      <c r="E30" s="5" t="inlineStr">
        <is>
          <t>listas oficiales</t>
        </is>
      </c>
      <c r="F30" s="6" t="inlineStr">
        <is>
          <t>(fichado)</t>
        </is>
      </c>
      <c r="G30" s="6" t="inlineStr">
        <is>
          <t>criticidad_productos.csv</t>
        </is>
      </c>
      <c r="H30" s="6" t="inlineStr">
        <is>
          <t>22 Criticidad</t>
        </is>
      </c>
      <c r="I30" s="5" t="inlineStr">
        <is>
          <t>Clasificacion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6" customWidth="1" min="4" max="4"/>
    <col width="16" customWidth="1" min="5" max="5"/>
    <col width="10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24" customWidth="1" min="12" max="12"/>
    <col width="8" customWidth="1" min="13" max="13"/>
    <col width="40" customWidth="1" min="14" max="14"/>
    <col width="18" customWidth="1" min="15" max="15"/>
    <col width="13" customWidth="1" min="16" max="16"/>
  </cols>
  <sheetData>
    <row r="1" ht="24" customHeight="1">
      <c r="A1" s="1" t="inlineStr">
        <is>
          <t>HHI - numeradores (participaciones por empresa/mina)</t>
        </is>
      </c>
    </row>
    <row r="2" ht="40" customHeight="1">
      <c r="A2" s="2" t="inlineStr">
        <is>
          <t>Insumo del HHI: participacion de cada empresa/mina y total nacional, con FUENTE y PAGINA (CAMIMEX/USGS). La columna verde recomputa participacion = volumen / total_nacional x 100 SOLO cuando volumen y total estan en la MISMA unidad; una 'dif' grande marca filas donde la fuente narrativa mezcla unidades (p.ej. oro en 'miles oz' vs total en toneladas) o usa CAPACIDAD, no produccion (barita/fluorita duopolio =&gt; &gt;100%). Por eso el HHI final por mineral-anio se arma con residual/'metodo' por fila en '08 HHI serie', no por division directa.</t>
        </is>
      </c>
    </row>
    <row r="3">
      <c r="A3" s="3" t="inlineStr">
        <is>
          <t>mineral</t>
        </is>
      </c>
      <c r="B3" s="3" t="inlineStr">
        <is>
          <t>anio_dato</t>
        </is>
      </c>
      <c r="C3" s="3" t="inlineStr">
        <is>
          <t>nivel</t>
        </is>
      </c>
      <c r="D3" s="3" t="inlineStr">
        <is>
          <t>unidad_minera</t>
        </is>
      </c>
      <c r="E3" s="3" t="inlineStr">
        <is>
          <t>empresa</t>
        </is>
      </c>
      <c r="F3" s="3" t="inlineStr">
        <is>
          <t>estado</t>
        </is>
      </c>
      <c r="G3" s="3" t="inlineStr">
        <is>
          <t>volumen</t>
        </is>
      </c>
      <c r="H3" s="3" t="inlineStr">
        <is>
          <t>unidad_volumen</t>
        </is>
      </c>
      <c r="I3" s="3" t="inlineStr">
        <is>
          <t>participacion_pct</t>
        </is>
      </c>
      <c r="J3" s="3" t="inlineStr">
        <is>
          <t>total_nacional</t>
        </is>
      </c>
      <c r="K3" s="3" t="inlineStr">
        <is>
          <t>unidad_total</t>
        </is>
      </c>
      <c r="L3" s="3" t="inlineStr">
        <is>
          <t>fuente</t>
        </is>
      </c>
      <c r="M3" s="3" t="inlineStr">
        <is>
          <t>pagina</t>
        </is>
      </c>
      <c r="N3" s="3" t="inlineStr">
        <is>
          <t>nota</t>
        </is>
      </c>
      <c r="O3" s="10" t="inlineStr">
        <is>
          <t>participacion (=formula) %</t>
        </is>
      </c>
      <c r="P3" s="10" t="inlineStr">
        <is>
          <t>dif vs reportada</t>
        </is>
      </c>
    </row>
    <row r="4">
      <c r="A4" s="6" t="inlineStr">
        <is>
          <t>Barita</t>
        </is>
      </c>
      <c r="B4" s="6" t="n">
        <v>2020</v>
      </c>
      <c r="C4" s="6" t="inlineStr">
        <is>
          <t>empresa</t>
        </is>
      </c>
      <c r="D4" s="6" t="n"/>
      <c r="E4" s="6" t="inlineStr">
        <is>
          <t>Baramin</t>
        </is>
      </c>
      <c r="F4" s="6" t="n"/>
      <c r="G4" s="6" t="n">
        <v>235000</v>
      </c>
      <c r="H4" s="6" t="inlineStr">
        <is>
          <t>toneladas</t>
        </is>
      </c>
      <c r="I4" s="6" t="n">
        <v>63.1</v>
      </c>
      <c r="J4" s="6" t="n">
        <v>372262</v>
      </c>
      <c r="K4" s="6" t="inlineStr">
        <is>
          <t>toneladas</t>
        </is>
      </c>
      <c r="L4" s="5" t="inlineStr">
        <is>
          <t>Informe CAMIMEX 2021</t>
        </is>
      </c>
      <c r="M4" s="6" t="n"/>
      <c r="N4" s="5" t="inlineStr">
        <is>
          <t>Baramin 235 mil t de 372262 = 63.1pct</t>
        </is>
      </c>
      <c r="O4" s="11">
        <f>IF(AND(ISNUMBER(G4),ISNUMBER(J4),J4&lt;&gt;0,H4=K4),G4/J4*100,"")</f>
        <v/>
      </c>
      <c r="P4" s="11">
        <f>IF(AND(ISNUMBER(O4),ISNUMBER(I4)),ROUND(O4-I4,2),"")</f>
        <v/>
      </c>
    </row>
    <row r="5">
      <c r="A5" s="9" t="inlineStr">
        <is>
          <t>Barita</t>
        </is>
      </c>
      <c r="B5" s="9" t="n">
        <v>2021</v>
      </c>
      <c r="C5" s="9" t="inlineStr">
        <is>
          <t>empresa</t>
        </is>
      </c>
      <c r="D5" s="9" t="n"/>
      <c r="E5" s="9" t="inlineStr">
        <is>
          <t>Baramin</t>
        </is>
      </c>
      <c r="F5" s="9" t="n"/>
      <c r="G5" s="9" t="n">
        <v>264000</v>
      </c>
      <c r="H5" s="9" t="inlineStr">
        <is>
          <t>toneladas</t>
        </is>
      </c>
      <c r="I5" s="9" t="n">
        <v>82.3</v>
      </c>
      <c r="J5" s="9" t="n">
        <v>320642</v>
      </c>
      <c r="K5" s="9" t="inlineStr">
        <is>
          <t>toneladas</t>
        </is>
      </c>
      <c r="L5" s="8" t="inlineStr">
        <is>
          <t>Informe CAMIMEX 2022 p76</t>
        </is>
      </c>
      <c r="M5" s="9" t="n"/>
      <c r="N5" s="8" t="inlineStr">
        <is>
          <t>OJO: denominador barita</t>
        </is>
      </c>
      <c r="O5" s="11">
        <f>IF(AND(ISNUMBER(G5),ISNUMBER(J5),J5&lt;&gt;0,H5=K5),G5/J5*100,"")</f>
        <v/>
      </c>
      <c r="P5" s="11">
        <f>IF(AND(ISNUMBER(O5),ISNUMBER(I5)),ROUND(O5-I5,2),"")</f>
        <v/>
      </c>
    </row>
    <row r="6">
      <c r="A6" s="6" t="inlineStr">
        <is>
          <t>Barita</t>
        </is>
      </c>
      <c r="B6" s="6" t="n">
        <v>2022</v>
      </c>
      <c r="C6" s="6" t="inlineStr">
        <is>
          <t>empresa</t>
        </is>
      </c>
      <c r="D6" s="6" t="n"/>
      <c r="E6" s="6" t="inlineStr">
        <is>
          <t>Baramin</t>
        </is>
      </c>
      <c r="F6" s="6" t="n"/>
      <c r="G6" s="6" t="n">
        <v>152000</v>
      </c>
      <c r="H6" s="6" t="inlineStr">
        <is>
          <t>toneladas</t>
        </is>
      </c>
      <c r="I6" s="6" t="n">
        <v>49.8</v>
      </c>
      <c r="J6" s="6" t="n">
        <v>305270</v>
      </c>
      <c r="K6" s="6" t="inlineStr">
        <is>
          <t>toneladas</t>
        </is>
      </c>
      <c r="L6" s="5" t="inlineStr">
        <is>
          <t>Informe CAMIMEX 2023 p74</t>
        </is>
      </c>
      <c r="M6" s="6" t="n"/>
      <c r="N6" s="5" t="inlineStr">
        <is>
          <t>Baramin 152k de 305k nacional (CAMIMEX)</t>
        </is>
      </c>
      <c r="O6" s="11">
        <f>IF(AND(ISNUMBER(G6),ISNUMBER(J6),J6&lt;&gt;0,H6=K6),G6/J6*100,"")</f>
        <v/>
      </c>
      <c r="P6" s="11">
        <f>IF(AND(ISNUMBER(O6),ISNUMBER(I6)),ROUND(O6-I6,2),"")</f>
        <v/>
      </c>
    </row>
    <row r="7">
      <c r="A7" s="9" t="inlineStr">
        <is>
          <t>Barita</t>
        </is>
      </c>
      <c r="B7" s="9" t="n">
        <v>2023</v>
      </c>
      <c r="C7" s="9" t="inlineStr">
        <is>
          <t>empresa</t>
        </is>
      </c>
      <c r="D7" s="9" t="n"/>
      <c r="E7" s="9" t="inlineStr">
        <is>
          <t>Baramin</t>
        </is>
      </c>
      <c r="F7" s="9" t="n"/>
      <c r="G7" s="9" t="n">
        <v>109953</v>
      </c>
      <c r="H7" s="9" t="inlineStr">
        <is>
          <t>toneladas</t>
        </is>
      </c>
      <c r="I7" s="9" t="n">
        <v>37.1</v>
      </c>
      <c r="J7" s="9" t="n">
        <v>295989</v>
      </c>
      <c r="K7" s="9" t="inlineStr">
        <is>
          <t>toneladas</t>
        </is>
      </c>
      <c r="L7" s="8" t="inlineStr">
        <is>
          <t>Informe CAMIMEX 2024 p87</t>
        </is>
      </c>
      <c r="M7" s="9" t="n"/>
      <c r="N7" s="8" t="inlineStr">
        <is>
          <t>Baramin 109953 de 295989 nacional</t>
        </is>
      </c>
      <c r="O7" s="11">
        <f>IF(AND(ISNUMBER(G7),ISNUMBER(J7),J7&lt;&gt;0,H7=K7),G7/J7*100,"")</f>
        <v/>
      </c>
      <c r="P7" s="11">
        <f>IF(AND(ISNUMBER(O7),ISNUMBER(I7)),ROUND(O7-I7,2),"")</f>
        <v/>
      </c>
    </row>
    <row r="8">
      <c r="A8" s="6" t="inlineStr">
        <is>
          <t>Barita</t>
        </is>
      </c>
      <c r="B8" s="6" t="n">
        <v>2024</v>
      </c>
      <c r="C8" s="6" t="inlineStr">
        <is>
          <t>empresa</t>
        </is>
      </c>
      <c r="D8" s="6" t="n"/>
      <c r="E8" s="6" t="inlineStr">
        <is>
          <t>Baramin</t>
        </is>
      </c>
      <c r="F8" s="6" t="n"/>
      <c r="G8" s="6" t="n">
        <v>59980</v>
      </c>
      <c r="H8" s="6" t="inlineStr">
        <is>
          <t>toneladas</t>
        </is>
      </c>
      <c r="I8" s="6" t="n">
        <v>24.6</v>
      </c>
      <c r="J8" s="6" t="n">
        <v>244269</v>
      </c>
      <c r="K8" s="6" t="inlineStr">
        <is>
          <t>toneladas</t>
        </is>
      </c>
      <c r="L8" s="5" t="inlineStr">
        <is>
          <t>Informe CAMIMEX 2025 p72</t>
        </is>
      </c>
      <c r="M8" s="6" t="n"/>
      <c r="N8" s="5" t="inlineStr">
        <is>
          <t>Baramin 59980 de 244269; agotamiento mina Grecia</t>
        </is>
      </c>
      <c r="O8" s="11">
        <f>IF(AND(ISNUMBER(G8),ISNUMBER(J8),J8&lt;&gt;0,H8=K8),G8/J8*100,"")</f>
        <v/>
      </c>
      <c r="P8" s="11">
        <f>IF(AND(ISNUMBER(O8),ISNUMBER(I8)),ROUND(O8-I8,2),"")</f>
        <v/>
      </c>
    </row>
    <row r="9">
      <c r="A9" s="9" t="inlineStr">
        <is>
          <t>Cobre</t>
        </is>
      </c>
      <c r="B9" s="9" t="n">
        <v>2021</v>
      </c>
      <c r="C9" s="9" t="inlineStr">
        <is>
          <t>empresa</t>
        </is>
      </c>
      <c r="D9" s="9" t="n"/>
      <c r="E9" s="9" t="inlineStr">
        <is>
          <t>Grupo Mexico</t>
        </is>
      </c>
      <c r="F9" s="9" t="n"/>
      <c r="G9" s="9" t="n"/>
      <c r="H9" s="9" t="inlineStr">
        <is>
          <t>559833</t>
        </is>
      </c>
      <c r="I9" s="9" t="n">
        <v>76.3</v>
      </c>
      <c r="J9" s="9" t="n">
        <v>734137</v>
      </c>
      <c r="K9" s="9" t="inlineStr">
        <is>
          <t>toneladas</t>
        </is>
      </c>
      <c r="L9" s="8" t="inlineStr">
        <is>
          <t>Informe CAMIMEX 2022</t>
        </is>
      </c>
      <c r="M9" s="9" t="n">
        <v>44</v>
      </c>
      <c r="N9" s="8" t="inlineStr">
        <is>
          <t>Narrativa: 559833 t = 76.3%; siguen Frisco Santa Maria de la Paz Capstone Aura</t>
        </is>
      </c>
      <c r="O9" s="11">
        <f>IF(AND(ISNUMBER(G9),ISNUMBER(J9),J9&lt;&gt;0,H9=K9),G9/J9*100,"")</f>
        <v/>
      </c>
      <c r="P9" s="11">
        <f>IF(AND(ISNUMBER(O9),ISNUMBER(I9)),ROUND(O9-I9,2),"")</f>
        <v/>
      </c>
    </row>
    <row r="10">
      <c r="A10" s="6" t="inlineStr">
        <is>
          <t>Cobre</t>
        </is>
      </c>
      <c r="B10" s="6" t="n">
        <v>2021</v>
      </c>
      <c r="C10" s="6" t="inlineStr">
        <is>
          <t>mina</t>
        </is>
      </c>
      <c r="D10" s="6" t="inlineStr">
        <is>
          <t>Aranzazu</t>
        </is>
      </c>
      <c r="E10" s="6" t="inlineStr">
        <is>
          <t>Aura Minerals</t>
        </is>
      </c>
      <c r="F10" s="6" t="inlineStr">
        <is>
          <t>Zac.</t>
        </is>
      </c>
      <c r="G10" s="6" t="n">
        <v>14700</v>
      </c>
      <c r="H10" s="6" t="inlineStr">
        <is>
          <t>toneladas</t>
        </is>
      </c>
      <c r="I10" s="6" t="n"/>
      <c r="J10" s="6" t="n">
        <v>734137</v>
      </c>
      <c r="K10" s="6" t="inlineStr">
        <is>
          <t>toneladas</t>
        </is>
      </c>
      <c r="L10" s="5" t="inlineStr">
        <is>
          <t>Informe CAMIMEX 2022</t>
        </is>
      </c>
      <c r="M10" s="6" t="n">
        <v>44</v>
      </c>
      <c r="N10" s="5" t="inlineStr">
        <is>
          <t>14.70 miles t</t>
        </is>
      </c>
      <c r="O10" s="11">
        <f>IF(AND(ISNUMBER(G10),ISNUMBER(J10),J10&lt;&gt;0,H10=K10),G10/J10*100,"")</f>
        <v/>
      </c>
      <c r="P10" s="11">
        <f>IF(AND(ISNUMBER(O10),ISNUMBER(I10)),ROUND(O10-I10,2),"")</f>
        <v/>
      </c>
    </row>
    <row r="11">
      <c r="A11" s="9" t="inlineStr">
        <is>
          <t>Cobre</t>
        </is>
      </c>
      <c r="B11" s="9" t="n">
        <v>2021</v>
      </c>
      <c r="C11" s="9" t="inlineStr">
        <is>
          <t>mina</t>
        </is>
      </c>
      <c r="D11" s="9" t="inlineStr">
        <is>
          <t>Bolivar</t>
        </is>
      </c>
      <c r="E11" s="9" t="inlineStr">
        <is>
          <t>Sierra Metals</t>
        </is>
      </c>
      <c r="F11" s="9" t="inlineStr">
        <is>
          <t>Chih.</t>
        </is>
      </c>
      <c r="G11" s="9" t="n">
        <v>7670</v>
      </c>
      <c r="H11" s="9" t="inlineStr">
        <is>
          <t>toneladas</t>
        </is>
      </c>
      <c r="I11" s="9" t="n"/>
      <c r="J11" s="9" t="n">
        <v>734137</v>
      </c>
      <c r="K11" s="9" t="inlineStr">
        <is>
          <t>toneladas</t>
        </is>
      </c>
      <c r="L11" s="8" t="inlineStr">
        <is>
          <t>Informe CAMIMEX 2022</t>
        </is>
      </c>
      <c r="M11" s="9" t="n">
        <v>44</v>
      </c>
      <c r="N11" s="8" t="inlineStr">
        <is>
          <t>7.67 miles t</t>
        </is>
      </c>
      <c r="O11" s="11">
        <f>IF(AND(ISNUMBER(G11),ISNUMBER(J11),J11&lt;&gt;0,H11=K11),G11/J11*100,"")</f>
        <v/>
      </c>
      <c r="P11" s="11">
        <f>IF(AND(ISNUMBER(O11),ISNUMBER(I11)),ROUND(O11-I11,2),"")</f>
        <v/>
      </c>
    </row>
    <row r="12">
      <c r="A12" s="6" t="inlineStr">
        <is>
          <t>Cobre</t>
        </is>
      </c>
      <c r="B12" s="6" t="n">
        <v>2021</v>
      </c>
      <c r="C12" s="6" t="inlineStr">
        <is>
          <t>mina</t>
        </is>
      </c>
      <c r="D12" s="6" t="inlineStr">
        <is>
          <t>Buenavista del Cobre</t>
        </is>
      </c>
      <c r="E12" s="6" t="inlineStr">
        <is>
          <t>Grupo Mexico</t>
        </is>
      </c>
      <c r="F12" s="6" t="inlineStr">
        <is>
          <t>Son.</t>
        </is>
      </c>
      <c r="G12" s="6" t="n">
        <v>341200</v>
      </c>
      <c r="H12" s="6" t="inlineStr">
        <is>
          <t>toneladas</t>
        </is>
      </c>
      <c r="I12" s="6" t="n"/>
      <c r="J12" s="6" t="n">
        <v>734137</v>
      </c>
      <c r="K12" s="6" t="inlineStr">
        <is>
          <t>toneladas</t>
        </is>
      </c>
      <c r="L12" s="5" t="inlineStr">
        <is>
          <t>Informe CAMIMEX 2022</t>
        </is>
      </c>
      <c r="M12" s="6" t="n">
        <v>44</v>
      </c>
      <c r="N12" s="5" t="inlineStr">
        <is>
          <t>Tabla top-15 en miles de t verificada en imagen (341.20)</t>
        </is>
      </c>
      <c r="O12" s="11">
        <f>IF(AND(ISNUMBER(G12),ISNUMBER(J12),J12&lt;&gt;0,H12=K12),G12/J12*100,"")</f>
        <v/>
      </c>
      <c r="P12" s="11">
        <f>IF(AND(ISNUMBER(O12),ISNUMBER(I12)),ROUND(O12-I12,2),"")</f>
        <v/>
      </c>
    </row>
    <row r="13">
      <c r="A13" s="9" t="inlineStr">
        <is>
          <t>Cobre</t>
        </is>
      </c>
      <c r="B13" s="9" t="n">
        <v>2021</v>
      </c>
      <c r="C13" s="9" t="inlineStr">
        <is>
          <t>mina</t>
        </is>
      </c>
      <c r="D13" s="9" t="inlineStr">
        <is>
          <t>Capela</t>
        </is>
      </c>
      <c r="E13" s="9" t="inlineStr">
        <is>
          <t>Industrias Penoles</t>
        </is>
      </c>
      <c r="F13" s="9" t="inlineStr">
        <is>
          <t>Gro.</t>
        </is>
      </c>
      <c r="G13" s="9" t="n">
        <v>3210</v>
      </c>
      <c r="H13" s="9" t="inlineStr">
        <is>
          <t>toneladas</t>
        </is>
      </c>
      <c r="I13" s="9" t="n"/>
      <c r="J13" s="9" t="n">
        <v>734137</v>
      </c>
      <c r="K13" s="9" t="inlineStr">
        <is>
          <t>toneladas</t>
        </is>
      </c>
      <c r="L13" s="8" t="inlineStr">
        <is>
          <t>Informe CAMIMEX 2022</t>
        </is>
      </c>
      <c r="M13" s="9" t="n">
        <v>44</v>
      </c>
      <c r="N13" s="8" t="inlineStr">
        <is>
          <t>3.21 miles t</t>
        </is>
      </c>
      <c r="O13" s="11">
        <f>IF(AND(ISNUMBER(G13),ISNUMBER(J13),J13&lt;&gt;0,H13=K13),G13/J13*100,"")</f>
        <v/>
      </c>
      <c r="P13" s="11">
        <f>IF(AND(ISNUMBER(O13),ISNUMBER(I13)),ROUND(O13-I13,2),"")</f>
        <v/>
      </c>
    </row>
    <row r="14">
      <c r="A14" s="6" t="inlineStr">
        <is>
          <t>Cobre</t>
        </is>
      </c>
      <c r="B14" s="6" t="n">
        <v>2021</v>
      </c>
      <c r="C14" s="6" t="inlineStr">
        <is>
          <t>mina</t>
        </is>
      </c>
      <c r="D14" s="6" t="inlineStr">
        <is>
          <t>Charcas</t>
        </is>
      </c>
      <c r="E14" s="6" t="inlineStr">
        <is>
          <t>Grupo Mexico</t>
        </is>
      </c>
      <c r="F14" s="6" t="inlineStr">
        <is>
          <t>S.L.P.</t>
        </is>
      </c>
      <c r="G14" s="6" t="n">
        <v>3340</v>
      </c>
      <c r="H14" s="6" t="inlineStr">
        <is>
          <t>toneladas</t>
        </is>
      </c>
      <c r="I14" s="6" t="n"/>
      <c r="J14" s="6" t="n">
        <v>734137</v>
      </c>
      <c r="K14" s="6" t="inlineStr">
        <is>
          <t>toneladas</t>
        </is>
      </c>
      <c r="L14" s="5" t="inlineStr">
        <is>
          <t>Informe CAMIMEX 2022</t>
        </is>
      </c>
      <c r="M14" s="6" t="n">
        <v>44</v>
      </c>
      <c r="N14" s="5" t="inlineStr">
        <is>
          <t>3.34 miles t</t>
        </is>
      </c>
      <c r="O14" s="11">
        <f>IF(AND(ISNUMBER(G14),ISNUMBER(J14),J14&lt;&gt;0,H14=K14),G14/J14*100,"")</f>
        <v/>
      </c>
      <c r="P14" s="11">
        <f>IF(AND(ISNUMBER(O14),ISNUMBER(I14)),ROUND(O14-I14,2),"")</f>
        <v/>
      </c>
    </row>
    <row r="15">
      <c r="A15" s="9" t="inlineStr">
        <is>
          <t>Cobre</t>
        </is>
      </c>
      <c r="B15" s="9" t="n">
        <v>2021</v>
      </c>
      <c r="C15" s="9" t="inlineStr">
        <is>
          <t>mina</t>
        </is>
      </c>
      <c r="D15" s="9" t="inlineStr">
        <is>
          <t>Cozamin</t>
        </is>
      </c>
      <c r="E15" s="9" t="inlineStr">
        <is>
          <t>Capstone Mining</t>
        </is>
      </c>
      <c r="F15" s="9" t="inlineStr">
        <is>
          <t>Zac.</t>
        </is>
      </c>
      <c r="G15" s="9" t="n">
        <v>24420</v>
      </c>
      <c r="H15" s="9" t="inlineStr">
        <is>
          <t>toneladas</t>
        </is>
      </c>
      <c r="I15" s="9" t="n"/>
      <c r="J15" s="9" t="n">
        <v>734137</v>
      </c>
      <c r="K15" s="9" t="inlineStr">
        <is>
          <t>toneladas</t>
        </is>
      </c>
      <c r="L15" s="8" t="inlineStr">
        <is>
          <t>Informe CAMIMEX 2022</t>
        </is>
      </c>
      <c r="M15" s="9" t="n">
        <v>44</v>
      </c>
      <c r="N15" s="8" t="inlineStr">
        <is>
          <t>24.42 miles t</t>
        </is>
      </c>
      <c r="O15" s="11">
        <f>IF(AND(ISNUMBER(G15),ISNUMBER(J15),J15&lt;&gt;0,H15=K15),G15/J15*100,"")</f>
        <v/>
      </c>
      <c r="P15" s="11">
        <f>IF(AND(ISNUMBER(O15),ISNUMBER(I15)),ROUND(O15-I15,2),"")</f>
        <v/>
      </c>
    </row>
    <row r="16">
      <c r="A16" s="6" t="inlineStr">
        <is>
          <t>Cobre</t>
        </is>
      </c>
      <c r="B16" s="6" t="n">
        <v>2021</v>
      </c>
      <c r="C16" s="6" t="inlineStr">
        <is>
          <t>mina</t>
        </is>
      </c>
      <c r="D16" s="6" t="inlineStr">
        <is>
          <t>La Caridad</t>
        </is>
      </c>
      <c r="E16" s="6" t="inlineStr">
        <is>
          <t>Grupo Mexico</t>
        </is>
      </c>
      <c r="F16" s="6" t="inlineStr">
        <is>
          <t>Son.</t>
        </is>
      </c>
      <c r="G16" s="6" t="n">
        <v>102690</v>
      </c>
      <c r="H16" s="6" t="inlineStr">
        <is>
          <t>toneladas</t>
        </is>
      </c>
      <c r="I16" s="6" t="n"/>
      <c r="J16" s="6" t="n">
        <v>734137</v>
      </c>
      <c r="K16" s="6" t="inlineStr">
        <is>
          <t>toneladas</t>
        </is>
      </c>
      <c r="L16" s="5" t="inlineStr">
        <is>
          <t>Informe CAMIMEX 2022</t>
        </is>
      </c>
      <c r="M16" s="6" t="n">
        <v>44</v>
      </c>
      <c r="N16" s="5" t="inlineStr">
        <is>
          <t>102.69 miles t</t>
        </is>
      </c>
      <c r="O16" s="11">
        <f>IF(AND(ISNUMBER(G16),ISNUMBER(J16),J16&lt;&gt;0,H16=K16),G16/J16*100,"")</f>
        <v/>
      </c>
      <c r="P16" s="11">
        <f>IF(AND(ISNUMBER(O16),ISNUMBER(I16)),ROUND(O16-I16,2),"")</f>
        <v/>
      </c>
    </row>
    <row r="17">
      <c r="A17" s="9" t="inlineStr">
        <is>
          <t>Cobre</t>
        </is>
      </c>
      <c r="B17" s="9" t="n">
        <v>2021</v>
      </c>
      <c r="C17" s="9" t="inlineStr">
        <is>
          <t>mina</t>
        </is>
      </c>
      <c r="D17" s="9" t="inlineStr">
        <is>
          <t>La Paz</t>
        </is>
      </c>
      <c r="E17" s="9" t="inlineStr">
        <is>
          <t>Neg. Mra. Sta. Ma. de La Paz y Anexas</t>
        </is>
      </c>
      <c r="F17" s="9" t="inlineStr">
        <is>
          <t>S.L.P.</t>
        </is>
      </c>
      <c r="G17" s="9" t="n">
        <v>25210</v>
      </c>
      <c r="H17" s="9" t="inlineStr">
        <is>
          <t>toneladas</t>
        </is>
      </c>
      <c r="I17" s="9" t="n"/>
      <c r="J17" s="9" t="n">
        <v>734137</v>
      </c>
      <c r="K17" s="9" t="inlineStr">
        <is>
          <t>toneladas</t>
        </is>
      </c>
      <c r="L17" s="8" t="inlineStr">
        <is>
          <t>Informe CAMIMEX 2022</t>
        </is>
      </c>
      <c r="M17" s="9" t="n">
        <v>44</v>
      </c>
      <c r="N17" s="8" t="inlineStr">
        <is>
          <t>25.21 miles t</t>
        </is>
      </c>
      <c r="O17" s="11">
        <f>IF(AND(ISNUMBER(G17),ISNUMBER(J17),J17&lt;&gt;0,H17=K17),G17/J17*100,"")</f>
        <v/>
      </c>
      <c r="P17" s="11">
        <f>IF(AND(ISNUMBER(O17),ISNUMBER(I17)),ROUND(O17-I17,2),"")</f>
        <v/>
      </c>
    </row>
    <row r="18">
      <c r="A18" s="6" t="inlineStr">
        <is>
          <t>Cobre</t>
        </is>
      </c>
      <c r="B18" s="6" t="n">
        <v>2021</v>
      </c>
      <c r="C18" s="6" t="inlineStr">
        <is>
          <t>mina</t>
        </is>
      </c>
      <c r="D18" s="6" t="inlineStr">
        <is>
          <t>Sabinas</t>
        </is>
      </c>
      <c r="E18" s="6" t="inlineStr">
        <is>
          <t>Industrias Penoles</t>
        </is>
      </c>
      <c r="F18" s="6" t="inlineStr">
        <is>
          <t>Zac.</t>
        </is>
      </c>
      <c r="G18" s="6" t="n">
        <v>3680</v>
      </c>
      <c r="H18" s="6" t="inlineStr">
        <is>
          <t>toneladas</t>
        </is>
      </c>
      <c r="I18" s="6" t="n"/>
      <c r="J18" s="6" t="n">
        <v>734137</v>
      </c>
      <c r="K18" s="6" t="inlineStr">
        <is>
          <t>toneladas</t>
        </is>
      </c>
      <c r="L18" s="5" t="inlineStr">
        <is>
          <t>Informe CAMIMEX 2022</t>
        </is>
      </c>
      <c r="M18" s="6" t="n">
        <v>44</v>
      </c>
      <c r="N18" s="5" t="inlineStr">
        <is>
          <t>3.68 miles t</t>
        </is>
      </c>
      <c r="O18" s="11">
        <f>IF(AND(ISNUMBER(G18),ISNUMBER(J18),J18&lt;&gt;0,H18=K18),G18/J18*100,"")</f>
        <v/>
      </c>
      <c r="P18" s="11">
        <f>IF(AND(ISNUMBER(O18),ISNUMBER(I18)),ROUND(O18-I18,2),"")</f>
        <v/>
      </c>
    </row>
    <row r="19">
      <c r="A19" s="9" t="inlineStr">
        <is>
          <t>Cobre</t>
        </is>
      </c>
      <c r="B19" s="9" t="n">
        <v>2021</v>
      </c>
      <c r="C19" s="9" t="inlineStr">
        <is>
          <t>mina</t>
        </is>
      </c>
      <c r="D19" s="9" t="inlineStr">
        <is>
          <t>San Martin</t>
        </is>
      </c>
      <c r="E19" s="9" t="inlineStr">
        <is>
          <t>Grupo Mexico</t>
        </is>
      </c>
      <c r="F19" s="9" t="inlineStr">
        <is>
          <t>Zac.</t>
        </is>
      </c>
      <c r="G19" s="9" t="n">
        <v>3080</v>
      </c>
      <c r="H19" s="9" t="inlineStr">
        <is>
          <t>toneladas</t>
        </is>
      </c>
      <c r="I19" s="9" t="n"/>
      <c r="J19" s="9" t="n">
        <v>734137</v>
      </c>
      <c r="K19" s="9" t="inlineStr">
        <is>
          <t>toneladas</t>
        </is>
      </c>
      <c r="L19" s="8" t="inlineStr">
        <is>
          <t>Informe CAMIMEX 2022</t>
        </is>
      </c>
      <c r="M19" s="9" t="n">
        <v>44</v>
      </c>
      <c r="N19" s="8" t="inlineStr">
        <is>
          <t>3.08 miles t</t>
        </is>
      </c>
      <c r="O19" s="11">
        <f>IF(AND(ISNUMBER(G19),ISNUMBER(J19),J19&lt;&gt;0,H19=K19),G19/J19*100,"")</f>
        <v/>
      </c>
      <c r="P19" s="11">
        <f>IF(AND(ISNUMBER(O19),ISNUMBER(I19)),ROUND(O19-I19,2),"")</f>
        <v/>
      </c>
    </row>
    <row r="20">
      <c r="A20" s="6" t="inlineStr">
        <is>
          <t>Cobre</t>
        </is>
      </c>
      <c r="B20" s="6" t="n">
        <v>2021</v>
      </c>
      <c r="C20" s="6" t="inlineStr">
        <is>
          <t>mina</t>
        </is>
      </c>
      <c r="D20" s="6" t="inlineStr">
        <is>
          <t>Santa Barbara</t>
        </is>
      </c>
      <c r="E20" s="6" t="inlineStr">
        <is>
          <t>Grupo Mexico</t>
        </is>
      </c>
      <c r="F20" s="6" t="inlineStr">
        <is>
          <t>Chih.</t>
        </is>
      </c>
      <c r="G20" s="6" t="n">
        <v>2290</v>
      </c>
      <c r="H20" s="6" t="inlineStr">
        <is>
          <t>toneladas</t>
        </is>
      </c>
      <c r="I20" s="6" t="n"/>
      <c r="J20" s="6" t="n">
        <v>734137</v>
      </c>
      <c r="K20" s="6" t="inlineStr">
        <is>
          <t>toneladas</t>
        </is>
      </c>
      <c r="L20" s="5" t="inlineStr">
        <is>
          <t>Informe CAMIMEX 2022</t>
        </is>
      </c>
      <c r="M20" s="6" t="n">
        <v>44</v>
      </c>
      <c r="N20" s="5" t="inlineStr">
        <is>
          <t>2.29 miles t</t>
        </is>
      </c>
      <c r="O20" s="11">
        <f>IF(AND(ISNUMBER(G20),ISNUMBER(J20),J20&lt;&gt;0,H20=K20),G20/J20*100,"")</f>
        <v/>
      </c>
      <c r="P20" s="11">
        <f>IF(AND(ISNUMBER(O20),ISNUMBER(I20)),ROUND(O20-I20,2),"")</f>
        <v/>
      </c>
    </row>
    <row r="21">
      <c r="A21" s="9" t="inlineStr">
        <is>
          <t>Cobre</t>
        </is>
      </c>
      <c r="B21" s="9" t="n">
        <v>2021</v>
      </c>
      <c r="C21" s="9" t="inlineStr">
        <is>
          <t>mina</t>
        </is>
      </c>
      <c r="D21" s="9" t="inlineStr">
        <is>
          <t>Tayahua</t>
        </is>
      </c>
      <c r="E21" s="9" t="inlineStr">
        <is>
          <t>Minera Frisco</t>
        </is>
      </c>
      <c r="F21" s="9" t="inlineStr">
        <is>
          <t>Zac.</t>
        </is>
      </c>
      <c r="G21" s="9" t="n">
        <v>23230</v>
      </c>
      <c r="H21" s="9" t="inlineStr">
        <is>
          <t>toneladas</t>
        </is>
      </c>
      <c r="I21" s="9" t="n"/>
      <c r="J21" s="9" t="n">
        <v>734137</v>
      </c>
      <c r="K21" s="9" t="inlineStr">
        <is>
          <t>toneladas</t>
        </is>
      </c>
      <c r="L21" s="8" t="inlineStr">
        <is>
          <t>Informe CAMIMEX 2022</t>
        </is>
      </c>
      <c r="M21" s="9" t="n">
        <v>44</v>
      </c>
      <c r="N21" s="8" t="inlineStr">
        <is>
          <t>23.23 miles t</t>
        </is>
      </c>
      <c r="O21" s="11">
        <f>IF(AND(ISNUMBER(G21),ISNUMBER(J21),J21&lt;&gt;0,H21=K21),G21/J21*100,"")</f>
        <v/>
      </c>
      <c r="P21" s="11">
        <f>IF(AND(ISNUMBER(O21),ISNUMBER(I21)),ROUND(O21-I21,2),"")</f>
        <v/>
      </c>
    </row>
    <row r="22">
      <c r="A22" s="6" t="inlineStr">
        <is>
          <t>Cobre</t>
        </is>
      </c>
      <c r="B22" s="6" t="n">
        <v>2021</v>
      </c>
      <c r="C22" s="6" t="inlineStr">
        <is>
          <t>mina</t>
        </is>
      </c>
      <c r="D22" s="6" t="inlineStr">
        <is>
          <t>Tizapa</t>
        </is>
      </c>
      <c r="E22" s="6" t="inlineStr">
        <is>
          <t>Industrias Penoles</t>
        </is>
      </c>
      <c r="F22" s="6" t="inlineStr">
        <is>
          <t>Edo. de Mex.</t>
        </is>
      </c>
      <c r="G22" s="6" t="n">
        <v>1530</v>
      </c>
      <c r="H22" s="6" t="inlineStr">
        <is>
          <t>toneladas</t>
        </is>
      </c>
      <c r="I22" s="6" t="n"/>
      <c r="J22" s="6" t="n">
        <v>734137</v>
      </c>
      <c r="K22" s="6" t="inlineStr">
        <is>
          <t>toneladas</t>
        </is>
      </c>
      <c r="L22" s="5" t="inlineStr">
        <is>
          <t>Informe CAMIMEX 2022</t>
        </is>
      </c>
      <c r="M22" s="6" t="n">
        <v>44</v>
      </c>
      <c r="N22" s="5" t="inlineStr">
        <is>
          <t>1.53 miles t; Top-15 suma 560.94 miles t</t>
        </is>
      </c>
      <c r="O22" s="11">
        <f>IF(AND(ISNUMBER(G22),ISNUMBER(J22),J22&lt;&gt;0,H22=K22),G22/J22*100,"")</f>
        <v/>
      </c>
      <c r="P22" s="11">
        <f>IF(AND(ISNUMBER(O22),ISNUMBER(I22)),ROUND(O22-I22,2),"")</f>
        <v/>
      </c>
    </row>
    <row r="23">
      <c r="A23" s="9" t="inlineStr">
        <is>
          <t>Cobre</t>
        </is>
      </c>
      <c r="B23" s="9" t="n">
        <v>2021</v>
      </c>
      <c r="C23" s="9" t="inlineStr">
        <is>
          <t>mina</t>
        </is>
      </c>
      <c r="D23" s="9" t="inlineStr">
        <is>
          <t>Velardena</t>
        </is>
      </c>
      <c r="E23" s="9" t="inlineStr">
        <is>
          <t>Industrias Penoles</t>
        </is>
      </c>
      <c r="F23" s="9" t="inlineStr">
        <is>
          <t>Dgo.</t>
        </is>
      </c>
      <c r="G23" s="9" t="n">
        <v>2870</v>
      </c>
      <c r="H23" s="9" t="inlineStr">
        <is>
          <t>toneladas</t>
        </is>
      </c>
      <c r="I23" s="9" t="n"/>
      <c r="J23" s="9" t="n">
        <v>734137</v>
      </c>
      <c r="K23" s="9" t="inlineStr">
        <is>
          <t>toneladas</t>
        </is>
      </c>
      <c r="L23" s="8" t="inlineStr">
        <is>
          <t>Informe CAMIMEX 2022</t>
        </is>
      </c>
      <c r="M23" s="9" t="n">
        <v>44</v>
      </c>
      <c r="N23" s="8" t="inlineStr">
        <is>
          <t>2.87 miles t</t>
        </is>
      </c>
      <c r="O23" s="11">
        <f>IF(AND(ISNUMBER(G23),ISNUMBER(J23),J23&lt;&gt;0,H23=K23),G23/J23*100,"")</f>
        <v/>
      </c>
      <c r="P23" s="11">
        <f>IF(AND(ISNUMBER(O23),ISNUMBER(I23)),ROUND(O23-I23,2),"")</f>
        <v/>
      </c>
    </row>
    <row r="24">
      <c r="A24" s="6" t="inlineStr">
        <is>
          <t>Cobre</t>
        </is>
      </c>
      <c r="B24" s="6" t="n">
        <v>2021</v>
      </c>
      <c r="C24" s="6" t="inlineStr">
        <is>
          <t>mina</t>
        </is>
      </c>
      <c r="D24" s="6" t="inlineStr">
        <is>
          <t>Zimapan</t>
        </is>
      </c>
      <c r="E24" s="6" t="inlineStr">
        <is>
          <t>Santacruz Silver</t>
        </is>
      </c>
      <c r="F24" s="6" t="inlineStr">
        <is>
          <t>Hgo.</t>
        </is>
      </c>
      <c r="G24" s="6" t="n">
        <v>1820</v>
      </c>
      <c r="H24" s="6" t="inlineStr">
        <is>
          <t>toneladas</t>
        </is>
      </c>
      <c r="I24" s="6" t="n"/>
      <c r="J24" s="6" t="n">
        <v>734137</v>
      </c>
      <c r="K24" s="6" t="inlineStr">
        <is>
          <t>toneladas</t>
        </is>
      </c>
      <c r="L24" s="5" t="inlineStr">
        <is>
          <t>Informe CAMIMEX 2022</t>
        </is>
      </c>
      <c r="M24" s="6" t="n">
        <v>44</v>
      </c>
      <c r="N24" s="5" t="inlineStr">
        <is>
          <t>1.82 miles t</t>
        </is>
      </c>
      <c r="O24" s="11">
        <f>IF(AND(ISNUMBER(G24),ISNUMBER(J24),J24&lt;&gt;0,H24=K24),G24/J24*100,"")</f>
        <v/>
      </c>
      <c r="P24" s="11">
        <f>IF(AND(ISNUMBER(O24),ISNUMBER(I24)),ROUND(O24-I24,2),"")</f>
        <v/>
      </c>
    </row>
    <row r="25">
      <c r="A25" s="9" t="inlineStr">
        <is>
          <t>Cobre</t>
        </is>
      </c>
      <c r="B25" s="9" t="n">
        <v>2022</v>
      </c>
      <c r="C25" s="9" t="inlineStr">
        <is>
          <t>empresa</t>
        </is>
      </c>
      <c r="D25" s="9" t="n"/>
      <c r="E25" s="9" t="inlineStr">
        <is>
          <t>Grupo Mexico</t>
        </is>
      </c>
      <c r="F25" s="9" t="n"/>
      <c r="G25" s="9" t="n"/>
      <c r="H25" s="9" t="n"/>
      <c r="I25" s="9" t="n">
        <v>73.3</v>
      </c>
      <c r="J25" s="9" t="n">
        <v>753885</v>
      </c>
      <c r="K25" s="9" t="inlineStr">
        <is>
          <t>toneladas</t>
        </is>
      </c>
      <c r="L25" s="8" t="inlineStr">
        <is>
          <t>Informe CAMIMEX 2023</t>
        </is>
      </c>
      <c r="M25" s="9" t="n">
        <v>49</v>
      </c>
      <c r="N25" s="8" t="inlineStr">
        <is>
          <t>Narrativa: mayor productor 73.3%; siguen Frisco Santa Maria de la Paz Capstone Invecture</t>
        </is>
      </c>
      <c r="O25" s="11">
        <f>IF(AND(ISNUMBER(G25),ISNUMBER(J25),J25&lt;&gt;0,H25=K25),G25/J25*100,"")</f>
        <v/>
      </c>
      <c r="P25" s="11">
        <f>IF(AND(ISNUMBER(O25),ISNUMBER(I25)),ROUND(O25-I25,2),"")</f>
        <v/>
      </c>
    </row>
    <row r="26">
      <c r="A26" s="6" t="inlineStr">
        <is>
          <t>Cobre</t>
        </is>
      </c>
      <c r="B26" s="6" t="n">
        <v>2022</v>
      </c>
      <c r="C26" s="6" t="inlineStr">
        <is>
          <t>mina</t>
        </is>
      </c>
      <c r="D26" s="6" t="inlineStr">
        <is>
          <t>Aranzazu Holding</t>
        </is>
      </c>
      <c r="E26" s="6" t="inlineStr">
        <is>
          <t>Aura</t>
        </is>
      </c>
      <c r="F26" s="6" t="inlineStr">
        <is>
          <t>Zac.</t>
        </is>
      </c>
      <c r="G26" s="6" t="n">
        <v>16241</v>
      </c>
      <c r="H26" s="6" t="inlineStr">
        <is>
          <t>toneladas</t>
        </is>
      </c>
      <c r="I26" s="6" t="n"/>
      <c r="J26" s="6" t="n">
        <v>753885</v>
      </c>
      <c r="K26" s="6" t="inlineStr">
        <is>
          <t>toneladas</t>
        </is>
      </c>
      <c r="L26" s="5" t="inlineStr">
        <is>
          <t>Informe CAMIMEX 2023</t>
        </is>
      </c>
      <c r="M26" s="6" t="n">
        <v>49</v>
      </c>
      <c r="N26" s="5" t="n"/>
      <c r="O26" s="11">
        <f>IF(AND(ISNUMBER(G26),ISNUMBER(J26),J26&lt;&gt;0,H26=K26),G26/J26*100,"")</f>
        <v/>
      </c>
      <c r="P26" s="11">
        <f>IF(AND(ISNUMBER(O26),ISNUMBER(I26)),ROUND(O26-I26,2),"")</f>
        <v/>
      </c>
    </row>
    <row r="27">
      <c r="A27" s="9" t="inlineStr">
        <is>
          <t>Cobre</t>
        </is>
      </c>
      <c r="B27" s="9" t="n">
        <v>2022</v>
      </c>
      <c r="C27" s="9" t="inlineStr">
        <is>
          <t>mina</t>
        </is>
      </c>
      <c r="D27" s="9" t="inlineStr">
        <is>
          <t>Avino</t>
        </is>
      </c>
      <c r="E27" s="9" t="inlineStr">
        <is>
          <t>Avino Silver and Gold</t>
        </is>
      </c>
      <c r="F27" s="9" t="inlineStr">
        <is>
          <t>Dgo.</t>
        </is>
      </c>
      <c r="G27" s="9" t="n">
        <v>2950</v>
      </c>
      <c r="H27" s="9" t="inlineStr">
        <is>
          <t>toneladas</t>
        </is>
      </c>
      <c r="I27" s="9" t="n"/>
      <c r="J27" s="9" t="n">
        <v>753885</v>
      </c>
      <c r="K27" s="9" t="inlineStr">
        <is>
          <t>toneladas</t>
        </is>
      </c>
      <c r="L27" s="8" t="inlineStr">
        <is>
          <t>Informe CAMIMEX 2023</t>
        </is>
      </c>
      <c r="M27" s="9" t="n">
        <v>49</v>
      </c>
      <c r="N27" s="8" t="n"/>
      <c r="O27" s="11">
        <f>IF(AND(ISNUMBER(G27),ISNUMBER(J27),J27&lt;&gt;0,H27=K27),G27/J27*100,"")</f>
        <v/>
      </c>
      <c r="P27" s="11">
        <f>IF(AND(ISNUMBER(O27),ISNUMBER(I27)),ROUND(O27-I27,2),"")</f>
        <v/>
      </c>
    </row>
    <row r="28">
      <c r="A28" s="6" t="inlineStr">
        <is>
          <t>Cobre</t>
        </is>
      </c>
      <c r="B28" s="6" t="n">
        <v>2022</v>
      </c>
      <c r="C28" s="6" t="inlineStr">
        <is>
          <t>mina</t>
        </is>
      </c>
      <c r="D28" s="6" t="inlineStr">
        <is>
          <t>Bolivar</t>
        </is>
      </c>
      <c r="E28" s="6" t="inlineStr">
        <is>
          <t>Sierra Metals</t>
        </is>
      </c>
      <c r="F28" s="6" t="inlineStr">
        <is>
          <t>Chih.</t>
        </is>
      </c>
      <c r="G28" s="6" t="n">
        <v>5709</v>
      </c>
      <c r="H28" s="6" t="inlineStr">
        <is>
          <t>toneladas</t>
        </is>
      </c>
      <c r="I28" s="6" t="n"/>
      <c r="J28" s="6" t="n">
        <v>753885</v>
      </c>
      <c r="K28" s="6" t="inlineStr">
        <is>
          <t>toneladas</t>
        </is>
      </c>
      <c r="L28" s="5" t="inlineStr">
        <is>
          <t>Informe CAMIMEX 2023</t>
        </is>
      </c>
      <c r="M28" s="6" t="n">
        <v>49</v>
      </c>
      <c r="N28" s="5" t="n"/>
      <c r="O28" s="11">
        <f>IF(AND(ISNUMBER(G28),ISNUMBER(J28),J28&lt;&gt;0,H28=K28),G28/J28*100,"")</f>
        <v/>
      </c>
      <c r="P28" s="11">
        <f>IF(AND(ISNUMBER(O28),ISNUMBER(I28)),ROUND(O28-I28,2),"")</f>
        <v/>
      </c>
    </row>
    <row r="29">
      <c r="A29" s="9" t="inlineStr">
        <is>
          <t>Cobre</t>
        </is>
      </c>
      <c r="B29" s="9" t="n">
        <v>2022</v>
      </c>
      <c r="C29" s="9" t="inlineStr">
        <is>
          <t>mina</t>
        </is>
      </c>
      <c r="D29" s="9" t="inlineStr">
        <is>
          <t>Buenavista del Cobre</t>
        </is>
      </c>
      <c r="E29" s="9" t="inlineStr">
        <is>
          <t>Grupo Mexico</t>
        </is>
      </c>
      <c r="F29" s="9" t="inlineStr">
        <is>
          <t>Son.</t>
        </is>
      </c>
      <c r="G29" s="9" t="n">
        <v>338633</v>
      </c>
      <c r="H29" s="9" t="inlineStr">
        <is>
          <t>toneladas</t>
        </is>
      </c>
      <c r="I29" s="9" t="n"/>
      <c r="J29" s="9" t="n">
        <v>753885</v>
      </c>
      <c r="K29" s="9" t="inlineStr">
        <is>
          <t>toneladas</t>
        </is>
      </c>
      <c r="L29" s="8" t="inlineStr">
        <is>
          <t>Informe CAMIMEX 2023</t>
        </is>
      </c>
      <c r="M29" s="9" t="n">
        <v>49</v>
      </c>
      <c r="N29" s="8" t="inlineStr">
        <is>
          <t>Tabla top-15 verificada en imagen</t>
        </is>
      </c>
      <c r="O29" s="11">
        <f>IF(AND(ISNUMBER(G29),ISNUMBER(J29),J29&lt;&gt;0,H29=K29),G29/J29*100,"")</f>
        <v/>
      </c>
      <c r="P29" s="11">
        <f>IF(AND(ISNUMBER(O29),ISNUMBER(I29)),ROUND(O29-I29,2),"")</f>
        <v/>
      </c>
    </row>
    <row r="30">
      <c r="A30" s="6" t="inlineStr">
        <is>
          <t>Cobre</t>
        </is>
      </c>
      <c r="B30" s="6" t="n">
        <v>2022</v>
      </c>
      <c r="C30" s="6" t="inlineStr">
        <is>
          <t>mina</t>
        </is>
      </c>
      <c r="D30" s="6" t="inlineStr">
        <is>
          <t>Campo Morado</t>
        </is>
      </c>
      <c r="E30" s="6" t="inlineStr">
        <is>
          <t>Luca Mining</t>
        </is>
      </c>
      <c r="F30" s="6" t="inlineStr">
        <is>
          <t>Gro.</t>
        </is>
      </c>
      <c r="G30" s="6" t="n">
        <v>11158</v>
      </c>
      <c r="H30" s="6" t="inlineStr">
        <is>
          <t>toneladas</t>
        </is>
      </c>
      <c r="I30" s="6" t="n"/>
      <c r="J30" s="6" t="n">
        <v>753885</v>
      </c>
      <c r="K30" s="6" t="inlineStr">
        <is>
          <t>toneladas</t>
        </is>
      </c>
      <c r="L30" s="5" t="inlineStr">
        <is>
          <t>Informe CAMIMEX 2023</t>
        </is>
      </c>
      <c r="M30" s="6" t="n">
        <v>49</v>
      </c>
      <c r="N30" s="5" t="n"/>
      <c r="O30" s="11">
        <f>IF(AND(ISNUMBER(G30),ISNUMBER(J30),J30&lt;&gt;0,H30=K30),G30/J30*100,"")</f>
        <v/>
      </c>
      <c r="P30" s="11">
        <f>IF(AND(ISNUMBER(O30),ISNUMBER(I30)),ROUND(O30-I30,2),"")</f>
        <v/>
      </c>
    </row>
    <row r="31">
      <c r="A31" s="9" t="inlineStr">
        <is>
          <t>Cobre</t>
        </is>
      </c>
      <c r="B31" s="9" t="n">
        <v>2022</v>
      </c>
      <c r="C31" s="9" t="inlineStr">
        <is>
          <t>mina</t>
        </is>
      </c>
      <c r="D31" s="9" t="inlineStr">
        <is>
          <t>Capela</t>
        </is>
      </c>
      <c r="E31" s="9" t="inlineStr">
        <is>
          <t>Industrias Penoles</t>
        </is>
      </c>
      <c r="F31" s="9" t="inlineStr">
        <is>
          <t>Gro.</t>
        </is>
      </c>
      <c r="G31" s="9" t="n">
        <v>3377</v>
      </c>
      <c r="H31" s="9" t="inlineStr">
        <is>
          <t>toneladas</t>
        </is>
      </c>
      <c r="I31" s="9" t="n"/>
      <c r="J31" s="9" t="n">
        <v>753885</v>
      </c>
      <c r="K31" s="9" t="inlineStr">
        <is>
          <t>toneladas</t>
        </is>
      </c>
      <c r="L31" s="8" t="inlineStr">
        <is>
          <t>Informe CAMIMEX 2023</t>
        </is>
      </c>
      <c r="M31" s="9" t="n">
        <v>49</v>
      </c>
      <c r="N31" s="8" t="n"/>
      <c r="O31" s="11">
        <f>IF(AND(ISNUMBER(G31),ISNUMBER(J31),J31&lt;&gt;0,H31=K31),G31/J31*100,"")</f>
        <v/>
      </c>
      <c r="P31" s="11">
        <f>IF(AND(ISNUMBER(O31),ISNUMBER(I31)),ROUND(O31-I31,2),"")</f>
        <v/>
      </c>
    </row>
    <row r="32">
      <c r="A32" s="6" t="inlineStr">
        <is>
          <t>Cobre</t>
        </is>
      </c>
      <c r="B32" s="6" t="n">
        <v>2022</v>
      </c>
      <c r="C32" s="6" t="inlineStr">
        <is>
          <t>mina</t>
        </is>
      </c>
      <c r="D32" s="6" t="inlineStr">
        <is>
          <t>Charcas</t>
        </is>
      </c>
      <c r="E32" s="6" t="inlineStr">
        <is>
          <t>Grupo Mexico</t>
        </is>
      </c>
      <c r="F32" s="6" t="inlineStr">
        <is>
          <t>S.L.P.</t>
        </is>
      </c>
      <c r="G32" s="6" t="n">
        <v>3257</v>
      </c>
      <c r="H32" s="6" t="inlineStr">
        <is>
          <t>toneladas</t>
        </is>
      </c>
      <c r="I32" s="6" t="n"/>
      <c r="J32" s="6" t="n">
        <v>753885</v>
      </c>
      <c r="K32" s="6" t="inlineStr">
        <is>
          <t>toneladas</t>
        </is>
      </c>
      <c r="L32" s="5" t="inlineStr">
        <is>
          <t>Informe CAMIMEX 2023</t>
        </is>
      </c>
      <c r="M32" s="6" t="n">
        <v>49</v>
      </c>
      <c r="N32" s="5" t="n"/>
      <c r="O32" s="11">
        <f>IF(AND(ISNUMBER(G32),ISNUMBER(J32),J32&lt;&gt;0,H32=K32),G32/J32*100,"")</f>
        <v/>
      </c>
      <c r="P32" s="11">
        <f>IF(AND(ISNUMBER(O32),ISNUMBER(I32)),ROUND(O32-I32,2),"")</f>
        <v/>
      </c>
    </row>
    <row r="33">
      <c r="A33" s="9" t="inlineStr">
        <is>
          <t>Cobre</t>
        </is>
      </c>
      <c r="B33" s="9" t="n">
        <v>2022</v>
      </c>
      <c r="C33" s="9" t="inlineStr">
        <is>
          <t>mina</t>
        </is>
      </c>
      <c r="D33" s="9" t="inlineStr">
        <is>
          <t>Cozamin</t>
        </is>
      </c>
      <c r="E33" s="9" t="inlineStr">
        <is>
          <t>Capstone Copper</t>
        </is>
      </c>
      <c r="F33" s="9" t="inlineStr">
        <is>
          <t>Zac.</t>
        </is>
      </c>
      <c r="G33" s="9" t="n">
        <v>24451</v>
      </c>
      <c r="H33" s="9" t="inlineStr">
        <is>
          <t>toneladas</t>
        </is>
      </c>
      <c r="I33" s="9" t="n"/>
      <c r="J33" s="9" t="n">
        <v>753885</v>
      </c>
      <c r="K33" s="9" t="inlineStr">
        <is>
          <t>toneladas</t>
        </is>
      </c>
      <c r="L33" s="8" t="inlineStr">
        <is>
          <t>Informe CAMIMEX 2023</t>
        </is>
      </c>
      <c r="M33" s="9" t="n">
        <v>49</v>
      </c>
      <c r="N33" s="8" t="n"/>
      <c r="O33" s="11">
        <f>IF(AND(ISNUMBER(G33),ISNUMBER(J33),J33&lt;&gt;0,H33=K33),G33/J33*100,"")</f>
        <v/>
      </c>
      <c r="P33" s="11">
        <f>IF(AND(ISNUMBER(O33),ISNUMBER(I33)),ROUND(O33-I33,2),"")</f>
        <v/>
      </c>
    </row>
    <row r="34">
      <c r="A34" s="6" t="inlineStr">
        <is>
          <t>Cobre</t>
        </is>
      </c>
      <c r="B34" s="6" t="n">
        <v>2022</v>
      </c>
      <c r="C34" s="6" t="inlineStr">
        <is>
          <t>mina</t>
        </is>
      </c>
      <c r="D34" s="6" t="inlineStr">
        <is>
          <t>La Caridad</t>
        </is>
      </c>
      <c r="E34" s="6" t="inlineStr">
        <is>
          <t>Grupo Mexico</t>
        </is>
      </c>
      <c r="F34" s="6" t="inlineStr">
        <is>
          <t>Son.</t>
        </is>
      </c>
      <c r="G34" s="6" t="n">
        <v>88492</v>
      </c>
      <c r="H34" s="6" t="inlineStr">
        <is>
          <t>toneladas</t>
        </is>
      </c>
      <c r="I34" s="6" t="n"/>
      <c r="J34" s="6" t="n">
        <v>753885</v>
      </c>
      <c r="K34" s="6" t="inlineStr">
        <is>
          <t>toneladas</t>
        </is>
      </c>
      <c r="L34" s="5" t="inlineStr">
        <is>
          <t>Informe CAMIMEX 2023</t>
        </is>
      </c>
      <c r="M34" s="6" t="n">
        <v>49</v>
      </c>
      <c r="N34" s="5" t="n"/>
      <c r="O34" s="11">
        <f>IF(AND(ISNUMBER(G34),ISNUMBER(J34),J34&lt;&gt;0,H34=K34),G34/J34*100,"")</f>
        <v/>
      </c>
      <c r="P34" s="11">
        <f>IF(AND(ISNUMBER(O34),ISNUMBER(I34)),ROUND(O34-I34,2),"")</f>
        <v/>
      </c>
    </row>
    <row r="35">
      <c r="A35" s="9" t="inlineStr">
        <is>
          <t>Cobre</t>
        </is>
      </c>
      <c r="B35" s="9" t="n">
        <v>2022</v>
      </c>
      <c r="C35" s="9" t="inlineStr">
        <is>
          <t>mina</t>
        </is>
      </c>
      <c r="D35" s="9" t="inlineStr">
        <is>
          <t>La Paz</t>
        </is>
      </c>
      <c r="E35" s="9" t="inlineStr">
        <is>
          <t>Nemisa</t>
        </is>
      </c>
      <c r="F35" s="9" t="inlineStr">
        <is>
          <t>S.L.P.</t>
        </is>
      </c>
      <c r="G35" s="9" t="n">
        <v>26016</v>
      </c>
      <c r="H35" s="9" t="inlineStr">
        <is>
          <t>toneladas</t>
        </is>
      </c>
      <c r="I35" s="9" t="n"/>
      <c r="J35" s="9" t="n">
        <v>753885</v>
      </c>
      <c r="K35" s="9" t="inlineStr">
        <is>
          <t>toneladas</t>
        </is>
      </c>
      <c r="L35" s="8" t="inlineStr">
        <is>
          <t>Informe CAMIMEX 2023</t>
        </is>
      </c>
      <c r="M35" s="9" t="n">
        <v>49</v>
      </c>
      <c r="N35" s="8" t="n"/>
      <c r="O35" s="11">
        <f>IF(AND(ISNUMBER(G35),ISNUMBER(J35),J35&lt;&gt;0,H35=K35),G35/J35*100,"")</f>
        <v/>
      </c>
      <c r="P35" s="11">
        <f>IF(AND(ISNUMBER(O35),ISNUMBER(I35)),ROUND(O35-I35,2),"")</f>
        <v/>
      </c>
    </row>
    <row r="36">
      <c r="A36" s="6" t="inlineStr">
        <is>
          <t>Cobre</t>
        </is>
      </c>
      <c r="B36" s="6" t="n">
        <v>2022</v>
      </c>
      <c r="C36" s="6" t="inlineStr">
        <is>
          <t>mina</t>
        </is>
      </c>
      <c r="D36" s="6" t="inlineStr">
        <is>
          <t>Piedras Verdes</t>
        </is>
      </c>
      <c r="E36" s="6" t="inlineStr">
        <is>
          <t>Invecture Group</t>
        </is>
      </c>
      <c r="F36" s="6" t="inlineStr">
        <is>
          <t>Son.</t>
        </is>
      </c>
      <c r="G36" s="6" t="n">
        <v>5446</v>
      </c>
      <c r="H36" s="6" t="inlineStr">
        <is>
          <t>toneladas</t>
        </is>
      </c>
      <c r="I36" s="6" t="n"/>
      <c r="J36" s="6" t="n">
        <v>753885</v>
      </c>
      <c r="K36" s="6" t="inlineStr">
        <is>
          <t>toneladas</t>
        </is>
      </c>
      <c r="L36" s="5" t="inlineStr">
        <is>
          <t>Informe CAMIMEX 2023</t>
        </is>
      </c>
      <c r="M36" s="6" t="n">
        <v>49</v>
      </c>
      <c r="N36" s="5" t="n"/>
      <c r="O36" s="11">
        <f>IF(AND(ISNUMBER(G36),ISNUMBER(J36),J36&lt;&gt;0,H36=K36),G36/J36*100,"")</f>
        <v/>
      </c>
      <c r="P36" s="11">
        <f>IF(AND(ISNUMBER(O36),ISNUMBER(I36)),ROUND(O36-I36,2),"")</f>
        <v/>
      </c>
    </row>
    <row r="37">
      <c r="A37" s="9" t="inlineStr">
        <is>
          <t>Cobre</t>
        </is>
      </c>
      <c r="B37" s="9" t="n">
        <v>2022</v>
      </c>
      <c r="C37" s="9" t="inlineStr">
        <is>
          <t>mina</t>
        </is>
      </c>
      <c r="D37" s="9" t="inlineStr">
        <is>
          <t>Sabinas</t>
        </is>
      </c>
      <c r="E37" s="9" t="inlineStr">
        <is>
          <t>Industrias Penoles</t>
        </is>
      </c>
      <c r="F37" s="9" t="inlineStr">
        <is>
          <t>Zac.</t>
        </is>
      </c>
      <c r="G37" s="9" t="n">
        <v>2771</v>
      </c>
      <c r="H37" s="9" t="inlineStr">
        <is>
          <t>toneladas</t>
        </is>
      </c>
      <c r="I37" s="9" t="n"/>
      <c r="J37" s="9" t="n">
        <v>753885</v>
      </c>
      <c r="K37" s="9" t="inlineStr">
        <is>
          <t>toneladas</t>
        </is>
      </c>
      <c r="L37" s="8" t="inlineStr">
        <is>
          <t>Informe CAMIMEX 2023</t>
        </is>
      </c>
      <c r="M37" s="9" t="n">
        <v>49</v>
      </c>
      <c r="N37" s="8" t="n"/>
      <c r="O37" s="11">
        <f>IF(AND(ISNUMBER(G37),ISNUMBER(J37),J37&lt;&gt;0,H37=K37),G37/J37*100,"")</f>
        <v/>
      </c>
      <c r="P37" s="11">
        <f>IF(AND(ISNUMBER(O37),ISNUMBER(I37)),ROUND(O37-I37,2),"")</f>
        <v/>
      </c>
    </row>
    <row r="38">
      <c r="A38" s="6" t="inlineStr">
        <is>
          <t>Cobre</t>
        </is>
      </c>
      <c r="B38" s="6" t="n">
        <v>2022</v>
      </c>
      <c r="C38" s="6" t="inlineStr">
        <is>
          <t>mina</t>
        </is>
      </c>
      <c r="D38" s="6" t="inlineStr">
        <is>
          <t>San Martin</t>
        </is>
      </c>
      <c r="E38" s="6" t="inlineStr">
        <is>
          <t>Grupo Mexico</t>
        </is>
      </c>
      <c r="F38" s="6" t="inlineStr">
        <is>
          <t>Zac.</t>
        </is>
      </c>
      <c r="G38" s="6" t="n">
        <v>3810</v>
      </c>
      <c r="H38" s="6" t="inlineStr">
        <is>
          <t>toneladas</t>
        </is>
      </c>
      <c r="I38" s="6" t="n"/>
      <c r="J38" s="6" t="n">
        <v>753885</v>
      </c>
      <c r="K38" s="6" t="inlineStr">
        <is>
          <t>toneladas</t>
        </is>
      </c>
      <c r="L38" s="5" t="inlineStr">
        <is>
          <t>Informe CAMIMEX 2023</t>
        </is>
      </c>
      <c r="M38" s="6" t="n">
        <v>49</v>
      </c>
      <c r="N38" s="5" t="n"/>
      <c r="O38" s="11">
        <f>IF(AND(ISNUMBER(G38),ISNUMBER(J38),J38&lt;&gt;0,H38=K38),G38/J38*100,"")</f>
        <v/>
      </c>
      <c r="P38" s="11">
        <f>IF(AND(ISNUMBER(O38),ISNUMBER(I38)),ROUND(O38-I38,2),"")</f>
        <v/>
      </c>
    </row>
    <row r="39">
      <c r="A39" s="9" t="inlineStr">
        <is>
          <t>Cobre</t>
        </is>
      </c>
      <c r="B39" s="9" t="n">
        <v>2022</v>
      </c>
      <c r="C39" s="9" t="inlineStr">
        <is>
          <t>mina</t>
        </is>
      </c>
      <c r="D39" s="9" t="inlineStr">
        <is>
          <t>Tayahua</t>
        </is>
      </c>
      <c r="E39" s="9" t="inlineStr">
        <is>
          <t>Minera Frisco</t>
        </is>
      </c>
      <c r="F39" s="9" t="inlineStr">
        <is>
          <t>Zac.</t>
        </is>
      </c>
      <c r="G39" s="9" t="n">
        <v>27331</v>
      </c>
      <c r="H39" s="9" t="inlineStr">
        <is>
          <t>toneladas</t>
        </is>
      </c>
      <c r="I39" s="9" t="n"/>
      <c r="J39" s="9" t="n">
        <v>753885</v>
      </c>
      <c r="K39" s="9" t="inlineStr">
        <is>
          <t>toneladas</t>
        </is>
      </c>
      <c r="L39" s="8" t="inlineStr">
        <is>
          <t>Informe CAMIMEX 2023</t>
        </is>
      </c>
      <c r="M39" s="9" t="n">
        <v>49</v>
      </c>
      <c r="N39" s="8" t="n"/>
      <c r="O39" s="11">
        <f>IF(AND(ISNUMBER(G39),ISNUMBER(J39),J39&lt;&gt;0,H39=K39),G39/J39*100,"")</f>
        <v/>
      </c>
      <c r="P39" s="11">
        <f>IF(AND(ISNUMBER(O39),ISNUMBER(I39)),ROUND(O39-I39,2),"")</f>
        <v/>
      </c>
    </row>
    <row r="40">
      <c r="A40" s="6" t="inlineStr">
        <is>
          <t>Cobre</t>
        </is>
      </c>
      <c r="B40" s="6" t="n">
        <v>2022</v>
      </c>
      <c r="C40" s="6" t="inlineStr">
        <is>
          <t>mina</t>
        </is>
      </c>
      <c r="D40" s="6" t="inlineStr">
        <is>
          <t>Velardena</t>
        </is>
      </c>
      <c r="E40" s="6" t="inlineStr">
        <is>
          <t>Industrias Penoles</t>
        </is>
      </c>
      <c r="F40" s="6" t="inlineStr">
        <is>
          <t>Dgo.</t>
        </is>
      </c>
      <c r="G40" s="6" t="n">
        <v>2400</v>
      </c>
      <c r="H40" s="6" t="inlineStr">
        <is>
          <t>toneladas</t>
        </is>
      </c>
      <c r="I40" s="6" t="n"/>
      <c r="J40" s="6" t="n">
        <v>753885</v>
      </c>
      <c r="K40" s="6" t="inlineStr">
        <is>
          <t>toneladas</t>
        </is>
      </c>
      <c r="L40" s="5" t="inlineStr">
        <is>
          <t>Informe CAMIMEX 2023</t>
        </is>
      </c>
      <c r="M40" s="6" t="n">
        <v>49</v>
      </c>
      <c r="N40" s="5" t="inlineStr">
        <is>
          <t>Top-15 suma 562042</t>
        </is>
      </c>
      <c r="O40" s="11">
        <f>IF(AND(ISNUMBER(G40),ISNUMBER(J40),J40&lt;&gt;0,H40=K40),G40/J40*100,"")</f>
        <v/>
      </c>
      <c r="P40" s="11">
        <f>IF(AND(ISNUMBER(O40),ISNUMBER(I40)),ROUND(O40-I40,2),"")</f>
        <v/>
      </c>
    </row>
    <row r="41">
      <c r="A41" s="9" t="inlineStr">
        <is>
          <t>Cobre</t>
        </is>
      </c>
      <c r="B41" s="9" t="n">
        <v>2023</v>
      </c>
      <c r="C41" s="9" t="inlineStr">
        <is>
          <t>empresa</t>
        </is>
      </c>
      <c r="D41" s="9" t="n"/>
      <c r="E41" s="9" t="inlineStr">
        <is>
          <t>Grupo Mexico</t>
        </is>
      </c>
      <c r="F41" s="9" t="n"/>
      <c r="G41" s="9" t="n"/>
      <c r="H41" s="9" t="n"/>
      <c r="I41" s="9" t="n">
        <v>76.8</v>
      </c>
      <c r="J41" s="9" t="n">
        <v>699118</v>
      </c>
      <c r="K41" s="9" t="inlineStr">
        <is>
          <t>toneladas</t>
        </is>
      </c>
      <c r="L41" s="8" t="inlineStr">
        <is>
          <t>Informe CAMIMEX 2024</t>
        </is>
      </c>
      <c r="M41" s="9" t="n">
        <v>57</v>
      </c>
      <c r="N41" s="8" t="inlineStr">
        <is>
          <t>Narrativa: mayor productor 76.8%; siguen Nemisa Invecture Capstone Penoles</t>
        </is>
      </c>
      <c r="O41" s="11">
        <f>IF(AND(ISNUMBER(G41),ISNUMBER(J41),J41&lt;&gt;0,H41=K41),G41/J41*100,"")</f>
        <v/>
      </c>
      <c r="P41" s="11">
        <f>IF(AND(ISNUMBER(O41),ISNUMBER(I41)),ROUND(O41-I41,2),"")</f>
        <v/>
      </c>
    </row>
    <row r="42">
      <c r="A42" s="6" t="inlineStr">
        <is>
          <t>Cobre</t>
        </is>
      </c>
      <c r="B42" s="6" t="n">
        <v>2023</v>
      </c>
      <c r="C42" s="6" t="inlineStr">
        <is>
          <t>mina</t>
        </is>
      </c>
      <c r="D42" s="6" t="inlineStr">
        <is>
          <t>Aranzazu</t>
        </is>
      </c>
      <c r="E42" s="6" t="inlineStr">
        <is>
          <t>Aura Minerals</t>
        </is>
      </c>
      <c r="F42" s="6" t="inlineStr">
        <is>
          <t>Zac.</t>
        </is>
      </c>
      <c r="G42" s="6" t="n">
        <v>16507</v>
      </c>
      <c r="H42" s="6" t="inlineStr">
        <is>
          <t>toneladas</t>
        </is>
      </c>
      <c r="I42" s="6" t="n"/>
      <c r="J42" s="6" t="n">
        <v>699118</v>
      </c>
      <c r="K42" s="6" t="inlineStr">
        <is>
          <t>toneladas</t>
        </is>
      </c>
      <c r="L42" s="5" t="inlineStr">
        <is>
          <t>Informe CAMIMEX 2024</t>
        </is>
      </c>
      <c r="M42" s="6" t="n">
        <v>57</v>
      </c>
      <c r="N42" s="5" t="n"/>
      <c r="O42" s="11">
        <f>IF(AND(ISNUMBER(G42),ISNUMBER(J42),J42&lt;&gt;0,H42=K42),G42/J42*100,"")</f>
        <v/>
      </c>
      <c r="P42" s="11">
        <f>IF(AND(ISNUMBER(O42),ISNUMBER(I42)),ROUND(O42-I42,2),"")</f>
        <v/>
      </c>
    </row>
    <row r="43">
      <c r="A43" s="9" t="inlineStr">
        <is>
          <t>Cobre</t>
        </is>
      </c>
      <c r="B43" s="9" t="n">
        <v>2023</v>
      </c>
      <c r="C43" s="9" t="inlineStr">
        <is>
          <t>mina</t>
        </is>
      </c>
      <c r="D43" s="9" t="inlineStr">
        <is>
          <t>Avino</t>
        </is>
      </c>
      <c r="E43" s="9" t="inlineStr">
        <is>
          <t>Avino Silver and Gold</t>
        </is>
      </c>
      <c r="F43" s="9" t="inlineStr">
        <is>
          <t>Dgo.</t>
        </is>
      </c>
      <c r="G43" s="9" t="n">
        <v>2406</v>
      </c>
      <c r="H43" s="9" t="inlineStr">
        <is>
          <t>toneladas</t>
        </is>
      </c>
      <c r="I43" s="9" t="n"/>
      <c r="J43" s="9" t="n">
        <v>699118</v>
      </c>
      <c r="K43" s="9" t="inlineStr">
        <is>
          <t>toneladas</t>
        </is>
      </c>
      <c r="L43" s="8" t="inlineStr">
        <is>
          <t>Informe CAMIMEX 2024</t>
        </is>
      </c>
      <c r="M43" s="9" t="n">
        <v>57</v>
      </c>
      <c r="N43" s="8" t="n"/>
      <c r="O43" s="11">
        <f>IF(AND(ISNUMBER(G43),ISNUMBER(J43),J43&lt;&gt;0,H43=K43),G43/J43*100,"")</f>
        <v/>
      </c>
      <c r="P43" s="11">
        <f>IF(AND(ISNUMBER(O43),ISNUMBER(I43)),ROUND(O43-I43,2),"")</f>
        <v/>
      </c>
    </row>
    <row r="44">
      <c r="A44" s="6" t="inlineStr">
        <is>
          <t>Cobre</t>
        </is>
      </c>
      <c r="B44" s="6" t="n">
        <v>2023</v>
      </c>
      <c r="C44" s="6" t="inlineStr">
        <is>
          <t>mina</t>
        </is>
      </c>
      <c r="D44" s="6" t="inlineStr">
        <is>
          <t>Bolivar</t>
        </is>
      </c>
      <c r="E44" s="6" t="inlineStr">
        <is>
          <t>Sierra Metals</t>
        </is>
      </c>
      <c r="F44" s="6" t="inlineStr">
        <is>
          <t>Chih.</t>
        </is>
      </c>
      <c r="G44" s="6" t="n">
        <v>11690</v>
      </c>
      <c r="H44" s="6" t="inlineStr">
        <is>
          <t>toneladas</t>
        </is>
      </c>
      <c r="I44" s="6" t="n"/>
      <c r="J44" s="6" t="n">
        <v>699118</v>
      </c>
      <c r="K44" s="6" t="inlineStr">
        <is>
          <t>toneladas</t>
        </is>
      </c>
      <c r="L44" s="5" t="inlineStr">
        <is>
          <t>Informe CAMIMEX 2024</t>
        </is>
      </c>
      <c r="M44" s="6" t="n">
        <v>57</v>
      </c>
      <c r="N44" s="5" t="n"/>
      <c r="O44" s="11">
        <f>IF(AND(ISNUMBER(G44),ISNUMBER(J44),J44&lt;&gt;0,H44=K44),G44/J44*100,"")</f>
        <v/>
      </c>
      <c r="P44" s="11">
        <f>IF(AND(ISNUMBER(O44),ISNUMBER(I44)),ROUND(O44-I44,2),"")</f>
        <v/>
      </c>
    </row>
    <row r="45">
      <c r="A45" s="9" t="inlineStr">
        <is>
          <t>Cobre</t>
        </is>
      </c>
      <c r="B45" s="9" t="n">
        <v>2023</v>
      </c>
      <c r="C45" s="9" t="inlineStr">
        <is>
          <t>mina</t>
        </is>
      </c>
      <c r="D45" s="9" t="inlineStr">
        <is>
          <t>Buenavista del Cobre</t>
        </is>
      </c>
      <c r="E45" s="9" t="inlineStr">
        <is>
          <t>Grupo Mexico</t>
        </is>
      </c>
      <c r="F45" s="9" t="inlineStr">
        <is>
          <t>Son.</t>
        </is>
      </c>
      <c r="G45" s="9" t="n">
        <v>328953</v>
      </c>
      <c r="H45" s="9" t="inlineStr">
        <is>
          <t>toneladas</t>
        </is>
      </c>
      <c r="I45" s="9" t="n"/>
      <c r="J45" s="9" t="n">
        <v>699118</v>
      </c>
      <c r="K45" s="9" t="inlineStr">
        <is>
          <t>toneladas</t>
        </is>
      </c>
      <c r="L45" s="8" t="inlineStr">
        <is>
          <t>Informe CAMIMEX 2024</t>
        </is>
      </c>
      <c r="M45" s="9" t="n">
        <v>57</v>
      </c>
      <c r="N45" s="8" t="inlineStr">
        <is>
          <t>Tabla top-15 verificada en imagen</t>
        </is>
      </c>
      <c r="O45" s="11">
        <f>IF(AND(ISNUMBER(G45),ISNUMBER(J45),J45&lt;&gt;0,H45=K45),G45/J45*100,"")</f>
        <v/>
      </c>
      <c r="P45" s="11">
        <f>IF(AND(ISNUMBER(O45),ISNUMBER(I45)),ROUND(O45-I45,2),"")</f>
        <v/>
      </c>
    </row>
    <row r="46">
      <c r="A46" s="6" t="inlineStr">
        <is>
          <t>Cobre</t>
        </is>
      </c>
      <c r="B46" s="6" t="n">
        <v>2023</v>
      </c>
      <c r="C46" s="6" t="inlineStr">
        <is>
          <t>mina</t>
        </is>
      </c>
      <c r="D46" s="6" t="inlineStr">
        <is>
          <t>Campo Morado</t>
        </is>
      </c>
      <c r="E46" s="6" t="inlineStr">
        <is>
          <t>Luca Mining</t>
        </is>
      </c>
      <c r="F46" s="6" t="inlineStr">
        <is>
          <t>Gro.</t>
        </is>
      </c>
      <c r="G46" s="6" t="n">
        <v>2507</v>
      </c>
      <c r="H46" s="6" t="inlineStr">
        <is>
          <t>toneladas</t>
        </is>
      </c>
      <c r="I46" s="6" t="n"/>
      <c r="J46" s="6" t="n">
        <v>699118</v>
      </c>
      <c r="K46" s="6" t="inlineStr">
        <is>
          <t>toneladas</t>
        </is>
      </c>
      <c r="L46" s="5" t="inlineStr">
        <is>
          <t>Informe CAMIMEX 2024</t>
        </is>
      </c>
      <c r="M46" s="6" t="n">
        <v>57</v>
      </c>
      <c r="N46" s="5" t="n"/>
      <c r="O46" s="11">
        <f>IF(AND(ISNUMBER(G46),ISNUMBER(J46),J46&lt;&gt;0,H46=K46),G46/J46*100,"")</f>
        <v/>
      </c>
      <c r="P46" s="11">
        <f>IF(AND(ISNUMBER(O46),ISNUMBER(I46)),ROUND(O46-I46,2),"")</f>
        <v/>
      </c>
    </row>
    <row r="47">
      <c r="A47" s="9" t="inlineStr">
        <is>
          <t>Cobre</t>
        </is>
      </c>
      <c r="B47" s="9" t="n">
        <v>2023</v>
      </c>
      <c r="C47" s="9" t="inlineStr">
        <is>
          <t>mina</t>
        </is>
      </c>
      <c r="D47" s="9" t="inlineStr">
        <is>
          <t>Capela</t>
        </is>
      </c>
      <c r="E47" s="9" t="inlineStr">
        <is>
          <t>Industrias Penoles</t>
        </is>
      </c>
      <c r="F47" s="9" t="inlineStr">
        <is>
          <t>Gro.</t>
        </is>
      </c>
      <c r="G47" s="9" t="n">
        <v>2467</v>
      </c>
      <c r="H47" s="9" t="inlineStr">
        <is>
          <t>toneladas</t>
        </is>
      </c>
      <c r="I47" s="9" t="n"/>
      <c r="J47" s="9" t="n">
        <v>699118</v>
      </c>
      <c r="K47" s="9" t="inlineStr">
        <is>
          <t>toneladas</t>
        </is>
      </c>
      <c r="L47" s="8" t="inlineStr">
        <is>
          <t>Informe CAMIMEX 2024</t>
        </is>
      </c>
      <c r="M47" s="9" t="n">
        <v>57</v>
      </c>
      <c r="N47" s="8" t="n"/>
      <c r="O47" s="11">
        <f>IF(AND(ISNUMBER(G47),ISNUMBER(J47),J47&lt;&gt;0,H47=K47),G47/J47*100,"")</f>
        <v/>
      </c>
      <c r="P47" s="11">
        <f>IF(AND(ISNUMBER(O47),ISNUMBER(I47)),ROUND(O47-I47,2),"")</f>
        <v/>
      </c>
    </row>
    <row r="48">
      <c r="A48" s="6" t="inlineStr">
        <is>
          <t>Cobre</t>
        </is>
      </c>
      <c r="B48" s="6" t="n">
        <v>2023</v>
      </c>
      <c r="C48" s="6" t="inlineStr">
        <is>
          <t>mina</t>
        </is>
      </c>
      <c r="D48" s="6" t="inlineStr">
        <is>
          <t>Charcas</t>
        </is>
      </c>
      <c r="E48" s="6" t="inlineStr">
        <is>
          <t>Grupo Mexico</t>
        </is>
      </c>
      <c r="F48" s="6" t="inlineStr">
        <is>
          <t>S.L.P.</t>
        </is>
      </c>
      <c r="G48" s="6" t="n">
        <v>2791</v>
      </c>
      <c r="H48" s="6" t="inlineStr">
        <is>
          <t>toneladas</t>
        </is>
      </c>
      <c r="I48" s="6" t="n"/>
      <c r="J48" s="6" t="n">
        <v>699118</v>
      </c>
      <c r="K48" s="6" t="inlineStr">
        <is>
          <t>toneladas</t>
        </is>
      </c>
      <c r="L48" s="5" t="inlineStr">
        <is>
          <t>Informe CAMIMEX 2024</t>
        </is>
      </c>
      <c r="M48" s="6" t="n">
        <v>57</v>
      </c>
      <c r="N48" s="5" t="n"/>
      <c r="O48" s="11">
        <f>IF(AND(ISNUMBER(G48),ISNUMBER(J48),J48&lt;&gt;0,H48=K48),G48/J48*100,"")</f>
        <v/>
      </c>
      <c r="P48" s="11">
        <f>IF(AND(ISNUMBER(O48),ISNUMBER(I48)),ROUND(O48-I48,2),"")</f>
        <v/>
      </c>
    </row>
    <row r="49">
      <c r="A49" s="9" t="inlineStr">
        <is>
          <t>Cobre</t>
        </is>
      </c>
      <c r="B49" s="9" t="n">
        <v>2023</v>
      </c>
      <c r="C49" s="9" t="inlineStr">
        <is>
          <t>mina</t>
        </is>
      </c>
      <c r="D49" s="9" t="inlineStr">
        <is>
          <t>Cozamin</t>
        </is>
      </c>
      <c r="E49" s="9" t="inlineStr">
        <is>
          <t>Capstone Copper</t>
        </is>
      </c>
      <c r="F49" s="9" t="inlineStr">
        <is>
          <t>Zac.</t>
        </is>
      </c>
      <c r="G49" s="9" t="n">
        <v>24340</v>
      </c>
      <c r="H49" s="9" t="inlineStr">
        <is>
          <t>toneladas</t>
        </is>
      </c>
      <c r="I49" s="9" t="n"/>
      <c r="J49" s="9" t="n">
        <v>699118</v>
      </c>
      <c r="K49" s="9" t="inlineStr">
        <is>
          <t>toneladas</t>
        </is>
      </c>
      <c r="L49" s="8" t="inlineStr">
        <is>
          <t>Informe CAMIMEX 2024</t>
        </is>
      </c>
      <c r="M49" s="9" t="n">
        <v>57</v>
      </c>
      <c r="N49" s="8" t="n"/>
      <c r="O49" s="11">
        <f>IF(AND(ISNUMBER(G49),ISNUMBER(J49),J49&lt;&gt;0,H49=K49),G49/J49*100,"")</f>
        <v/>
      </c>
      <c r="P49" s="11">
        <f>IF(AND(ISNUMBER(O49),ISNUMBER(I49)),ROUND(O49-I49,2),"")</f>
        <v/>
      </c>
    </row>
    <row r="50">
      <c r="A50" s="6" t="inlineStr">
        <is>
          <t>Cobre</t>
        </is>
      </c>
      <c r="B50" s="6" t="n">
        <v>2023</v>
      </c>
      <c r="C50" s="6" t="inlineStr">
        <is>
          <t>mina</t>
        </is>
      </c>
      <c r="D50" s="6" t="inlineStr">
        <is>
          <t>La Caridad</t>
        </is>
      </c>
      <c r="E50" s="6" t="inlineStr">
        <is>
          <t>Grupo Mexico</t>
        </is>
      </c>
      <c r="F50" s="6" t="inlineStr">
        <is>
          <t>Son.</t>
        </is>
      </c>
      <c r="G50" s="6" t="n">
        <v>87814</v>
      </c>
      <c r="H50" s="6" t="inlineStr">
        <is>
          <t>toneladas</t>
        </is>
      </c>
      <c r="I50" s="6" t="n"/>
      <c r="J50" s="6" t="n">
        <v>699118</v>
      </c>
      <c r="K50" s="6" t="inlineStr">
        <is>
          <t>toneladas</t>
        </is>
      </c>
      <c r="L50" s="5" t="inlineStr">
        <is>
          <t>Informe CAMIMEX 2024</t>
        </is>
      </c>
      <c r="M50" s="6" t="n">
        <v>57</v>
      </c>
      <c r="N50" s="5" t="n"/>
      <c r="O50" s="11">
        <f>IF(AND(ISNUMBER(G50),ISNUMBER(J50),J50&lt;&gt;0,H50=K50),G50/J50*100,"")</f>
        <v/>
      </c>
      <c r="P50" s="11">
        <f>IF(AND(ISNUMBER(O50),ISNUMBER(I50)),ROUND(O50-I50,2),"")</f>
        <v/>
      </c>
    </row>
    <row r="51">
      <c r="A51" s="9" t="inlineStr">
        <is>
          <t>Cobre</t>
        </is>
      </c>
      <c r="B51" s="9" t="n">
        <v>2023</v>
      </c>
      <c r="C51" s="9" t="inlineStr">
        <is>
          <t>mina</t>
        </is>
      </c>
      <c r="D51" s="9" t="inlineStr">
        <is>
          <t>La Paz</t>
        </is>
      </c>
      <c r="E51" s="9" t="inlineStr">
        <is>
          <t>Nemisa</t>
        </is>
      </c>
      <c r="F51" s="9" t="inlineStr">
        <is>
          <t>S.L.P.</t>
        </is>
      </c>
      <c r="G51" s="9" t="n">
        <v>25791</v>
      </c>
      <c r="H51" s="9" t="inlineStr">
        <is>
          <t>toneladas</t>
        </is>
      </c>
      <c r="I51" s="9" t="n"/>
      <c r="J51" s="9" t="n">
        <v>699118</v>
      </c>
      <c r="K51" s="9" t="inlineStr">
        <is>
          <t>toneladas</t>
        </is>
      </c>
      <c r="L51" s="8" t="inlineStr">
        <is>
          <t>Informe CAMIMEX 2024</t>
        </is>
      </c>
      <c r="M51" s="9" t="n">
        <v>57</v>
      </c>
      <c r="N51" s="8" t="n"/>
      <c r="O51" s="11">
        <f>IF(AND(ISNUMBER(G51),ISNUMBER(J51),J51&lt;&gt;0,H51=K51),G51/J51*100,"")</f>
        <v/>
      </c>
      <c r="P51" s="11">
        <f>IF(AND(ISNUMBER(O51),ISNUMBER(I51)),ROUND(O51-I51,2),"")</f>
        <v/>
      </c>
    </row>
    <row r="52">
      <c r="A52" s="6" t="inlineStr">
        <is>
          <t>Cobre</t>
        </is>
      </c>
      <c r="B52" s="6" t="n">
        <v>2023</v>
      </c>
      <c r="C52" s="6" t="inlineStr">
        <is>
          <t>mina</t>
        </is>
      </c>
      <c r="D52" s="6" t="inlineStr">
        <is>
          <t>Sabinas</t>
        </is>
      </c>
      <c r="E52" s="6" t="inlineStr">
        <is>
          <t>Industrias Penoles</t>
        </is>
      </c>
      <c r="F52" s="6" t="inlineStr">
        <is>
          <t>Zac.</t>
        </is>
      </c>
      <c r="G52" s="6" t="n">
        <v>2529</v>
      </c>
      <c r="H52" s="6" t="inlineStr">
        <is>
          <t>toneladas</t>
        </is>
      </c>
      <c r="I52" s="6" t="n"/>
      <c r="J52" s="6" t="n">
        <v>699118</v>
      </c>
      <c r="K52" s="6" t="inlineStr">
        <is>
          <t>toneladas</t>
        </is>
      </c>
      <c r="L52" s="5" t="inlineStr">
        <is>
          <t>Informe CAMIMEX 2024</t>
        </is>
      </c>
      <c r="M52" s="6" t="n">
        <v>57</v>
      </c>
      <c r="N52" s="5" t="n"/>
      <c r="O52" s="11">
        <f>IF(AND(ISNUMBER(G52),ISNUMBER(J52),J52&lt;&gt;0,H52=K52),G52/J52*100,"")</f>
        <v/>
      </c>
      <c r="P52" s="11">
        <f>IF(AND(ISNUMBER(O52),ISNUMBER(I52)),ROUND(O52-I52,2),"")</f>
        <v/>
      </c>
    </row>
    <row r="53">
      <c r="A53" s="9" t="inlineStr">
        <is>
          <t>Cobre</t>
        </is>
      </c>
      <c r="B53" s="9" t="n">
        <v>2023</v>
      </c>
      <c r="C53" s="9" t="inlineStr">
        <is>
          <t>mina</t>
        </is>
      </c>
      <c r="D53" s="9" t="inlineStr">
        <is>
          <t>San Martin</t>
        </is>
      </c>
      <c r="E53" s="9" t="inlineStr">
        <is>
          <t>Grupo Mexico</t>
        </is>
      </c>
      <c r="F53" s="9" t="inlineStr">
        <is>
          <t>Zac.</t>
        </is>
      </c>
      <c r="G53" s="9" t="n">
        <v>4647</v>
      </c>
      <c r="H53" s="9" t="inlineStr">
        <is>
          <t>toneladas</t>
        </is>
      </c>
      <c r="I53" s="9" t="n"/>
      <c r="J53" s="9" t="n">
        <v>699118</v>
      </c>
      <c r="K53" s="9" t="inlineStr">
        <is>
          <t>toneladas</t>
        </is>
      </c>
      <c r="L53" s="8" t="inlineStr">
        <is>
          <t>Informe CAMIMEX 2024</t>
        </is>
      </c>
      <c r="M53" s="9" t="n">
        <v>57</v>
      </c>
      <c r="N53" s="8" t="n"/>
      <c r="O53" s="11">
        <f>IF(AND(ISNUMBER(G53),ISNUMBER(J53),J53&lt;&gt;0,H53=K53),G53/J53*100,"")</f>
        <v/>
      </c>
      <c r="P53" s="11">
        <f>IF(AND(ISNUMBER(O53),ISNUMBER(I53)),ROUND(O53-I53,2),"")</f>
        <v/>
      </c>
    </row>
    <row r="54">
      <c r="A54" s="6" t="inlineStr">
        <is>
          <t>Cobre</t>
        </is>
      </c>
      <c r="B54" s="6" t="n">
        <v>2023</v>
      </c>
      <c r="C54" s="6" t="inlineStr">
        <is>
          <t>mina</t>
        </is>
      </c>
      <c r="D54" s="6" t="inlineStr">
        <is>
          <t>Santa Barbara</t>
        </is>
      </c>
      <c r="E54" s="6" t="inlineStr">
        <is>
          <t>Grupo Mexico</t>
        </is>
      </c>
      <c r="F54" s="6" t="inlineStr">
        <is>
          <t>Chih.</t>
        </is>
      </c>
      <c r="G54" s="6" t="n">
        <v>2125</v>
      </c>
      <c r="H54" s="6" t="inlineStr">
        <is>
          <t>toneladas</t>
        </is>
      </c>
      <c r="I54" s="6" t="n"/>
      <c r="J54" s="6" t="n">
        <v>699118</v>
      </c>
      <c r="K54" s="6" t="inlineStr">
        <is>
          <t>toneladas</t>
        </is>
      </c>
      <c r="L54" s="5" t="inlineStr">
        <is>
          <t>Informe CAMIMEX 2024</t>
        </is>
      </c>
      <c r="M54" s="6" t="n">
        <v>57</v>
      </c>
      <c r="N54" s="5" t="inlineStr">
        <is>
          <t>Top-15 suma 539244</t>
        </is>
      </c>
      <c r="O54" s="11">
        <f>IF(AND(ISNUMBER(G54),ISNUMBER(J54),J54&lt;&gt;0,H54=K54),G54/J54*100,"")</f>
        <v/>
      </c>
      <c r="P54" s="11">
        <f>IF(AND(ISNUMBER(O54),ISNUMBER(I54)),ROUND(O54-I54,2),"")</f>
        <v/>
      </c>
    </row>
    <row r="55">
      <c r="A55" s="9" t="inlineStr">
        <is>
          <t>Cobre</t>
        </is>
      </c>
      <c r="B55" s="9" t="n">
        <v>2023</v>
      </c>
      <c r="C55" s="9" t="inlineStr">
        <is>
          <t>mina</t>
        </is>
      </c>
      <c r="D55" s="9" t="inlineStr">
        <is>
          <t>Tayahua</t>
        </is>
      </c>
      <c r="E55" s="9" t="inlineStr">
        <is>
          <t>Minera Frisco</t>
        </is>
      </c>
      <c r="F55" s="9" t="inlineStr">
        <is>
          <t>Zac.</t>
        </is>
      </c>
      <c r="G55" s="9" t="n">
        <v>21754</v>
      </c>
      <c r="H55" s="9" t="inlineStr">
        <is>
          <t>toneladas</t>
        </is>
      </c>
      <c r="I55" s="9" t="n"/>
      <c r="J55" s="9" t="n">
        <v>699118</v>
      </c>
      <c r="K55" s="9" t="inlineStr">
        <is>
          <t>toneladas</t>
        </is>
      </c>
      <c r="L55" s="8" t="inlineStr">
        <is>
          <t>Informe CAMIMEX 2024</t>
        </is>
      </c>
      <c r="M55" s="9" t="n">
        <v>57</v>
      </c>
      <c r="N55" s="8" t="n"/>
      <c r="O55" s="11">
        <f>IF(AND(ISNUMBER(G55),ISNUMBER(J55),J55&lt;&gt;0,H55=K55),G55/J55*100,"")</f>
        <v/>
      </c>
      <c r="P55" s="11">
        <f>IF(AND(ISNUMBER(O55),ISNUMBER(I55)),ROUND(O55-I55,2),"")</f>
        <v/>
      </c>
    </row>
    <row r="56">
      <c r="A56" s="6" t="inlineStr">
        <is>
          <t>Cobre</t>
        </is>
      </c>
      <c r="B56" s="6" t="n">
        <v>2023</v>
      </c>
      <c r="C56" s="6" t="inlineStr">
        <is>
          <t>mina</t>
        </is>
      </c>
      <c r="D56" s="6" t="inlineStr">
        <is>
          <t>Velardena</t>
        </is>
      </c>
      <c r="E56" s="6" t="inlineStr">
        <is>
          <t>Industrias Penoles</t>
        </is>
      </c>
      <c r="F56" s="6" t="inlineStr">
        <is>
          <t>Dgo.</t>
        </is>
      </c>
      <c r="G56" s="6" t="n">
        <v>2923</v>
      </c>
      <c r="H56" s="6" t="inlineStr">
        <is>
          <t>toneladas</t>
        </is>
      </c>
      <c r="I56" s="6" t="n"/>
      <c r="J56" s="6" t="n">
        <v>699118</v>
      </c>
      <c r="K56" s="6" t="inlineStr">
        <is>
          <t>toneladas</t>
        </is>
      </c>
      <c r="L56" s="5" t="inlineStr">
        <is>
          <t>Informe CAMIMEX 2024</t>
        </is>
      </c>
      <c r="M56" s="6" t="n">
        <v>57</v>
      </c>
      <c r="N56" s="5" t="n"/>
      <c r="O56" s="11">
        <f>IF(AND(ISNUMBER(G56),ISNUMBER(J56),J56&lt;&gt;0,H56=K56),G56/J56*100,"")</f>
        <v/>
      </c>
      <c r="P56" s="11">
        <f>IF(AND(ISNUMBER(O56),ISNUMBER(I56)),ROUND(O56-I56,2),"")</f>
        <v/>
      </c>
    </row>
    <row r="57">
      <c r="A57" s="9" t="inlineStr">
        <is>
          <t>Cobre</t>
        </is>
      </c>
      <c r="B57" s="9" t="n">
        <v>2024</v>
      </c>
      <c r="C57" s="9" t="inlineStr">
        <is>
          <t>empresa</t>
        </is>
      </c>
      <c r="D57" s="9" t="n"/>
      <c r="E57" s="9" t="inlineStr">
        <is>
          <t>Grupo Mexico</t>
        </is>
      </c>
      <c r="F57" s="9" t="n"/>
      <c r="G57" s="9" t="n"/>
      <c r="H57" s="9" t="n"/>
      <c r="I57" s="9" t="n">
        <v>78</v>
      </c>
      <c r="J57" s="9" t="n"/>
      <c r="K57" s="9" t="n"/>
      <c r="L57" s="8" t="inlineStr">
        <is>
          <t>Informe CAMIMEX 2025</t>
        </is>
      </c>
      <c r="M57" s="9" t="n">
        <v>49</v>
      </c>
      <c r="N57" s="8" t="inlineStr">
        <is>
          <t>Narrativa: mayor productor 78%; siguen Capstone Nemisa Penoles Frisco</t>
        </is>
      </c>
      <c r="O57" s="11">
        <f>IF(AND(ISNUMBER(G57),ISNUMBER(J57),J57&lt;&gt;0,H57=K57),G57/J57*100,"")</f>
        <v/>
      </c>
      <c r="P57" s="11">
        <f>IF(AND(ISNUMBER(O57),ISNUMBER(I57)),ROUND(O57-I57,2),"")</f>
        <v/>
      </c>
    </row>
    <row r="58">
      <c r="A58" s="6" t="inlineStr">
        <is>
          <t>Cobre</t>
        </is>
      </c>
      <c r="B58" s="6" t="n">
        <v>2024</v>
      </c>
      <c r="C58" s="6" t="inlineStr">
        <is>
          <t>mina</t>
        </is>
      </c>
      <c r="D58" s="6" t="inlineStr">
        <is>
          <t>Aranzazu</t>
        </is>
      </c>
      <c r="E58" s="6" t="inlineStr">
        <is>
          <t>Aura Minerals</t>
        </is>
      </c>
      <c r="F58" s="6" t="inlineStr">
        <is>
          <t>Zac.</t>
        </is>
      </c>
      <c r="G58" s="6" t="n">
        <v>19924</v>
      </c>
      <c r="H58" s="6" t="inlineStr">
        <is>
          <t>toneladas</t>
        </is>
      </c>
      <c r="I58" s="6" t="n"/>
      <c r="J58" s="6" t="n"/>
      <c r="K58" s="6" t="n"/>
      <c r="L58" s="5" t="inlineStr">
        <is>
          <t>Informe CAMIMEX 2025</t>
        </is>
      </c>
      <c r="M58" s="6" t="n">
        <v>49</v>
      </c>
      <c r="N58" s="5" t="n"/>
      <c r="O58" s="11">
        <f>IF(AND(ISNUMBER(G58),ISNUMBER(J58),J58&lt;&gt;0,H58=K58),G58/J58*100,"")</f>
        <v/>
      </c>
      <c r="P58" s="11">
        <f>IF(AND(ISNUMBER(O58),ISNUMBER(I58)),ROUND(O58-I58,2),"")</f>
        <v/>
      </c>
    </row>
    <row r="59">
      <c r="A59" s="9" t="inlineStr">
        <is>
          <t>Cobre</t>
        </is>
      </c>
      <c r="B59" s="9" t="n">
        <v>2024</v>
      </c>
      <c r="C59" s="9" t="inlineStr">
        <is>
          <t>mina</t>
        </is>
      </c>
      <c r="D59" s="9" t="inlineStr">
        <is>
          <t>Bolivar</t>
        </is>
      </c>
      <c r="E59" s="9" t="inlineStr">
        <is>
          <t>Sierra Metals</t>
        </is>
      </c>
      <c r="F59" s="9" t="inlineStr">
        <is>
          <t>Chih.</t>
        </is>
      </c>
      <c r="G59" s="9" t="n">
        <v>12452</v>
      </c>
      <c r="H59" s="9" t="inlineStr">
        <is>
          <t>toneladas</t>
        </is>
      </c>
      <c r="I59" s="9" t="n"/>
      <c r="J59" s="9" t="n"/>
      <c r="K59" s="9" t="n"/>
      <c r="L59" s="8" t="inlineStr">
        <is>
          <t>Informe CAMIMEX 2025</t>
        </is>
      </c>
      <c r="M59" s="9" t="n">
        <v>49</v>
      </c>
      <c r="N59" s="8" t="n"/>
      <c r="O59" s="11">
        <f>IF(AND(ISNUMBER(G59),ISNUMBER(J59),J59&lt;&gt;0,H59=K59),G59/J59*100,"")</f>
        <v/>
      </c>
      <c r="P59" s="11">
        <f>IF(AND(ISNUMBER(O59),ISNUMBER(I59)),ROUND(O59-I59,2),"")</f>
        <v/>
      </c>
    </row>
    <row r="60">
      <c r="A60" s="6" t="inlineStr">
        <is>
          <t>Cobre</t>
        </is>
      </c>
      <c r="B60" s="6" t="n">
        <v>2024</v>
      </c>
      <c r="C60" s="6" t="inlineStr">
        <is>
          <t>mina</t>
        </is>
      </c>
      <c r="D60" s="6" t="inlineStr">
        <is>
          <t>Buenavista del Cobre</t>
        </is>
      </c>
      <c r="E60" s="6" t="inlineStr">
        <is>
          <t>Grupo Mexico</t>
        </is>
      </c>
      <c r="F60" s="6" t="inlineStr">
        <is>
          <t>Son.</t>
        </is>
      </c>
      <c r="G60" s="6" t="n">
        <v>348959</v>
      </c>
      <c r="H60" s="6" t="inlineStr">
        <is>
          <t>toneladas</t>
        </is>
      </c>
      <c r="I60" s="6" t="n"/>
      <c r="J60" s="6" t="n"/>
      <c r="K60" s="6" t="n"/>
      <c r="L60" s="5" t="inlineStr">
        <is>
          <t>Informe CAMIMEX 2025</t>
        </is>
      </c>
      <c r="M60" s="6" t="n">
        <v>49</v>
      </c>
      <c r="N60" s="5" t="inlineStr">
        <is>
          <t>Tabla top-10 verificada en imagen</t>
        </is>
      </c>
      <c r="O60" s="11">
        <f>IF(AND(ISNUMBER(G60),ISNUMBER(J60),J60&lt;&gt;0,H60=K60),G60/J60*100,"")</f>
        <v/>
      </c>
      <c r="P60" s="11">
        <f>IF(AND(ISNUMBER(O60),ISNUMBER(I60)),ROUND(O60-I60,2),"")</f>
        <v/>
      </c>
    </row>
    <row r="61">
      <c r="A61" s="9" t="inlineStr">
        <is>
          <t>Cobre</t>
        </is>
      </c>
      <c r="B61" s="9" t="n">
        <v>2024</v>
      </c>
      <c r="C61" s="9" t="inlineStr">
        <is>
          <t>mina</t>
        </is>
      </c>
      <c r="D61" s="9" t="inlineStr">
        <is>
          <t>Capela</t>
        </is>
      </c>
      <c r="E61" s="9" t="inlineStr">
        <is>
          <t>Industrias Penoles</t>
        </is>
      </c>
      <c r="F61" s="9" t="inlineStr">
        <is>
          <t>Gro.</t>
        </is>
      </c>
      <c r="G61" s="9" t="n">
        <v>5324</v>
      </c>
      <c r="H61" s="9" t="inlineStr">
        <is>
          <t>toneladas</t>
        </is>
      </c>
      <c r="I61" s="9" t="n"/>
      <c r="J61" s="9" t="n"/>
      <c r="K61" s="9" t="n"/>
      <c r="L61" s="8" t="inlineStr">
        <is>
          <t>Informe CAMIMEX 2025</t>
        </is>
      </c>
      <c r="M61" s="9" t="n">
        <v>49</v>
      </c>
      <c r="N61" s="8" t="n"/>
      <c r="O61" s="11">
        <f>IF(AND(ISNUMBER(G61),ISNUMBER(J61),J61&lt;&gt;0,H61=K61),G61/J61*100,"")</f>
        <v/>
      </c>
      <c r="P61" s="11">
        <f>IF(AND(ISNUMBER(O61),ISNUMBER(I61)),ROUND(O61-I61,2),"")</f>
        <v/>
      </c>
    </row>
    <row r="62">
      <c r="A62" s="6" t="inlineStr">
        <is>
          <t>Cobre</t>
        </is>
      </c>
      <c r="B62" s="6" t="n">
        <v>2024</v>
      </c>
      <c r="C62" s="6" t="inlineStr">
        <is>
          <t>mina</t>
        </is>
      </c>
      <c r="D62" s="6" t="inlineStr">
        <is>
          <t>Cozamin</t>
        </is>
      </c>
      <c r="E62" s="6" t="inlineStr">
        <is>
          <t>Capstone Copper</t>
        </is>
      </c>
      <c r="F62" s="6" t="inlineStr">
        <is>
          <t>Zac.</t>
        </is>
      </c>
      <c r="G62" s="6" t="n">
        <v>24907</v>
      </c>
      <c r="H62" s="6" t="inlineStr">
        <is>
          <t>toneladas</t>
        </is>
      </c>
      <c r="I62" s="6" t="n"/>
      <c r="J62" s="6" t="n"/>
      <c r="K62" s="6" t="n"/>
      <c r="L62" s="5" t="inlineStr">
        <is>
          <t>Informe CAMIMEX 2025</t>
        </is>
      </c>
      <c r="M62" s="6" t="n">
        <v>49</v>
      </c>
      <c r="N62" s="5" t="n"/>
      <c r="O62" s="11">
        <f>IF(AND(ISNUMBER(G62),ISNUMBER(J62),J62&lt;&gt;0,H62=K62),G62/J62*100,"")</f>
        <v/>
      </c>
      <c r="P62" s="11">
        <f>IF(AND(ISNUMBER(O62),ISNUMBER(I62)),ROUND(O62-I62,2),"")</f>
        <v/>
      </c>
    </row>
    <row r="63">
      <c r="A63" s="9" t="inlineStr">
        <is>
          <t>Cobre</t>
        </is>
      </c>
      <c r="B63" s="9" t="n">
        <v>2024</v>
      </c>
      <c r="C63" s="9" t="inlineStr">
        <is>
          <t>mina</t>
        </is>
      </c>
      <c r="D63" s="9" t="inlineStr">
        <is>
          <t>La Caridad</t>
        </is>
      </c>
      <c r="E63" s="9" t="inlineStr">
        <is>
          <t>Grupo Mexico</t>
        </is>
      </c>
      <c r="F63" s="9" t="inlineStr">
        <is>
          <t>Son.</t>
        </is>
      </c>
      <c r="G63" s="9" t="n">
        <v>93725</v>
      </c>
      <c r="H63" s="9" t="inlineStr">
        <is>
          <t>toneladas</t>
        </is>
      </c>
      <c r="I63" s="9" t="n"/>
      <c r="J63" s="9" t="n"/>
      <c r="K63" s="9" t="n"/>
      <c r="L63" s="8" t="inlineStr">
        <is>
          <t>Informe CAMIMEX 2025</t>
        </is>
      </c>
      <c r="M63" s="9" t="n">
        <v>49</v>
      </c>
      <c r="N63" s="8" t="n"/>
      <c r="O63" s="11">
        <f>IF(AND(ISNUMBER(G63),ISNUMBER(J63),J63&lt;&gt;0,H63=K63),G63/J63*100,"")</f>
        <v/>
      </c>
      <c r="P63" s="11">
        <f>IF(AND(ISNUMBER(O63),ISNUMBER(I63)),ROUND(O63-I63,2),"")</f>
        <v/>
      </c>
    </row>
    <row r="64">
      <c r="A64" s="6" t="inlineStr">
        <is>
          <t>Cobre</t>
        </is>
      </c>
      <c r="B64" s="6" t="n">
        <v>2024</v>
      </c>
      <c r="C64" s="6" t="inlineStr">
        <is>
          <t>mina</t>
        </is>
      </c>
      <c r="D64" s="6" t="inlineStr">
        <is>
          <t>La Paz</t>
        </is>
      </c>
      <c r="E64" s="6" t="inlineStr">
        <is>
          <t>Nemisa</t>
        </is>
      </c>
      <c r="F64" s="6" t="inlineStr">
        <is>
          <t>S.L.P.</t>
        </is>
      </c>
      <c r="G64" s="6" t="n">
        <v>24498</v>
      </c>
      <c r="H64" s="6" t="inlineStr">
        <is>
          <t>toneladas</t>
        </is>
      </c>
      <c r="I64" s="6" t="n"/>
      <c r="J64" s="6" t="n"/>
      <c r="K64" s="6" t="n"/>
      <c r="L64" s="5" t="inlineStr">
        <is>
          <t>Informe CAMIMEX 2025</t>
        </is>
      </c>
      <c r="M64" s="6" t="n">
        <v>49</v>
      </c>
      <c r="N64" s="5" t="n"/>
      <c r="O64" s="11">
        <f>IF(AND(ISNUMBER(G64),ISNUMBER(J64),J64&lt;&gt;0,H64=K64),G64/J64*100,"")</f>
        <v/>
      </c>
      <c r="P64" s="11">
        <f>IF(AND(ISNUMBER(O64),ISNUMBER(I64)),ROUND(O64-I64,2),"")</f>
        <v/>
      </c>
    </row>
    <row r="65">
      <c r="A65" s="9" t="inlineStr">
        <is>
          <t>Cobre</t>
        </is>
      </c>
      <c r="B65" s="9" t="n">
        <v>2024</v>
      </c>
      <c r="C65" s="9" t="inlineStr">
        <is>
          <t>mina</t>
        </is>
      </c>
      <c r="D65" s="9" t="inlineStr">
        <is>
          <t>San Martin</t>
        </is>
      </c>
      <c r="E65" s="9" t="inlineStr">
        <is>
          <t>Grupo Mexico</t>
        </is>
      </c>
      <c r="F65" s="9" t="inlineStr">
        <is>
          <t>Zac.</t>
        </is>
      </c>
      <c r="G65" s="9" t="n">
        <v>5025</v>
      </c>
      <c r="H65" s="9" t="inlineStr">
        <is>
          <t>toneladas</t>
        </is>
      </c>
      <c r="I65" s="9" t="n"/>
      <c r="J65" s="9" t="n"/>
      <c r="K65" s="9" t="n"/>
      <c r="L65" s="8" t="inlineStr">
        <is>
          <t>Informe CAMIMEX 2025</t>
        </is>
      </c>
      <c r="M65" s="9" t="n">
        <v>49</v>
      </c>
      <c r="N65" s="8" t="n"/>
      <c r="O65" s="11">
        <f>IF(AND(ISNUMBER(G65),ISNUMBER(J65),J65&lt;&gt;0,H65=K65),G65/J65*100,"")</f>
        <v/>
      </c>
      <c r="P65" s="11">
        <f>IF(AND(ISNUMBER(O65),ISNUMBER(I65)),ROUND(O65-I65,2),"")</f>
        <v/>
      </c>
    </row>
    <row r="66">
      <c r="A66" s="6" t="inlineStr">
        <is>
          <t>Cobre</t>
        </is>
      </c>
      <c r="B66" s="6" t="n">
        <v>2024</v>
      </c>
      <c r="C66" s="6" t="inlineStr">
        <is>
          <t>mina</t>
        </is>
      </c>
      <c r="D66" s="6" t="inlineStr">
        <is>
          <t>Tayahua</t>
        </is>
      </c>
      <c r="E66" s="6" t="inlineStr">
        <is>
          <t>Minera Frisco</t>
        </is>
      </c>
      <c r="F66" s="6" t="inlineStr">
        <is>
          <t>Zac.</t>
        </is>
      </c>
      <c r="G66" s="6" t="n">
        <v>21609</v>
      </c>
      <c r="H66" s="6" t="inlineStr">
        <is>
          <t>toneladas</t>
        </is>
      </c>
      <c r="I66" s="6" t="n"/>
      <c r="J66" s="6" t="n"/>
      <c r="K66" s="6" t="n"/>
      <c r="L66" s="5" t="inlineStr">
        <is>
          <t>Informe CAMIMEX 2025</t>
        </is>
      </c>
      <c r="M66" s="6" t="n">
        <v>49</v>
      </c>
      <c r="N66" s="5" t="n"/>
      <c r="O66" s="11">
        <f>IF(AND(ISNUMBER(G66),ISNUMBER(J66),J66&lt;&gt;0,H66=K66),G66/J66*100,"")</f>
        <v/>
      </c>
      <c r="P66" s="11">
        <f>IF(AND(ISNUMBER(O66),ISNUMBER(I66)),ROUND(O66-I66,2),"")</f>
        <v/>
      </c>
    </row>
    <row r="67">
      <c r="A67" s="9" t="inlineStr">
        <is>
          <t>Cobre</t>
        </is>
      </c>
      <c r="B67" s="9" t="n">
        <v>2024</v>
      </c>
      <c r="C67" s="9" t="inlineStr">
        <is>
          <t>mina</t>
        </is>
      </c>
      <c r="D67" s="9" t="inlineStr">
        <is>
          <t>Tizapa</t>
        </is>
      </c>
      <c r="E67" s="9" t="inlineStr">
        <is>
          <t>Industrias Penoles</t>
        </is>
      </c>
      <c r="F67" s="9" t="inlineStr">
        <is>
          <t>Edo. de Mex.</t>
        </is>
      </c>
      <c r="G67" s="9" t="n">
        <v>3570</v>
      </c>
      <c r="H67" s="9" t="inlineStr">
        <is>
          <t>toneladas</t>
        </is>
      </c>
      <c r="I67" s="9" t="n"/>
      <c r="J67" s="9" t="n"/>
      <c r="K67" s="9" t="n"/>
      <c r="L67" s="8" t="inlineStr">
        <is>
          <t>Informe CAMIMEX 2025</t>
        </is>
      </c>
      <c r="M67" s="9" t="n">
        <v>49</v>
      </c>
      <c r="N67" s="8" t="inlineStr">
        <is>
          <t>Top-10 suma 559993</t>
        </is>
      </c>
      <c r="O67" s="11">
        <f>IF(AND(ISNUMBER(G67),ISNUMBER(J67),J67&lt;&gt;0,H67=K67),G67/J67*100,"")</f>
        <v/>
      </c>
      <c r="P67" s="11">
        <f>IF(AND(ISNUMBER(O67),ISNUMBER(I67)),ROUND(O67-I67,2),"")</f>
        <v/>
      </c>
    </row>
    <row r="68">
      <c r="A68" s="6" t="inlineStr">
        <is>
          <t>Fluorita</t>
        </is>
      </c>
      <c r="B68" s="6" t="n">
        <v>2020</v>
      </c>
      <c r="C68" s="6" t="inlineStr">
        <is>
          <t>empresa</t>
        </is>
      </c>
      <c r="D68" s="6" t="n"/>
      <c r="E68" s="6" t="inlineStr">
        <is>
          <t>Koura</t>
        </is>
      </c>
      <c r="F68" s="6" t="n"/>
      <c r="G68" s="6" t="n"/>
      <c r="H68" s="6" t="inlineStr">
        <is>
          <t>toneladas</t>
        </is>
      </c>
      <c r="I68" s="6" t="n"/>
      <c r="J68" s="6" t="n">
        <v>914597</v>
      </c>
      <c r="K68" s="6" t="inlineStr">
        <is>
          <t>toneladas</t>
        </is>
      </c>
      <c r="L68" s="5" t="inlineStr">
        <is>
          <t>INEGI + CAMIMEX</t>
        </is>
      </c>
      <c r="M68" s="6" t="n"/>
      <c r="N68" s="5" t="inlineStr">
        <is>
          <t>Koura unica extractora de Las Cuevas; ~95-100pct</t>
        </is>
      </c>
      <c r="O68" s="11">
        <f>IF(AND(ISNUMBER(G68),ISNUMBER(J68),J68&lt;&gt;0,H68=K68),G68/J68*100,"")</f>
        <v/>
      </c>
      <c r="P68" s="11">
        <f>IF(AND(ISNUMBER(O68),ISNUMBER(I68)),ROUND(O68-I68,2),"")</f>
        <v/>
      </c>
    </row>
    <row r="69">
      <c r="A69" s="9" t="inlineStr">
        <is>
          <t>Fluorita</t>
        </is>
      </c>
      <c r="B69" s="9" t="n">
        <v>2021</v>
      </c>
      <c r="C69" s="9" t="inlineStr">
        <is>
          <t>empresa</t>
        </is>
      </c>
      <c r="D69" s="9" t="n"/>
      <c r="E69" s="9" t="inlineStr">
        <is>
          <t>Koura</t>
        </is>
      </c>
      <c r="F69" s="9" t="n"/>
      <c r="G69" s="9" t="n">
        <v>1100000</v>
      </c>
      <c r="H69" s="9" t="inlineStr">
        <is>
          <t>toneladas</t>
        </is>
      </c>
      <c r="I69" s="9" t="n">
        <v>100</v>
      </c>
      <c r="J69" s="9" t="n">
        <v>1007118</v>
      </c>
      <c r="K69" s="9" t="inlineStr">
        <is>
          <t>toneladas</t>
        </is>
      </c>
      <c r="L69" s="8" t="inlineStr">
        <is>
          <t>Informe CAMIMEX 2022 p79</t>
        </is>
      </c>
      <c r="M69" s="9" t="n"/>
      <c r="N69" s="8" t="inlineStr">
        <is>
          <t>Koura ~1.1Mt aprox = total INEGI 1.007Mt -&gt; ~100pct (monopolio)</t>
        </is>
      </c>
      <c r="O69" s="11">
        <f>IF(AND(ISNUMBER(G69),ISNUMBER(J69),J69&lt;&gt;0,H69=K69),G69/J69*100,"")</f>
        <v/>
      </c>
      <c r="P69" s="11">
        <f>IF(AND(ISNUMBER(O69),ISNUMBER(I69)),ROUND(O69-I69,2),"")</f>
        <v/>
      </c>
    </row>
    <row r="70">
      <c r="A70" s="6" t="inlineStr">
        <is>
          <t>Fluorita</t>
        </is>
      </c>
      <c r="B70" s="6" t="n">
        <v>2022</v>
      </c>
      <c r="C70" s="6" t="inlineStr">
        <is>
          <t>empresa</t>
        </is>
      </c>
      <c r="D70" s="6" t="n"/>
      <c r="E70" s="6" t="inlineStr">
        <is>
          <t>Koura</t>
        </is>
      </c>
      <c r="F70" s="6" t="n"/>
      <c r="G70" s="6" t="n"/>
      <c r="H70" s="6" t="inlineStr">
        <is>
          <t>toneladas</t>
        </is>
      </c>
      <c r="I70" s="6" t="n">
        <v>100</v>
      </c>
      <c r="J70" s="6" t="n">
        <v>1000626</v>
      </c>
      <c r="K70" s="6" t="inlineStr">
        <is>
          <t>toneladas</t>
        </is>
      </c>
      <c r="L70" s="5" t="inlineStr">
        <is>
          <t>Informe CAMIMEX 2023 p91</t>
        </is>
      </c>
      <c r="M70" s="6" t="n"/>
      <c r="N70" s="5" t="inlineStr">
        <is>
          <t>Koura unica empresa que extrae el crudo de la mina mas grande del mundo</t>
        </is>
      </c>
      <c r="O70" s="11">
        <f>IF(AND(ISNUMBER(G70),ISNUMBER(J70),J70&lt;&gt;0,H70=K70),G70/J70*100,"")</f>
        <v/>
      </c>
      <c r="P70" s="11">
        <f>IF(AND(ISNUMBER(O70),ISNUMBER(I70)),ROUND(O70-I70,2),"")</f>
        <v/>
      </c>
    </row>
    <row r="71">
      <c r="A71" s="9" t="inlineStr">
        <is>
          <t>Fluorita</t>
        </is>
      </c>
      <c r="B71" s="9" t="n">
        <v>2023</v>
      </c>
      <c r="C71" s="9" t="inlineStr">
        <is>
          <t>empresa</t>
        </is>
      </c>
      <c r="D71" s="9" t="n"/>
      <c r="E71" s="9" t="inlineStr">
        <is>
          <t>Koura</t>
        </is>
      </c>
      <c r="F71" s="9" t="n"/>
      <c r="G71" s="9" t="n"/>
      <c r="H71" s="9" t="inlineStr">
        <is>
          <t>toneladas</t>
        </is>
      </c>
      <c r="I71" s="9" t="n">
        <v>100</v>
      </c>
      <c r="J71" s="9" t="n">
        <v>1162591</v>
      </c>
      <c r="K71" s="9" t="inlineStr">
        <is>
          <t>toneladas</t>
        </is>
      </c>
      <c r="L71" s="8" t="inlineStr">
        <is>
          <t>Informe CAMIMEX 2024 p91</t>
        </is>
      </c>
      <c r="M71" s="9" t="n"/>
      <c r="N71" s="8" t="inlineStr">
        <is>
          <t>Koura reservas 66.2 Mt; produccion +</t>
        </is>
      </c>
      <c r="O71" s="11">
        <f>IF(AND(ISNUMBER(G71),ISNUMBER(J71),J71&lt;&gt;0,H71=K71),G71/J71*100,"")</f>
        <v/>
      </c>
      <c r="P71" s="11">
        <f>IF(AND(ISNUMBER(O71),ISNUMBER(I71)),ROUND(O71-I71,2),"")</f>
        <v/>
      </c>
    </row>
    <row r="72">
      <c r="A72" s="6" t="inlineStr">
        <is>
          <t>Fluorita</t>
        </is>
      </c>
      <c r="B72" s="6" t="n">
        <v>2024</v>
      </c>
      <c r="C72" s="6" t="inlineStr">
        <is>
          <t>empresa</t>
        </is>
      </c>
      <c r="D72" s="6" t="n"/>
      <c r="E72" s="6" t="inlineStr">
        <is>
          <t>Koura</t>
        </is>
      </c>
      <c r="F72" s="6" t="n"/>
      <c r="G72" s="6" t="n"/>
      <c r="H72" s="6" t="inlineStr">
        <is>
          <t>toneladas</t>
        </is>
      </c>
      <c r="I72" s="6" t="n">
        <v>100</v>
      </c>
      <c r="J72" s="6" t="n">
        <v>1505071</v>
      </c>
      <c r="K72" s="6" t="inlineStr">
        <is>
          <t>toneladas</t>
        </is>
      </c>
      <c r="L72" s="5" t="inlineStr">
        <is>
          <t>Informe CAMIMEX 2025 p74</t>
        </is>
      </c>
      <c r="M72" s="6" t="n"/>
      <c r="N72" s="5" t="inlineStr">
        <is>
          <t>Koura principal; reservas 108.25 Mt</t>
        </is>
      </c>
      <c r="O72" s="11">
        <f>IF(AND(ISNUMBER(G72),ISNUMBER(J72),J72&lt;&gt;0,H72=K72),G72/J72*100,"")</f>
        <v/>
      </c>
      <c r="P72" s="11">
        <f>IF(AND(ISNUMBER(O72),ISNUMBER(I72)),ROUND(O72-I72,2),"")</f>
        <v/>
      </c>
    </row>
    <row r="73">
      <c r="A73" s="9" t="inlineStr">
        <is>
          <t>Grafito</t>
        </is>
      </c>
      <c r="B73" s="9" t="n">
        <v>2020</v>
      </c>
      <c r="C73" s="9" t="inlineStr">
        <is>
          <t>empresa</t>
        </is>
      </c>
      <c r="D73" s="9" t="n"/>
      <c r="E73" s="9" t="inlineStr">
        <is>
          <t>ninguno</t>
        </is>
      </c>
      <c r="F73" s="9" t="n"/>
      <c r="G73" s="9" t="n"/>
      <c r="H73" s="9" t="inlineStr">
        <is>
          <t>toneladas</t>
        </is>
      </c>
      <c r="I73" s="9" t="n"/>
      <c r="J73" s="9" t="n"/>
      <c r="K73" s="9" t="inlineStr">
        <is>
          <t>toneladas</t>
        </is>
      </c>
      <c r="L73" s="8" t="inlineStr">
        <is>
          <t>CAMIMEX no desglosa</t>
        </is>
      </c>
      <c r="M73" s="9" t="n"/>
      <c r="N73" s="8" t="inlineStr">
        <is>
          <t>Caso de contraste; HHI bajo por Anuario SGM (num. productores)</t>
        </is>
      </c>
      <c r="O73" s="11">
        <f>IF(AND(ISNUMBER(G73),ISNUMBER(J73),J73&lt;&gt;0,H73=K73),G73/J73*100,"")</f>
        <v/>
      </c>
      <c r="P73" s="11">
        <f>IF(AND(ISNUMBER(O73),ISNUMBER(I73)),ROUND(O73-I73,2),"")</f>
        <v/>
      </c>
    </row>
    <row r="74">
      <c r="A74" s="6" t="inlineStr">
        <is>
          <t>Grafito</t>
        </is>
      </c>
      <c r="B74" s="6" t="n">
        <v>2021</v>
      </c>
      <c r="C74" s="6" t="inlineStr">
        <is>
          <t>empresa</t>
        </is>
      </c>
      <c r="D74" s="6" t="n"/>
      <c r="E74" s="6" t="inlineStr">
        <is>
          <t>ninguno</t>
        </is>
      </c>
      <c r="F74" s="6" t="n"/>
      <c r="G74" s="6" t="n"/>
      <c r="H74" s="6" t="inlineStr">
        <is>
          <t>toneladas</t>
        </is>
      </c>
      <c r="I74" s="6" t="n"/>
      <c r="J74" s="6" t="n"/>
      <c r="K74" s="6" t="inlineStr">
        <is>
          <t>toneladas</t>
        </is>
      </c>
      <c r="L74" s="5" t="inlineStr">
        <is>
          <t>CAMIMEX no desglosa</t>
        </is>
      </c>
      <c r="M74" s="6" t="n"/>
      <c r="N74" s="5" t="inlineStr">
        <is>
          <t>Caso de contraste</t>
        </is>
      </c>
      <c r="O74" s="11">
        <f>IF(AND(ISNUMBER(G74),ISNUMBER(J74),J74&lt;&gt;0,H74=K74),G74/J74*100,"")</f>
        <v/>
      </c>
      <c r="P74" s="11">
        <f>IF(AND(ISNUMBER(O74),ISNUMBER(I74)),ROUND(O74-I74,2),"")</f>
        <v/>
      </c>
    </row>
    <row r="75">
      <c r="A75" s="9" t="inlineStr">
        <is>
          <t>Grafito</t>
        </is>
      </c>
      <c r="B75" s="9" t="n">
        <v>2022</v>
      </c>
      <c r="C75" s="9" t="inlineStr">
        <is>
          <t>empresa</t>
        </is>
      </c>
      <c r="D75" s="9" t="n"/>
      <c r="E75" s="9" t="inlineStr">
        <is>
          <t>ninguno</t>
        </is>
      </c>
      <c r="F75" s="9" t="n"/>
      <c r="G75" s="9" t="n"/>
      <c r="H75" s="9" t="inlineStr">
        <is>
          <t>toneladas</t>
        </is>
      </c>
      <c r="I75" s="9" t="n"/>
      <c r="J75" s="9" t="n"/>
      <c r="K75" s="9" t="inlineStr">
        <is>
          <t>toneladas</t>
        </is>
      </c>
      <c r="L75" s="8" t="inlineStr">
        <is>
          <t>CAMIMEX no desglosa</t>
        </is>
      </c>
      <c r="M75" s="9" t="n"/>
      <c r="N75" s="8" t="inlineStr">
        <is>
          <t>Caso de contraste</t>
        </is>
      </c>
      <c r="O75" s="11">
        <f>IF(AND(ISNUMBER(G75),ISNUMBER(J75),J75&lt;&gt;0,H75=K75),G75/J75*100,"")</f>
        <v/>
      </c>
      <c r="P75" s="11">
        <f>IF(AND(ISNUMBER(O75),ISNUMBER(I75)),ROUND(O75-I75,2),"")</f>
        <v/>
      </c>
    </row>
    <row r="76">
      <c r="A76" s="6" t="inlineStr">
        <is>
          <t>Grafito</t>
        </is>
      </c>
      <c r="B76" s="6" t="n">
        <v>2023</v>
      </c>
      <c r="C76" s="6" t="inlineStr">
        <is>
          <t>empresa</t>
        </is>
      </c>
      <c r="D76" s="6" t="n"/>
      <c r="E76" s="6" t="inlineStr">
        <is>
          <t>ninguno</t>
        </is>
      </c>
      <c r="F76" s="6" t="n"/>
      <c r="G76" s="6" t="n"/>
      <c r="H76" s="6" t="inlineStr">
        <is>
          <t>toneladas</t>
        </is>
      </c>
      <c r="I76" s="6" t="n"/>
      <c r="J76" s="6" t="n"/>
      <c r="K76" s="6" t="inlineStr">
        <is>
          <t>toneladas</t>
        </is>
      </c>
      <c r="L76" s="5" t="inlineStr">
        <is>
          <t>CAMIMEX no desglosa</t>
        </is>
      </c>
      <c r="M76" s="6" t="n"/>
      <c r="N76" s="5" t="inlineStr">
        <is>
          <t>Caso de contraste</t>
        </is>
      </c>
      <c r="O76" s="11">
        <f>IF(AND(ISNUMBER(G76),ISNUMBER(J76),J76&lt;&gt;0,H76=K76),G76/J76*100,"")</f>
        <v/>
      </c>
      <c r="P76" s="11">
        <f>IF(AND(ISNUMBER(O76),ISNUMBER(I76)),ROUND(O76-I76,2),"")</f>
        <v/>
      </c>
    </row>
    <row r="77">
      <c r="A77" s="9" t="inlineStr">
        <is>
          <t>Grafito</t>
        </is>
      </c>
      <c r="B77" s="9" t="n">
        <v>2024</v>
      </c>
      <c r="C77" s="9" t="inlineStr">
        <is>
          <t>empresa</t>
        </is>
      </c>
      <c r="D77" s="9" t="n"/>
      <c r="E77" s="9" t="inlineStr">
        <is>
          <t>ninguno</t>
        </is>
      </c>
      <c r="F77" s="9" t="n"/>
      <c r="G77" s="9" t="n"/>
      <c r="H77" s="9" t="inlineStr">
        <is>
          <t>toneladas</t>
        </is>
      </c>
      <c r="I77" s="9" t="n"/>
      <c r="J77" s="9" t="n"/>
      <c r="K77" s="9" t="inlineStr">
        <is>
          <t>toneladas</t>
        </is>
      </c>
      <c r="L77" s="8" t="inlineStr">
        <is>
          <t>CAMIMEX no desglosa</t>
        </is>
      </c>
      <c r="M77" s="9" t="n"/>
      <c r="N77" s="8" t="inlineStr">
        <is>
          <t>Caso de contraste</t>
        </is>
      </c>
      <c r="O77" s="11">
        <f>IF(AND(ISNUMBER(G77),ISNUMBER(J77),J77&lt;&gt;0,H77=K77),G77/J77*100,"")</f>
        <v/>
      </c>
      <c r="P77" s="11">
        <f>IF(AND(ISNUMBER(O77),ISNUMBER(I77)),ROUND(O77-I77,2),"")</f>
        <v/>
      </c>
    </row>
    <row r="78">
      <c r="A78" s="6" t="inlineStr">
        <is>
          <t>Manganeso</t>
        </is>
      </c>
      <c r="B78" s="6" t="n">
        <v>2020</v>
      </c>
      <c r="C78" s="6" t="inlineStr">
        <is>
          <t>empresa</t>
        </is>
      </c>
      <c r="D78" s="6" t="n"/>
      <c r="E78" s="6" t="inlineStr">
        <is>
          <t>Compania Minera Autlan</t>
        </is>
      </c>
      <c r="F78" s="6" t="n"/>
      <c r="G78" s="6" t="n"/>
      <c r="H78" s="6" t="inlineStr">
        <is>
          <t>toneladas</t>
        </is>
      </c>
      <c r="I78" s="6" t="n">
        <v>100</v>
      </c>
      <c r="J78" s="6" t="n"/>
      <c r="K78" s="6" t="inlineStr">
        <is>
          <t>toneladas</t>
        </is>
      </c>
      <c r="L78" s="5" t="inlineStr">
        <is>
          <t>Informe CAMIMEX</t>
        </is>
      </c>
      <c r="M78" s="6" t="n"/>
      <c r="N78" s="5" t="inlineStr">
        <is>
          <t>Productor unico nacional (monopolio 1993-2025)</t>
        </is>
      </c>
      <c r="O78" s="11">
        <f>IF(AND(ISNUMBER(G78),ISNUMBER(J78),J78&lt;&gt;0,H78=K78),G78/J78*100,"")</f>
        <v/>
      </c>
      <c r="P78" s="11">
        <f>IF(AND(ISNUMBER(O78),ISNUMBER(I78)),ROUND(O78-I78,2),"")</f>
        <v/>
      </c>
    </row>
    <row r="79">
      <c r="A79" s="9" t="inlineStr">
        <is>
          <t>Manganeso</t>
        </is>
      </c>
      <c r="B79" s="9" t="n">
        <v>2021</v>
      </c>
      <c r="C79" s="9" t="inlineStr">
        <is>
          <t>empresa</t>
        </is>
      </c>
      <c r="D79" s="9" t="n"/>
      <c r="E79" s="9" t="inlineStr">
        <is>
          <t>Compania Minera Autlan</t>
        </is>
      </c>
      <c r="F79" s="9" t="n"/>
      <c r="G79" s="9" t="n"/>
      <c r="H79" s="9" t="inlineStr">
        <is>
          <t>toneladas</t>
        </is>
      </c>
      <c r="I79" s="9" t="n">
        <v>100</v>
      </c>
      <c r="J79" s="9" t="n"/>
      <c r="K79" s="9" t="inlineStr">
        <is>
          <t>toneladas</t>
        </is>
      </c>
      <c r="L79" s="8" t="inlineStr">
        <is>
          <t>Informe CAMIMEX</t>
        </is>
      </c>
      <c r="M79" s="9" t="n"/>
      <c r="N79" s="8" t="inlineStr">
        <is>
          <t>Productor unico nacional (monopolio 1993-2025)</t>
        </is>
      </c>
      <c r="O79" s="11">
        <f>IF(AND(ISNUMBER(G79),ISNUMBER(J79),J79&lt;&gt;0,H79=K79),G79/J79*100,"")</f>
        <v/>
      </c>
      <c r="P79" s="11">
        <f>IF(AND(ISNUMBER(O79),ISNUMBER(I79)),ROUND(O79-I79,2),"")</f>
        <v/>
      </c>
    </row>
    <row r="80">
      <c r="A80" s="6" t="inlineStr">
        <is>
          <t>Manganeso</t>
        </is>
      </c>
      <c r="B80" s="6" t="n">
        <v>2022</v>
      </c>
      <c r="C80" s="6" t="inlineStr">
        <is>
          <t>empresa</t>
        </is>
      </c>
      <c r="D80" s="6" t="n"/>
      <c r="E80" s="6" t="inlineStr">
        <is>
          <t>Compania Minera Autlan</t>
        </is>
      </c>
      <c r="F80" s="6" t="n"/>
      <c r="G80" s="6" t="n"/>
      <c r="H80" s="6" t="inlineStr">
        <is>
          <t>toneladas</t>
        </is>
      </c>
      <c r="I80" s="6" t="n">
        <v>100</v>
      </c>
      <c r="J80" s="6" t="n"/>
      <c r="K80" s="6" t="inlineStr">
        <is>
          <t>toneladas</t>
        </is>
      </c>
      <c r="L80" s="5" t="inlineStr">
        <is>
          <t>Informe CAMIMEX</t>
        </is>
      </c>
      <c r="M80" s="6" t="n"/>
      <c r="N80" s="5" t="inlineStr">
        <is>
          <t>Productor unico nacional (monopolio 1993-2025)</t>
        </is>
      </c>
      <c r="O80" s="11">
        <f>IF(AND(ISNUMBER(G80),ISNUMBER(J80),J80&lt;&gt;0,H80=K80),G80/J80*100,"")</f>
        <v/>
      </c>
      <c r="P80" s="11">
        <f>IF(AND(ISNUMBER(O80),ISNUMBER(I80)),ROUND(O80-I80,2),"")</f>
        <v/>
      </c>
    </row>
    <row r="81">
      <c r="A81" s="9" t="inlineStr">
        <is>
          <t>Manganeso</t>
        </is>
      </c>
      <c r="B81" s="9" t="n">
        <v>2023</v>
      </c>
      <c r="C81" s="9" t="inlineStr">
        <is>
          <t>empresa</t>
        </is>
      </c>
      <c r="D81" s="9" t="n"/>
      <c r="E81" s="9" t="inlineStr">
        <is>
          <t>Compania Minera Autlan</t>
        </is>
      </c>
      <c r="F81" s="9" t="n"/>
      <c r="G81" s="9" t="n"/>
      <c r="H81" s="9" t="inlineStr">
        <is>
          <t>toneladas</t>
        </is>
      </c>
      <c r="I81" s="9" t="n">
        <v>100</v>
      </c>
      <c r="J81" s="9" t="n"/>
      <c r="K81" s="9" t="inlineStr">
        <is>
          <t>toneladas</t>
        </is>
      </c>
      <c r="L81" s="8" t="inlineStr">
        <is>
          <t>Informe CAMIMEX</t>
        </is>
      </c>
      <c r="M81" s="9" t="n"/>
      <c r="N81" s="8" t="inlineStr">
        <is>
          <t>Productor unico nacional (monopolio 1993-2025)</t>
        </is>
      </c>
      <c r="O81" s="11">
        <f>IF(AND(ISNUMBER(G81),ISNUMBER(J81),J81&lt;&gt;0,H81=K81),G81/J81*100,"")</f>
        <v/>
      </c>
      <c r="P81" s="11">
        <f>IF(AND(ISNUMBER(O81),ISNUMBER(I81)),ROUND(O81-I81,2),"")</f>
        <v/>
      </c>
    </row>
    <row r="82">
      <c r="A82" s="6" t="inlineStr">
        <is>
          <t>Manganeso</t>
        </is>
      </c>
      <c r="B82" s="6" t="n">
        <v>2024</v>
      </c>
      <c r="C82" s="6" t="inlineStr">
        <is>
          <t>empresa</t>
        </is>
      </c>
      <c r="D82" s="6" t="n"/>
      <c r="E82" s="6" t="inlineStr">
        <is>
          <t>Compania Minera Autlan</t>
        </is>
      </c>
      <c r="F82" s="6" t="n"/>
      <c r="G82" s="6" t="n"/>
      <c r="H82" s="6" t="inlineStr">
        <is>
          <t>toneladas</t>
        </is>
      </c>
      <c r="I82" s="6" t="n">
        <v>100</v>
      </c>
      <c r="J82" s="6" t="n"/>
      <c r="K82" s="6" t="inlineStr">
        <is>
          <t>toneladas</t>
        </is>
      </c>
      <c r="L82" s="5" t="inlineStr">
        <is>
          <t>Informe CAMIMEX</t>
        </is>
      </c>
      <c r="M82" s="6" t="n"/>
      <c r="N82" s="5" t="inlineStr">
        <is>
          <t>Productor unico nacional (monopolio 1993-2025)</t>
        </is>
      </c>
      <c r="O82" s="11">
        <f>IF(AND(ISNUMBER(G82),ISNUMBER(J82),J82&lt;&gt;0,H82=K82),G82/J82*100,"")</f>
        <v/>
      </c>
      <c r="P82" s="11">
        <f>IF(AND(ISNUMBER(O82),ISNUMBER(I82)),ROUND(O82-I82,2),"")</f>
        <v/>
      </c>
    </row>
    <row r="83">
      <c r="A83" s="9" t="inlineStr">
        <is>
          <t>Oro</t>
        </is>
      </c>
      <c r="B83" s="9" t="n">
        <v>2021</v>
      </c>
      <c r="C83" s="9" t="inlineStr">
        <is>
          <t>empresa</t>
        </is>
      </c>
      <c r="D83" s="9" t="n"/>
      <c r="E83" s="9" t="inlineStr">
        <is>
          <t>top5</t>
        </is>
      </c>
      <c r="F83" s="9" t="n"/>
      <c r="G83" s="9" t="n"/>
      <c r="H83" s="9" t="n"/>
      <c r="I83" s="9" t="n">
        <v>57</v>
      </c>
      <c r="J83" s="9" t="n">
        <v>4010</v>
      </c>
      <c r="K83" s="9" t="inlineStr">
        <is>
          <t>miles oz</t>
        </is>
      </c>
      <c r="L83" s="8" t="inlineStr">
        <is>
          <t>Informe CAMIMEX 2022</t>
        </is>
      </c>
      <c r="M83" s="9" t="n">
        <v>32</v>
      </c>
      <c r="N83" s="8" t="inlineStr">
        <is>
          <t>Narrativa: top-5 (Fresnillo Newmont Torex Agnico Equinox) = 57% nacional</t>
        </is>
      </c>
      <c r="O83" s="11">
        <f>IF(AND(ISNUMBER(G83),ISNUMBER(J83),J83&lt;&gt;0,H83=K83),G83/J83*100,"")</f>
        <v/>
      </c>
      <c r="P83" s="11">
        <f>IF(AND(ISNUMBER(O83),ISNUMBER(I83)),ROUND(O83-I83,2),"")</f>
        <v/>
      </c>
    </row>
    <row r="84">
      <c r="A84" s="6" t="inlineStr">
        <is>
          <t>Oro</t>
        </is>
      </c>
      <c r="B84" s="6" t="n">
        <v>2021</v>
      </c>
      <c r="C84" s="6" t="inlineStr">
        <is>
          <t>mina</t>
        </is>
      </c>
      <c r="D84" s="6" t="inlineStr">
        <is>
          <t>Concheno</t>
        </is>
      </c>
      <c r="E84" s="6" t="inlineStr">
        <is>
          <t>Minera Frisco</t>
        </is>
      </c>
      <c r="F84" s="6" t="inlineStr">
        <is>
          <t>Chih.</t>
        </is>
      </c>
      <c r="G84" s="6" t="n">
        <v>50.07</v>
      </c>
      <c r="H84" s="6" t="inlineStr">
        <is>
          <t>miles oz</t>
        </is>
      </c>
      <c r="I84" s="6" t="n"/>
      <c r="J84" s="6" t="n">
        <v>4010</v>
      </c>
      <c r="K84" s="6" t="inlineStr">
        <is>
          <t>miles oz</t>
        </is>
      </c>
      <c r="L84" s="5" t="inlineStr">
        <is>
          <t>Informe CAMIMEX 2022</t>
        </is>
      </c>
      <c r="M84" s="6" t="n">
        <v>32</v>
      </c>
      <c r="N84" s="5" t="inlineStr">
        <is>
          <t>Top-15 suma 2753.42</t>
        </is>
      </c>
      <c r="O84" s="11">
        <f>IF(AND(ISNUMBER(G84),ISNUMBER(J84),J84&lt;&gt;0,H84=K84),G84/J84*100,"")</f>
        <v/>
      </c>
      <c r="P84" s="11">
        <f>IF(AND(ISNUMBER(O84),ISNUMBER(I84)),ROUND(O84-I84,2),"")</f>
        <v/>
      </c>
    </row>
    <row r="85">
      <c r="A85" s="9" t="inlineStr">
        <is>
          <t>Oro</t>
        </is>
      </c>
      <c r="B85" s="9" t="n">
        <v>2021</v>
      </c>
      <c r="C85" s="9" t="inlineStr">
        <is>
          <t>mina</t>
        </is>
      </c>
      <c r="D85" s="9" t="inlineStr">
        <is>
          <t>Dolores</t>
        </is>
      </c>
      <c r="E85" s="9" t="inlineStr">
        <is>
          <t>Pan American Silver</t>
        </is>
      </c>
      <c r="F85" s="9" t="inlineStr">
        <is>
          <t>Chih.</t>
        </is>
      </c>
      <c r="G85" s="9" t="n">
        <v>160.1</v>
      </c>
      <c r="H85" s="9" t="inlineStr">
        <is>
          <t>miles oz</t>
        </is>
      </c>
      <c r="I85" s="9" t="n"/>
      <c r="J85" s="9" t="n">
        <v>4010</v>
      </c>
      <c r="K85" s="9" t="inlineStr">
        <is>
          <t>miles oz</t>
        </is>
      </c>
      <c r="L85" s="8" t="inlineStr">
        <is>
          <t>Informe CAMIMEX 2022</t>
        </is>
      </c>
      <c r="M85" s="9" t="n">
        <v>32</v>
      </c>
      <c r="N85" s="8" t="n"/>
      <c r="O85" s="11">
        <f>IF(AND(ISNUMBER(G85),ISNUMBER(J85),J85&lt;&gt;0,H85=K85),G85/J85*100,"")</f>
        <v/>
      </c>
      <c r="P85" s="11">
        <f>IF(AND(ISNUMBER(O85),ISNUMBER(I85)),ROUND(O85-I85,2),"")</f>
        <v/>
      </c>
    </row>
    <row r="86">
      <c r="A86" s="6" t="inlineStr">
        <is>
          <t>Oro</t>
        </is>
      </c>
      <c r="B86" s="6" t="n">
        <v>2021</v>
      </c>
      <c r="C86" s="6" t="inlineStr">
        <is>
          <t>mina</t>
        </is>
      </c>
      <c r="D86" s="6" t="inlineStr">
        <is>
          <t>El Herrero</t>
        </is>
      </c>
      <c r="E86" s="6" t="inlineStr">
        <is>
          <t>Minas de Bacis</t>
        </is>
      </c>
      <c r="F86" s="6" t="inlineStr">
        <is>
          <t>Dgo.</t>
        </is>
      </c>
      <c r="G86" s="6" t="n">
        <v>66.05</v>
      </c>
      <c r="H86" s="6" t="inlineStr">
        <is>
          <t>miles oz</t>
        </is>
      </c>
      <c r="I86" s="6" t="n"/>
      <c r="J86" s="6" t="n">
        <v>4010</v>
      </c>
      <c r="K86" s="6" t="inlineStr">
        <is>
          <t>miles oz</t>
        </is>
      </c>
      <c r="L86" s="5" t="inlineStr">
        <is>
          <t>Informe CAMIMEX 2022</t>
        </is>
      </c>
      <c r="M86" s="6" t="n">
        <v>32</v>
      </c>
      <c r="N86" s="5" t="n"/>
      <c r="O86" s="11">
        <f>IF(AND(ISNUMBER(G86),ISNUMBER(J86),J86&lt;&gt;0,H86=K86),G86/J86*100,"")</f>
        <v/>
      </c>
      <c r="P86" s="11">
        <f>IF(AND(ISNUMBER(O86),ISNUMBER(I86)),ROUND(O86-I86,2),"")</f>
        <v/>
      </c>
    </row>
    <row r="87">
      <c r="A87" s="9" t="inlineStr">
        <is>
          <t>Oro</t>
        </is>
      </c>
      <c r="B87" s="9" t="n">
        <v>2021</v>
      </c>
      <c r="C87" s="9" t="inlineStr">
        <is>
          <t>mina</t>
        </is>
      </c>
      <c r="D87" s="9" t="inlineStr">
        <is>
          <t>La Colorada</t>
        </is>
      </c>
      <c r="E87" s="9" t="inlineStr">
        <is>
          <t>Argonaut Gold</t>
        </is>
      </c>
      <c r="F87" s="9" t="inlineStr">
        <is>
          <t>Son.</t>
        </is>
      </c>
      <c r="G87" s="9" t="n">
        <v>64.86</v>
      </c>
      <c r="H87" s="9" t="inlineStr">
        <is>
          <t>miles oz</t>
        </is>
      </c>
      <c r="I87" s="9" t="n"/>
      <c r="J87" s="9" t="n">
        <v>4010</v>
      </c>
      <c r="K87" s="9" t="inlineStr">
        <is>
          <t>miles oz</t>
        </is>
      </c>
      <c r="L87" s="8" t="inlineStr">
        <is>
          <t>Informe CAMIMEX 2022</t>
        </is>
      </c>
      <c r="M87" s="9" t="n">
        <v>32</v>
      </c>
      <c r="N87" s="8" t="n"/>
      <c r="O87" s="11">
        <f>IF(AND(ISNUMBER(G87),ISNUMBER(J87),J87&lt;&gt;0,H87=K87),G87/J87*100,"")</f>
        <v/>
      </c>
      <c r="P87" s="11">
        <f>IF(AND(ISNUMBER(O87),ISNUMBER(I87)),ROUND(O87-I87,2),"")</f>
        <v/>
      </c>
    </row>
    <row r="88">
      <c r="A88" s="6" t="inlineStr">
        <is>
          <t>Oro</t>
        </is>
      </c>
      <c r="B88" s="6" t="n">
        <v>2021</v>
      </c>
      <c r="C88" s="6" t="inlineStr">
        <is>
          <t>mina</t>
        </is>
      </c>
      <c r="D88" s="6" t="inlineStr">
        <is>
          <t>La Herradura</t>
        </is>
      </c>
      <c r="E88" s="6" t="inlineStr">
        <is>
          <t>Fresnillo plc</t>
        </is>
      </c>
      <c r="F88" s="6" t="inlineStr">
        <is>
          <t>Son.</t>
        </is>
      </c>
      <c r="G88" s="6" t="n">
        <v>421.54</v>
      </c>
      <c r="H88" s="6" t="inlineStr">
        <is>
          <t>miles oz</t>
        </is>
      </c>
      <c r="I88" s="6" t="n"/>
      <c r="J88" s="6" t="n">
        <v>4010</v>
      </c>
      <c r="K88" s="6" t="inlineStr">
        <is>
          <t>miles oz</t>
        </is>
      </c>
      <c r="L88" s="5" t="inlineStr">
        <is>
          <t>Informe CAMIMEX 2022</t>
        </is>
      </c>
      <c r="M88" s="6" t="n">
        <v>32</v>
      </c>
      <c r="N88" s="5" t="n"/>
      <c r="O88" s="11">
        <f>IF(AND(ISNUMBER(G88),ISNUMBER(J88),J88&lt;&gt;0,H88=K88),G88/J88*100,"")</f>
        <v/>
      </c>
      <c r="P88" s="11">
        <f>IF(AND(ISNUMBER(O88),ISNUMBER(I88)),ROUND(O88-I88,2),"")</f>
        <v/>
      </c>
    </row>
    <row r="89">
      <c r="A89" s="9" t="inlineStr">
        <is>
          <t>Oro</t>
        </is>
      </c>
      <c r="B89" s="9" t="n">
        <v>2021</v>
      </c>
      <c r="C89" s="9" t="inlineStr">
        <is>
          <t>mina</t>
        </is>
      </c>
      <c r="D89" s="9" t="inlineStr">
        <is>
          <t>Limon-Guajes</t>
        </is>
      </c>
      <c r="E89" s="9" t="inlineStr">
        <is>
          <t>Torex Gold</t>
        </is>
      </c>
      <c r="F89" s="9" t="inlineStr">
        <is>
          <t>Gro.</t>
        </is>
      </c>
      <c r="G89" s="9" t="n">
        <v>468.2</v>
      </c>
      <c r="H89" s="9" t="inlineStr">
        <is>
          <t>miles oz</t>
        </is>
      </c>
      <c r="I89" s="9" t="n"/>
      <c r="J89" s="9" t="n">
        <v>4010</v>
      </c>
      <c r="K89" s="9" t="inlineStr">
        <is>
          <t>miles oz</t>
        </is>
      </c>
      <c r="L89" s="8" t="inlineStr">
        <is>
          <t>Informe CAMIMEX 2022</t>
        </is>
      </c>
      <c r="M89" s="9" t="n">
        <v>32</v>
      </c>
      <c r="N89" s="8" t="n"/>
      <c r="O89" s="11">
        <f>IF(AND(ISNUMBER(G89),ISNUMBER(J89),J89&lt;&gt;0,H89=K89),G89/J89*100,"")</f>
        <v/>
      </c>
      <c r="P89" s="11">
        <f>IF(AND(ISNUMBER(O89),ISNUMBER(I89)),ROUND(O89-I89,2),"")</f>
        <v/>
      </c>
    </row>
    <row r="90">
      <c r="A90" s="6" t="inlineStr">
        <is>
          <t>Oro</t>
        </is>
      </c>
      <c r="B90" s="6" t="n">
        <v>2021</v>
      </c>
      <c r="C90" s="6" t="inlineStr">
        <is>
          <t>mina</t>
        </is>
      </c>
      <c r="D90" s="6" t="inlineStr">
        <is>
          <t>Los Filos</t>
        </is>
      </c>
      <c r="E90" s="6" t="inlineStr">
        <is>
          <t>Equinox Gold</t>
        </is>
      </c>
      <c r="F90" s="6" t="inlineStr">
        <is>
          <t>Gro.</t>
        </is>
      </c>
      <c r="G90" s="6" t="n">
        <v>144.1</v>
      </c>
      <c r="H90" s="6" t="inlineStr">
        <is>
          <t>miles oz</t>
        </is>
      </c>
      <c r="I90" s="6" t="n"/>
      <c r="J90" s="6" t="n">
        <v>4010</v>
      </c>
      <c r="K90" s="6" t="inlineStr">
        <is>
          <t>miles oz</t>
        </is>
      </c>
      <c r="L90" s="5" t="inlineStr">
        <is>
          <t>Informe CAMIMEX 2022</t>
        </is>
      </c>
      <c r="M90" s="6" t="n">
        <v>32</v>
      </c>
      <c r="N90" s="5" t="n"/>
      <c r="O90" s="11">
        <f>IF(AND(ISNUMBER(G90),ISNUMBER(J90),J90&lt;&gt;0,H90=K90),G90/J90*100,"")</f>
        <v/>
      </c>
      <c r="P90" s="11">
        <f>IF(AND(ISNUMBER(O90),ISNUMBER(I90)),ROUND(O90-I90,2),"")</f>
        <v/>
      </c>
    </row>
    <row r="91">
      <c r="A91" s="9" t="inlineStr">
        <is>
          <t>Oro</t>
        </is>
      </c>
      <c r="B91" s="9" t="n">
        <v>2021</v>
      </c>
      <c r="C91" s="9" t="inlineStr">
        <is>
          <t>mina</t>
        </is>
      </c>
      <c r="D91" s="9" t="inlineStr">
        <is>
          <t>Mulatos</t>
        </is>
      </c>
      <c r="E91" s="9" t="inlineStr">
        <is>
          <t>Alamos Gold</t>
        </is>
      </c>
      <c r="F91" s="9" t="inlineStr">
        <is>
          <t>Son.</t>
        </is>
      </c>
      <c r="G91" s="9" t="n">
        <v>121.3</v>
      </c>
      <c r="H91" s="9" t="inlineStr">
        <is>
          <t>miles oz</t>
        </is>
      </c>
      <c r="I91" s="9" t="n"/>
      <c r="J91" s="9" t="n">
        <v>4010</v>
      </c>
      <c r="K91" s="9" t="inlineStr">
        <is>
          <t>miles oz</t>
        </is>
      </c>
      <c r="L91" s="8" t="inlineStr">
        <is>
          <t>Informe CAMIMEX 2022</t>
        </is>
      </c>
      <c r="M91" s="9" t="n">
        <v>32</v>
      </c>
      <c r="N91" s="8" t="n"/>
      <c r="O91" s="11">
        <f>IF(AND(ISNUMBER(G91),ISNUMBER(J91),J91&lt;&gt;0,H91=K91),G91/J91*100,"")</f>
        <v/>
      </c>
      <c r="P91" s="11">
        <f>IF(AND(ISNUMBER(O91),ISNUMBER(I91)),ROUND(O91-I91,2),"")</f>
        <v/>
      </c>
    </row>
    <row r="92">
      <c r="A92" s="6" t="inlineStr">
        <is>
          <t>Oro</t>
        </is>
      </c>
      <c r="B92" s="6" t="n">
        <v>2021</v>
      </c>
      <c r="C92" s="6" t="inlineStr">
        <is>
          <t>mina</t>
        </is>
      </c>
      <c r="D92" s="6" t="inlineStr">
        <is>
          <t>Noche Buena</t>
        </is>
      </c>
      <c r="E92" s="6" t="inlineStr">
        <is>
          <t>Fresnillo plc</t>
        </is>
      </c>
      <c r="F92" s="6" t="inlineStr">
        <is>
          <t>Son.</t>
        </is>
      </c>
      <c r="G92" s="6" t="n">
        <v>96.84</v>
      </c>
      <c r="H92" s="6" t="inlineStr">
        <is>
          <t>miles oz</t>
        </is>
      </c>
      <c r="I92" s="6" t="n"/>
      <c r="J92" s="6" t="n">
        <v>4010</v>
      </c>
      <c r="K92" s="6" t="inlineStr">
        <is>
          <t>miles oz</t>
        </is>
      </c>
      <c r="L92" s="5" t="inlineStr">
        <is>
          <t>Informe CAMIMEX 2022</t>
        </is>
      </c>
      <c r="M92" s="6" t="n">
        <v>32</v>
      </c>
      <c r="N92" s="5" t="n"/>
      <c r="O92" s="11">
        <f>IF(AND(ISNUMBER(G92),ISNUMBER(J92),J92&lt;&gt;0,H92=K92),G92/J92*100,"")</f>
        <v/>
      </c>
      <c r="P92" s="11">
        <f>IF(AND(ISNUMBER(O92),ISNUMBER(I92)),ROUND(O92-I92,2),"")</f>
        <v/>
      </c>
    </row>
    <row r="93">
      <c r="A93" s="9" t="inlineStr">
        <is>
          <t>Oro</t>
        </is>
      </c>
      <c r="B93" s="9" t="n">
        <v>2021</v>
      </c>
      <c r="C93" s="9" t="inlineStr">
        <is>
          <t>mina</t>
        </is>
      </c>
      <c r="D93" s="9" t="inlineStr">
        <is>
          <t>Palmarejo</t>
        </is>
      </c>
      <c r="E93" s="9" t="inlineStr">
        <is>
          <t>Coeur Mining</t>
        </is>
      </c>
      <c r="F93" s="9" t="inlineStr">
        <is>
          <t>Chih.</t>
        </is>
      </c>
      <c r="G93" s="9" t="n">
        <v>109.2</v>
      </c>
      <c r="H93" s="9" t="inlineStr">
        <is>
          <t>miles oz</t>
        </is>
      </c>
      <c r="I93" s="9" t="n"/>
      <c r="J93" s="9" t="n">
        <v>4010</v>
      </c>
      <c r="K93" s="9" t="inlineStr">
        <is>
          <t>miles oz</t>
        </is>
      </c>
      <c r="L93" s="8" t="inlineStr">
        <is>
          <t>Informe CAMIMEX 2022</t>
        </is>
      </c>
      <c r="M93" s="9" t="n">
        <v>32</v>
      </c>
      <c r="N93" s="8" t="n"/>
      <c r="O93" s="11">
        <f>IF(AND(ISNUMBER(G93),ISNUMBER(J93),J93&lt;&gt;0,H93=K93),G93/J93*100,"")</f>
        <v/>
      </c>
      <c r="P93" s="11">
        <f>IF(AND(ISNUMBER(O93),ISNUMBER(I93)),ROUND(O93-I93,2),"")</f>
        <v/>
      </c>
    </row>
    <row r="94">
      <c r="A94" s="6" t="inlineStr">
        <is>
          <t>Oro</t>
        </is>
      </c>
      <c r="B94" s="6" t="n">
        <v>2021</v>
      </c>
      <c r="C94" s="6" t="inlineStr">
        <is>
          <t>mina</t>
        </is>
      </c>
      <c r="D94" s="6" t="inlineStr">
        <is>
          <t>Penasquito</t>
        </is>
      </c>
      <c r="E94" s="6" t="inlineStr">
        <is>
          <t>Newmont</t>
        </is>
      </c>
      <c r="F94" s="6" t="inlineStr">
        <is>
          <t>Zac.</t>
        </is>
      </c>
      <c r="G94" s="6" t="n">
        <v>685.92</v>
      </c>
      <c r="H94" s="6" t="inlineStr">
        <is>
          <t>miles oz</t>
        </is>
      </c>
      <c r="I94" s="6" t="n"/>
      <c r="J94" s="6" t="n">
        <v>4010</v>
      </c>
      <c r="K94" s="6" t="inlineStr">
        <is>
          <t>miles oz</t>
        </is>
      </c>
      <c r="L94" s="5" t="inlineStr">
        <is>
          <t>Informe CAMIMEX 2022</t>
        </is>
      </c>
      <c r="M94" s="6" t="n">
        <v>32</v>
      </c>
      <c r="N94" s="5" t="inlineStr">
        <is>
          <t>Tabla top-15 verificada en imagen</t>
        </is>
      </c>
      <c r="O94" s="11">
        <f>IF(AND(ISNUMBER(G94),ISNUMBER(J94),J94&lt;&gt;0,H94=K94),G94/J94*100,"")</f>
        <v/>
      </c>
      <c r="P94" s="11">
        <f>IF(AND(ISNUMBER(O94),ISNUMBER(I94)),ROUND(O94-I94,2),"")</f>
        <v/>
      </c>
    </row>
    <row r="95">
      <c r="A95" s="9" t="inlineStr">
        <is>
          <t>Oro</t>
        </is>
      </c>
      <c r="B95" s="9" t="n">
        <v>2021</v>
      </c>
      <c r="C95" s="9" t="inlineStr">
        <is>
          <t>mina</t>
        </is>
      </c>
      <c r="D95" s="9" t="inlineStr">
        <is>
          <t>Pinos Altos</t>
        </is>
      </c>
      <c r="E95" s="9" t="inlineStr">
        <is>
          <t>Agnico Eagle Mines</t>
        </is>
      </c>
      <c r="F95" s="9" t="inlineStr">
        <is>
          <t>Chih.</t>
        </is>
      </c>
      <c r="G95" s="9" t="n">
        <v>139.73</v>
      </c>
      <c r="H95" s="9" t="inlineStr">
        <is>
          <t>miles oz</t>
        </is>
      </c>
      <c r="I95" s="9" t="n"/>
      <c r="J95" s="9" t="n">
        <v>4010</v>
      </c>
      <c r="K95" s="9" t="inlineStr">
        <is>
          <t>miles oz</t>
        </is>
      </c>
      <c r="L95" s="8" t="inlineStr">
        <is>
          <t>Informe CAMIMEX 2022</t>
        </is>
      </c>
      <c r="M95" s="9" t="n">
        <v>32</v>
      </c>
      <c r="N95" s="8" t="n"/>
      <c r="O95" s="11">
        <f>IF(AND(ISNUMBER(G95),ISNUMBER(J95),J95&lt;&gt;0,H95=K95),G95/J95*100,"")</f>
        <v/>
      </c>
      <c r="P95" s="11">
        <f>IF(AND(ISNUMBER(O95),ISNUMBER(I95)),ROUND(O95-I95,2),"")</f>
        <v/>
      </c>
    </row>
    <row r="96">
      <c r="A96" s="6" t="inlineStr">
        <is>
          <t>Oro</t>
        </is>
      </c>
      <c r="B96" s="6" t="n">
        <v>2021</v>
      </c>
      <c r="C96" s="6" t="inlineStr">
        <is>
          <t>mina</t>
        </is>
      </c>
      <c r="D96" s="6" t="inlineStr">
        <is>
          <t>San Dimas</t>
        </is>
      </c>
      <c r="E96" s="6" t="inlineStr">
        <is>
          <t>First Majestic Silver</t>
        </is>
      </c>
      <c r="F96" s="6" t="inlineStr">
        <is>
          <t>Dgo.</t>
        </is>
      </c>
      <c r="G96" s="6" t="n">
        <v>81.23999999999999</v>
      </c>
      <c r="H96" s="6" t="inlineStr">
        <is>
          <t>miles oz</t>
        </is>
      </c>
      <c r="I96" s="6" t="n"/>
      <c r="J96" s="6" t="n">
        <v>4010</v>
      </c>
      <c r="K96" s="6" t="inlineStr">
        <is>
          <t>miles oz</t>
        </is>
      </c>
      <c r="L96" s="5" t="inlineStr">
        <is>
          <t>Informe CAMIMEX 2022</t>
        </is>
      </c>
      <c r="M96" s="6" t="n">
        <v>32</v>
      </c>
      <c r="N96" s="5" t="n"/>
      <c r="O96" s="11">
        <f>IF(AND(ISNUMBER(G96),ISNUMBER(J96),J96&lt;&gt;0,H96=K96),G96/J96*100,"")</f>
        <v/>
      </c>
      <c r="P96" s="11">
        <f>IF(AND(ISNUMBER(O96),ISNUMBER(I96)),ROUND(O96-I96,2),"")</f>
        <v/>
      </c>
    </row>
    <row r="97">
      <c r="A97" s="9" t="inlineStr">
        <is>
          <t>Oro</t>
        </is>
      </c>
      <c r="B97" s="9" t="n">
        <v>2021</v>
      </c>
      <c r="C97" s="9" t="inlineStr">
        <is>
          <t>mina</t>
        </is>
      </c>
      <c r="D97" s="9" t="inlineStr">
        <is>
          <t>San Julian</t>
        </is>
      </c>
      <c r="E97" s="9" t="inlineStr">
        <is>
          <t>Fresnillo plc</t>
        </is>
      </c>
      <c r="F97" s="9" t="inlineStr">
        <is>
          <t>Chih.</t>
        </is>
      </c>
      <c r="G97" s="9" t="n">
        <v>55.85</v>
      </c>
      <c r="H97" s="9" t="inlineStr">
        <is>
          <t>miles oz</t>
        </is>
      </c>
      <c r="I97" s="9" t="n"/>
      <c r="J97" s="9" t="n">
        <v>4010</v>
      </c>
      <c r="K97" s="9" t="inlineStr">
        <is>
          <t>miles oz</t>
        </is>
      </c>
      <c r="L97" s="8" t="inlineStr">
        <is>
          <t>Informe CAMIMEX 2022</t>
        </is>
      </c>
      <c r="M97" s="9" t="n">
        <v>32</v>
      </c>
      <c r="N97" s="8" t="n"/>
      <c r="O97" s="11">
        <f>IF(AND(ISNUMBER(G97),ISNUMBER(J97),J97&lt;&gt;0,H97=K97),G97/J97*100,"")</f>
        <v/>
      </c>
      <c r="P97" s="11">
        <f>IF(AND(ISNUMBER(O97),ISNUMBER(I97)),ROUND(O97-I97,2),"")</f>
        <v/>
      </c>
    </row>
    <row r="98">
      <c r="A98" s="6" t="inlineStr">
        <is>
          <t>Oro</t>
        </is>
      </c>
      <c r="B98" s="6" t="n">
        <v>2021</v>
      </c>
      <c r="C98" s="6" t="inlineStr">
        <is>
          <t>mina</t>
        </is>
      </c>
      <c r="D98" s="6" t="inlineStr">
        <is>
          <t>Saucito</t>
        </is>
      </c>
      <c r="E98" s="6" t="inlineStr">
        <is>
          <t>Fresnillo plc</t>
        </is>
      </c>
      <c r="F98" s="6" t="inlineStr">
        <is>
          <t>Zac.</t>
        </is>
      </c>
      <c r="G98" s="6" t="n">
        <v>88.44</v>
      </c>
      <c r="H98" s="6" t="inlineStr">
        <is>
          <t>miles oz</t>
        </is>
      </c>
      <c r="I98" s="6" t="n"/>
      <c r="J98" s="6" t="n">
        <v>4010</v>
      </c>
      <c r="K98" s="6" t="inlineStr">
        <is>
          <t>miles oz</t>
        </is>
      </c>
      <c r="L98" s="5" t="inlineStr">
        <is>
          <t>Informe CAMIMEX 2022</t>
        </is>
      </c>
      <c r="M98" s="6" t="n">
        <v>32</v>
      </c>
      <c r="N98" s="5" t="n"/>
      <c r="O98" s="11">
        <f>IF(AND(ISNUMBER(G98),ISNUMBER(J98),J98&lt;&gt;0,H98=K98),G98/J98*100,"")</f>
        <v/>
      </c>
      <c r="P98" s="11">
        <f>IF(AND(ISNUMBER(O98),ISNUMBER(I98)),ROUND(O98-I98,2),"")</f>
        <v/>
      </c>
    </row>
    <row r="99">
      <c r="A99" s="9" t="inlineStr">
        <is>
          <t>Oro</t>
        </is>
      </c>
      <c r="B99" s="9" t="n">
        <v>2022</v>
      </c>
      <c r="C99" s="9" t="inlineStr">
        <is>
          <t>empresa</t>
        </is>
      </c>
      <c r="D99" s="9" t="n"/>
      <c r="E99" s="9" t="inlineStr">
        <is>
          <t>Fresnillo plc</t>
        </is>
      </c>
      <c r="F99" s="9" t="n"/>
      <c r="G99" s="9" t="n"/>
      <c r="H99" s="9" t="n"/>
      <c r="I99" s="9" t="n"/>
      <c r="J99" s="9" t="n">
        <v>4770</v>
      </c>
      <c r="K99" s="9" t="inlineStr">
        <is>
          <t>miles oz</t>
        </is>
      </c>
      <c r="L99" s="8" t="inlineStr">
        <is>
          <t>Informe CAMIMEX 2023</t>
        </is>
      </c>
      <c r="M99" s="9" t="n">
        <v>37</v>
      </c>
      <c r="N99" s="8" t="inlineStr">
        <is>
          <t>Ranking narrativo: Fresnillo mayor productor (sin % publicado)</t>
        </is>
      </c>
      <c r="O99" s="11">
        <f>IF(AND(ISNUMBER(G99),ISNUMBER(J99),J99&lt;&gt;0,H99=K99),G99/J99*100,"")</f>
        <v/>
      </c>
      <c r="P99" s="11">
        <f>IF(AND(ISNUMBER(O99),ISNUMBER(I99)),ROUND(O99-I99,2),"")</f>
        <v/>
      </c>
    </row>
    <row r="100">
      <c r="A100" s="6" t="inlineStr">
        <is>
          <t>Oro</t>
        </is>
      </c>
      <c r="B100" s="6" t="n">
        <v>2022</v>
      </c>
      <c r="C100" s="6" t="inlineStr">
        <is>
          <t>mina</t>
        </is>
      </c>
      <c r="D100" s="6" t="inlineStr">
        <is>
          <t>Dolores</t>
        </is>
      </c>
      <c r="E100" s="6" t="inlineStr">
        <is>
          <t>Pan American Silver</t>
        </is>
      </c>
      <c r="F100" s="6" t="inlineStr">
        <is>
          <t>Chih.</t>
        </is>
      </c>
      <c r="G100" s="6" t="n">
        <v>136.9</v>
      </c>
      <c r="H100" s="6" t="inlineStr">
        <is>
          <t>miles oz</t>
        </is>
      </c>
      <c r="I100" s="6" t="n"/>
      <c r="J100" s="6" t="n">
        <v>4770</v>
      </c>
      <c r="K100" s="6" t="inlineStr">
        <is>
          <t>miles oz</t>
        </is>
      </c>
      <c r="L100" s="5" t="inlineStr">
        <is>
          <t>Informe CAMIMEX 2023</t>
        </is>
      </c>
      <c r="M100" s="6" t="n">
        <v>37</v>
      </c>
      <c r="N100" s="5" t="n"/>
      <c r="O100" s="11">
        <f>IF(AND(ISNUMBER(G100),ISNUMBER(J100),J100&lt;&gt;0,H100=K100),G100/J100*100,"")</f>
        <v/>
      </c>
      <c r="P100" s="11">
        <f>IF(AND(ISNUMBER(O100),ISNUMBER(I100)),ROUND(O100-I100,2),"")</f>
        <v/>
      </c>
    </row>
    <row r="101">
      <c r="A101" s="9" t="inlineStr">
        <is>
          <t>Oro</t>
        </is>
      </c>
      <c r="B101" s="9" t="n">
        <v>2022</v>
      </c>
      <c r="C101" s="9" t="inlineStr">
        <is>
          <t>mina</t>
        </is>
      </c>
      <c r="D101" s="9" t="inlineStr">
        <is>
          <t>El Herrero</t>
        </is>
      </c>
      <c r="E101" s="9" t="inlineStr">
        <is>
          <t>Minas de Bacis</t>
        </is>
      </c>
      <c r="F101" s="9" t="inlineStr">
        <is>
          <t>Dgo.</t>
        </is>
      </c>
      <c r="G101" s="9" t="n">
        <v>52.7</v>
      </c>
      <c r="H101" s="9" t="inlineStr">
        <is>
          <t>miles oz</t>
        </is>
      </c>
      <c r="I101" s="9" t="n"/>
      <c r="J101" s="9" t="n">
        <v>4770</v>
      </c>
      <c r="K101" s="9" t="inlineStr">
        <is>
          <t>miles oz</t>
        </is>
      </c>
      <c r="L101" s="8" t="inlineStr">
        <is>
          <t>Informe CAMIMEX 2023</t>
        </is>
      </c>
      <c r="M101" s="9" t="n">
        <v>37</v>
      </c>
      <c r="N101" s="8" t="inlineStr">
        <is>
          <t>Top-15 suma 2519.9</t>
        </is>
      </c>
      <c r="O101" s="11">
        <f>IF(AND(ISNUMBER(G101),ISNUMBER(J101),J101&lt;&gt;0,H101=K101),G101/J101*100,"")</f>
        <v/>
      </c>
      <c r="P101" s="11">
        <f>IF(AND(ISNUMBER(O101),ISNUMBER(I101)),ROUND(O101-I101,2),"")</f>
        <v/>
      </c>
    </row>
    <row r="102">
      <c r="A102" s="6" t="inlineStr">
        <is>
          <t>Oro</t>
        </is>
      </c>
      <c r="B102" s="6" t="n">
        <v>2022</v>
      </c>
      <c r="C102" s="6" t="inlineStr">
        <is>
          <t>mina</t>
        </is>
      </c>
      <c r="D102" s="6" t="inlineStr">
        <is>
          <t>La Herradura</t>
        </is>
      </c>
      <c r="E102" s="6" t="inlineStr">
        <is>
          <t>Fresnillo plc</t>
        </is>
      </c>
      <c r="F102" s="6" t="inlineStr">
        <is>
          <t>Son.</t>
        </is>
      </c>
      <c r="G102" s="6" t="n">
        <v>349.7</v>
      </c>
      <c r="H102" s="6" t="inlineStr">
        <is>
          <t>miles oz</t>
        </is>
      </c>
      <c r="I102" s="6" t="n"/>
      <c r="J102" s="6" t="n">
        <v>4770</v>
      </c>
      <c r="K102" s="6" t="inlineStr">
        <is>
          <t>miles oz</t>
        </is>
      </c>
      <c r="L102" s="5" t="inlineStr">
        <is>
          <t>Informe CAMIMEX 2023</t>
        </is>
      </c>
      <c r="M102" s="6" t="n">
        <v>37</v>
      </c>
      <c r="N102" s="5" t="n"/>
      <c r="O102" s="11">
        <f>IF(AND(ISNUMBER(G102),ISNUMBER(J102),J102&lt;&gt;0,H102=K102),G102/J102*100,"")</f>
        <v/>
      </c>
      <c r="P102" s="11">
        <f>IF(AND(ISNUMBER(O102),ISNUMBER(I102)),ROUND(O102-I102,2),"")</f>
        <v/>
      </c>
    </row>
    <row r="103">
      <c r="A103" s="9" t="inlineStr">
        <is>
          <t>Oro</t>
        </is>
      </c>
      <c r="B103" s="9" t="n">
        <v>2022</v>
      </c>
      <c r="C103" s="9" t="inlineStr">
        <is>
          <t>mina</t>
        </is>
      </c>
      <c r="D103" s="9" t="inlineStr">
        <is>
          <t>La India</t>
        </is>
      </c>
      <c r="E103" s="9" t="inlineStr">
        <is>
          <t>Agnico Eagle Mines</t>
        </is>
      </c>
      <c r="F103" s="9" t="inlineStr">
        <is>
          <t>Son.</t>
        </is>
      </c>
      <c r="G103" s="9" t="n">
        <v>74.59999999999999</v>
      </c>
      <c r="H103" s="9" t="inlineStr">
        <is>
          <t>miles oz</t>
        </is>
      </c>
      <c r="I103" s="9" t="n"/>
      <c r="J103" s="9" t="n">
        <v>4770</v>
      </c>
      <c r="K103" s="9" t="inlineStr">
        <is>
          <t>miles oz</t>
        </is>
      </c>
      <c r="L103" s="8" t="inlineStr">
        <is>
          <t>Informe CAMIMEX 2023</t>
        </is>
      </c>
      <c r="M103" s="9" t="n">
        <v>37</v>
      </c>
      <c r="N103" s="8" t="n"/>
      <c r="O103" s="11">
        <f>IF(AND(ISNUMBER(G103),ISNUMBER(J103),J103&lt;&gt;0,H103=K103),G103/J103*100,"")</f>
        <v/>
      </c>
      <c r="P103" s="11">
        <f>IF(AND(ISNUMBER(O103),ISNUMBER(I103)),ROUND(O103-I103,2),"")</f>
        <v/>
      </c>
    </row>
    <row r="104">
      <c r="A104" s="6" t="inlineStr">
        <is>
          <t>Oro</t>
        </is>
      </c>
      <c r="B104" s="6" t="n">
        <v>2022</v>
      </c>
      <c r="C104" s="6" t="inlineStr">
        <is>
          <t>mina</t>
        </is>
      </c>
      <c r="D104" s="6" t="inlineStr">
        <is>
          <t>Limon-Guajes</t>
        </is>
      </c>
      <c r="E104" s="6" t="inlineStr">
        <is>
          <t>Torex Gold</t>
        </is>
      </c>
      <c r="F104" s="6" t="inlineStr">
        <is>
          <t>Gro.</t>
        </is>
      </c>
      <c r="G104" s="6" t="n">
        <v>474.3</v>
      </c>
      <c r="H104" s="6" t="inlineStr">
        <is>
          <t>miles oz</t>
        </is>
      </c>
      <c r="I104" s="6" t="n"/>
      <c r="J104" s="6" t="n">
        <v>4770</v>
      </c>
      <c r="K104" s="6" t="inlineStr">
        <is>
          <t>miles oz</t>
        </is>
      </c>
      <c r="L104" s="5" t="inlineStr">
        <is>
          <t>Informe CAMIMEX 2023</t>
        </is>
      </c>
      <c r="M104" s="6" t="n">
        <v>37</v>
      </c>
      <c r="N104" s="5" t="n"/>
      <c r="O104" s="11">
        <f>IF(AND(ISNUMBER(G104),ISNUMBER(J104),J104&lt;&gt;0,H104=K104),G104/J104*100,"")</f>
        <v/>
      </c>
      <c r="P104" s="11">
        <f>IF(AND(ISNUMBER(O104),ISNUMBER(I104)),ROUND(O104-I104,2),"")</f>
        <v/>
      </c>
    </row>
    <row r="105">
      <c r="A105" s="9" t="inlineStr">
        <is>
          <t>Oro</t>
        </is>
      </c>
      <c r="B105" s="9" t="n">
        <v>2022</v>
      </c>
      <c r="C105" s="9" t="inlineStr">
        <is>
          <t>mina</t>
        </is>
      </c>
      <c r="D105" s="9" t="inlineStr">
        <is>
          <t>Los Filos</t>
        </is>
      </c>
      <c r="E105" s="9" t="inlineStr">
        <is>
          <t>Equinox Gold</t>
        </is>
      </c>
      <c r="F105" s="9" t="inlineStr">
        <is>
          <t>Gro.</t>
        </is>
      </c>
      <c r="G105" s="9" t="n">
        <v>133.7</v>
      </c>
      <c r="H105" s="9" t="inlineStr">
        <is>
          <t>miles oz</t>
        </is>
      </c>
      <c r="I105" s="9" t="n"/>
      <c r="J105" s="9" t="n">
        <v>4770</v>
      </c>
      <c r="K105" s="9" t="inlineStr">
        <is>
          <t>miles oz</t>
        </is>
      </c>
      <c r="L105" s="8" t="inlineStr">
        <is>
          <t>Informe CAMIMEX 2023</t>
        </is>
      </c>
      <c r="M105" s="9" t="n">
        <v>37</v>
      </c>
      <c r="N105" s="8" t="n"/>
      <c r="O105" s="11">
        <f>IF(AND(ISNUMBER(G105),ISNUMBER(J105),J105&lt;&gt;0,H105=K105),G105/J105*100,"")</f>
        <v/>
      </c>
      <c r="P105" s="11">
        <f>IF(AND(ISNUMBER(O105),ISNUMBER(I105)),ROUND(O105-I105,2),"")</f>
        <v/>
      </c>
    </row>
    <row r="106">
      <c r="A106" s="6" t="inlineStr">
        <is>
          <t>Oro</t>
        </is>
      </c>
      <c r="B106" s="6" t="n">
        <v>2022</v>
      </c>
      <c r="C106" s="6" t="inlineStr">
        <is>
          <t>mina</t>
        </is>
      </c>
      <c r="D106" s="6" t="inlineStr">
        <is>
          <t>Mulatos</t>
        </is>
      </c>
      <c r="E106" s="6" t="inlineStr">
        <is>
          <t>Alamos Gold</t>
        </is>
      </c>
      <c r="F106" s="6" t="inlineStr">
        <is>
          <t>Son.</t>
        </is>
      </c>
      <c r="G106" s="6" t="n">
        <v>134.5</v>
      </c>
      <c r="H106" s="6" t="inlineStr">
        <is>
          <t>miles oz</t>
        </is>
      </c>
      <c r="I106" s="6" t="n"/>
      <c r="J106" s="6" t="n">
        <v>4770</v>
      </c>
      <c r="K106" s="6" t="inlineStr">
        <is>
          <t>miles oz</t>
        </is>
      </c>
      <c r="L106" s="5" t="inlineStr">
        <is>
          <t>Informe CAMIMEX 2023</t>
        </is>
      </c>
      <c r="M106" s="6" t="n">
        <v>37</v>
      </c>
      <c r="N106" s="5" t="n"/>
      <c r="O106" s="11">
        <f>IF(AND(ISNUMBER(G106),ISNUMBER(J106),J106&lt;&gt;0,H106=K106),G106/J106*100,"")</f>
        <v/>
      </c>
      <c r="P106" s="11">
        <f>IF(AND(ISNUMBER(O106),ISNUMBER(I106)),ROUND(O106-I106,2),"")</f>
        <v/>
      </c>
    </row>
    <row r="107">
      <c r="A107" s="9" t="inlineStr">
        <is>
          <t>Oro</t>
        </is>
      </c>
      <c r="B107" s="9" t="n">
        <v>2022</v>
      </c>
      <c r="C107" s="9" t="inlineStr">
        <is>
          <t>mina</t>
        </is>
      </c>
      <c r="D107" s="9" t="inlineStr">
        <is>
          <t>Noche Buena</t>
        </is>
      </c>
      <c r="E107" s="9" t="inlineStr">
        <is>
          <t>Fresnillo plc</t>
        </is>
      </c>
      <c r="F107" s="9" t="inlineStr">
        <is>
          <t>Son.</t>
        </is>
      </c>
      <c r="G107" s="9" t="n">
        <v>79.59999999999999</v>
      </c>
      <c r="H107" s="9" t="inlineStr">
        <is>
          <t>miles oz</t>
        </is>
      </c>
      <c r="I107" s="9" t="n"/>
      <c r="J107" s="9" t="n">
        <v>4770</v>
      </c>
      <c r="K107" s="9" t="inlineStr">
        <is>
          <t>miles oz</t>
        </is>
      </c>
      <c r="L107" s="8" t="inlineStr">
        <is>
          <t>Informe CAMIMEX 2023</t>
        </is>
      </c>
      <c r="M107" s="9" t="n">
        <v>37</v>
      </c>
      <c r="N107" s="8" t="n"/>
      <c r="O107" s="11">
        <f>IF(AND(ISNUMBER(G107),ISNUMBER(J107),J107&lt;&gt;0,H107=K107),G107/J107*100,"")</f>
        <v/>
      </c>
      <c r="P107" s="11">
        <f>IF(AND(ISNUMBER(O107),ISNUMBER(I107)),ROUND(O107-I107,2),"")</f>
        <v/>
      </c>
    </row>
    <row r="108">
      <c r="A108" s="6" t="inlineStr">
        <is>
          <t>Oro</t>
        </is>
      </c>
      <c r="B108" s="6" t="n">
        <v>2022</v>
      </c>
      <c r="C108" s="6" t="inlineStr">
        <is>
          <t>mina</t>
        </is>
      </c>
      <c r="D108" s="6" t="inlineStr">
        <is>
          <t>Palmarejo</t>
        </is>
      </c>
      <c r="E108" s="6" t="inlineStr">
        <is>
          <t>Coeur Mining</t>
        </is>
      </c>
      <c r="F108" s="6" t="inlineStr">
        <is>
          <t>Chih.</t>
        </is>
      </c>
      <c r="G108" s="6" t="n">
        <v>106.7</v>
      </c>
      <c r="H108" s="6" t="inlineStr">
        <is>
          <t>miles oz</t>
        </is>
      </c>
      <c r="I108" s="6" t="n"/>
      <c r="J108" s="6" t="n">
        <v>4770</v>
      </c>
      <c r="K108" s="6" t="inlineStr">
        <is>
          <t>miles oz</t>
        </is>
      </c>
      <c r="L108" s="5" t="inlineStr">
        <is>
          <t>Informe CAMIMEX 2023</t>
        </is>
      </c>
      <c r="M108" s="6" t="n">
        <v>37</v>
      </c>
      <c r="N108" s="5" t="n"/>
      <c r="O108" s="11">
        <f>IF(AND(ISNUMBER(G108),ISNUMBER(J108),J108&lt;&gt;0,H108=K108),G108/J108*100,"")</f>
        <v/>
      </c>
      <c r="P108" s="11">
        <f>IF(AND(ISNUMBER(O108),ISNUMBER(I108)),ROUND(O108-I108,2),"")</f>
        <v/>
      </c>
    </row>
    <row r="109">
      <c r="A109" s="9" t="inlineStr">
        <is>
          <t>Oro</t>
        </is>
      </c>
      <c r="B109" s="9" t="n">
        <v>2022</v>
      </c>
      <c r="C109" s="9" t="inlineStr">
        <is>
          <t>mina</t>
        </is>
      </c>
      <c r="D109" s="9" t="inlineStr">
        <is>
          <t>Penasquito</t>
        </is>
      </c>
      <c r="E109" s="9" t="inlineStr">
        <is>
          <t>Newmont</t>
        </is>
      </c>
      <c r="F109" s="9" t="inlineStr">
        <is>
          <t>Zac.</t>
        </is>
      </c>
      <c r="G109" s="9" t="n">
        <v>566</v>
      </c>
      <c r="H109" s="9" t="inlineStr">
        <is>
          <t>miles oz</t>
        </is>
      </c>
      <c r="I109" s="9" t="n"/>
      <c r="J109" s="9" t="n">
        <v>4770</v>
      </c>
      <c r="K109" s="9" t="inlineStr">
        <is>
          <t>miles oz</t>
        </is>
      </c>
      <c r="L109" s="8" t="inlineStr">
        <is>
          <t>Informe CAMIMEX 2023</t>
        </is>
      </c>
      <c r="M109" s="9" t="n">
        <v>37</v>
      </c>
      <c r="N109" s="8" t="inlineStr">
        <is>
          <t>Tabla top-15 verificada en imagen</t>
        </is>
      </c>
      <c r="O109" s="11">
        <f>IF(AND(ISNUMBER(G109),ISNUMBER(J109),J109&lt;&gt;0,H109=K109),G109/J109*100,"")</f>
        <v/>
      </c>
      <c r="P109" s="11">
        <f>IF(AND(ISNUMBER(O109),ISNUMBER(I109)),ROUND(O109-I109,2),"")</f>
        <v/>
      </c>
    </row>
    <row r="110">
      <c r="A110" s="6" t="inlineStr">
        <is>
          <t>Oro</t>
        </is>
      </c>
      <c r="B110" s="6" t="n">
        <v>2022</v>
      </c>
      <c r="C110" s="6" t="inlineStr">
        <is>
          <t>mina</t>
        </is>
      </c>
      <c r="D110" s="6" t="inlineStr">
        <is>
          <t>Pinos Altos-Creston Mascota</t>
        </is>
      </c>
      <c r="E110" s="6" t="inlineStr">
        <is>
          <t>Agnico Eagle Mines</t>
        </is>
      </c>
      <c r="F110" s="6" t="inlineStr">
        <is>
          <t>Chih.</t>
        </is>
      </c>
      <c r="G110" s="6" t="n">
        <v>96.5</v>
      </c>
      <c r="H110" s="6" t="inlineStr">
        <is>
          <t>miles oz</t>
        </is>
      </c>
      <c r="I110" s="6" t="n"/>
      <c r="J110" s="6" t="n">
        <v>4770</v>
      </c>
      <c r="K110" s="6" t="inlineStr">
        <is>
          <t>miles oz</t>
        </is>
      </c>
      <c r="L110" s="5" t="inlineStr">
        <is>
          <t>Informe CAMIMEX 2023</t>
        </is>
      </c>
      <c r="M110" s="6" t="n">
        <v>37</v>
      </c>
      <c r="N110" s="5" t="n"/>
      <c r="O110" s="11">
        <f>IF(AND(ISNUMBER(G110),ISNUMBER(J110),J110&lt;&gt;0,H110=K110),G110/J110*100,"")</f>
        <v/>
      </c>
      <c r="P110" s="11">
        <f>IF(AND(ISNUMBER(O110),ISNUMBER(I110)),ROUND(O110-I110,2),"")</f>
        <v/>
      </c>
    </row>
    <row r="111">
      <c r="A111" s="9" t="inlineStr">
        <is>
          <t>Oro</t>
        </is>
      </c>
      <c r="B111" s="9" t="n">
        <v>2022</v>
      </c>
      <c r="C111" s="9" t="inlineStr">
        <is>
          <t>mina</t>
        </is>
      </c>
      <c r="D111" s="9" t="inlineStr">
        <is>
          <t>San Agustin</t>
        </is>
      </c>
      <c r="E111" s="9" t="inlineStr">
        <is>
          <t>Argonaut Gold</t>
        </is>
      </c>
      <c r="F111" s="9" t="inlineStr">
        <is>
          <t>Dgo.</t>
        </is>
      </c>
      <c r="G111" s="9" t="n">
        <v>65.8</v>
      </c>
      <c r="H111" s="9" t="inlineStr">
        <is>
          <t>miles oz</t>
        </is>
      </c>
      <c r="I111" s="9" t="n"/>
      <c r="J111" s="9" t="n">
        <v>4770</v>
      </c>
      <c r="K111" s="9" t="inlineStr">
        <is>
          <t>miles oz</t>
        </is>
      </c>
      <c r="L111" s="8" t="inlineStr">
        <is>
          <t>Informe CAMIMEX 2023</t>
        </is>
      </c>
      <c r="M111" s="9" t="n">
        <v>37</v>
      </c>
      <c r="N111" s="8" t="n"/>
      <c r="O111" s="11">
        <f>IF(AND(ISNUMBER(G111),ISNUMBER(J111),J111&lt;&gt;0,H111=K111),G111/J111*100,"")</f>
        <v/>
      </c>
      <c r="P111" s="11">
        <f>IF(AND(ISNUMBER(O111),ISNUMBER(I111)),ROUND(O111-I111,2),"")</f>
        <v/>
      </c>
    </row>
    <row r="112">
      <c r="A112" s="6" t="inlineStr">
        <is>
          <t>Oro</t>
        </is>
      </c>
      <c r="B112" s="6" t="n">
        <v>2022</v>
      </c>
      <c r="C112" s="6" t="inlineStr">
        <is>
          <t>mina</t>
        </is>
      </c>
      <c r="D112" s="6" t="inlineStr">
        <is>
          <t>San Dimas</t>
        </is>
      </c>
      <c r="E112" s="6" t="inlineStr">
        <is>
          <t>First Majestic Silver</t>
        </is>
      </c>
      <c r="F112" s="6" t="inlineStr">
        <is>
          <t>Dgo.</t>
        </is>
      </c>
      <c r="G112" s="6" t="n">
        <v>80.8</v>
      </c>
      <c r="H112" s="6" t="inlineStr">
        <is>
          <t>miles oz</t>
        </is>
      </c>
      <c r="I112" s="6" t="n"/>
      <c r="J112" s="6" t="n">
        <v>4770</v>
      </c>
      <c r="K112" s="6" t="inlineStr">
        <is>
          <t>miles oz</t>
        </is>
      </c>
      <c r="L112" s="5" t="inlineStr">
        <is>
          <t>Informe CAMIMEX 2023</t>
        </is>
      </c>
      <c r="M112" s="6" t="n">
        <v>37</v>
      </c>
      <c r="N112" s="5" t="n"/>
      <c r="O112" s="11">
        <f>IF(AND(ISNUMBER(G112),ISNUMBER(J112),J112&lt;&gt;0,H112=K112),G112/J112*100,"")</f>
        <v/>
      </c>
      <c r="P112" s="11">
        <f>IF(AND(ISNUMBER(O112),ISNUMBER(I112)),ROUND(O112-I112,2),"")</f>
        <v/>
      </c>
    </row>
    <row r="113">
      <c r="A113" s="9" t="inlineStr">
        <is>
          <t>Oro</t>
        </is>
      </c>
      <c r="B113" s="9" t="n">
        <v>2022</v>
      </c>
      <c r="C113" s="9" t="inlineStr">
        <is>
          <t>mina</t>
        </is>
      </c>
      <c r="D113" s="9" t="inlineStr">
        <is>
          <t>Santa Elena</t>
        </is>
      </c>
      <c r="E113" s="9" t="inlineStr">
        <is>
          <t>First Majestic Silver</t>
        </is>
      </c>
      <c r="F113" s="9" t="inlineStr">
        <is>
          <t>Son.</t>
        </is>
      </c>
      <c r="G113" s="9" t="n">
        <v>94.59999999999999</v>
      </c>
      <c r="H113" s="9" t="inlineStr">
        <is>
          <t>miles oz</t>
        </is>
      </c>
      <c r="I113" s="9" t="n"/>
      <c r="J113" s="9" t="n">
        <v>4770</v>
      </c>
      <c r="K113" s="9" t="inlineStr">
        <is>
          <t>miles oz</t>
        </is>
      </c>
      <c r="L113" s="8" t="inlineStr">
        <is>
          <t>Informe CAMIMEX 2023</t>
        </is>
      </c>
      <c r="M113" s="9" t="n">
        <v>37</v>
      </c>
      <c r="N113" s="8" t="n"/>
      <c r="O113" s="11">
        <f>IF(AND(ISNUMBER(G113),ISNUMBER(J113),J113&lt;&gt;0,H113=K113),G113/J113*100,"")</f>
        <v/>
      </c>
      <c r="P113" s="11">
        <f>IF(AND(ISNUMBER(O113),ISNUMBER(I113)),ROUND(O113-I113,2),"")</f>
        <v/>
      </c>
    </row>
    <row r="114">
      <c r="A114" s="6" t="inlineStr">
        <is>
          <t>Oro</t>
        </is>
      </c>
      <c r="B114" s="6" t="n">
        <v>2022</v>
      </c>
      <c r="C114" s="6" t="inlineStr">
        <is>
          <t>mina</t>
        </is>
      </c>
      <c r="D114" s="6" t="inlineStr">
        <is>
          <t>Saucito</t>
        </is>
      </c>
      <c r="E114" s="6" t="inlineStr">
        <is>
          <t>Fresnillo plc</t>
        </is>
      </c>
      <c r="F114" s="6" t="inlineStr">
        <is>
          <t>Zac.</t>
        </is>
      </c>
      <c r="G114" s="6" t="n">
        <v>73.5</v>
      </c>
      <c r="H114" s="6" t="inlineStr">
        <is>
          <t>miles oz</t>
        </is>
      </c>
      <c r="I114" s="6" t="n"/>
      <c r="J114" s="6" t="n">
        <v>4770</v>
      </c>
      <c r="K114" s="6" t="inlineStr">
        <is>
          <t>miles oz</t>
        </is>
      </c>
      <c r="L114" s="5" t="inlineStr">
        <is>
          <t>Informe CAMIMEX 2023</t>
        </is>
      </c>
      <c r="M114" s="6" t="n">
        <v>37</v>
      </c>
      <c r="N114" s="5" t="n"/>
      <c r="O114" s="11">
        <f>IF(AND(ISNUMBER(G114),ISNUMBER(J114),J114&lt;&gt;0,H114=K114),G114/J114*100,"")</f>
        <v/>
      </c>
      <c r="P114" s="11">
        <f>IF(AND(ISNUMBER(O114),ISNUMBER(I114)),ROUND(O114-I114,2),"")</f>
        <v/>
      </c>
    </row>
    <row r="115">
      <c r="A115" s="9" t="inlineStr">
        <is>
          <t>Oro</t>
        </is>
      </c>
      <c r="B115" s="9" t="n">
        <v>2023</v>
      </c>
      <c r="C115" s="9" t="inlineStr">
        <is>
          <t>empresa</t>
        </is>
      </c>
      <c r="D115" s="9" t="n"/>
      <c r="E115" s="9" t="inlineStr">
        <is>
          <t>Fresnillo plc</t>
        </is>
      </c>
      <c r="F115" s="9" t="n"/>
      <c r="G115" s="9" t="n"/>
      <c r="H115" s="9" t="n"/>
      <c r="I115" s="9" t="n"/>
      <c r="J115" s="9" t="n">
        <v>4470</v>
      </c>
      <c r="K115" s="9" t="inlineStr">
        <is>
          <t>miles oz</t>
        </is>
      </c>
      <c r="L115" s="8" t="inlineStr">
        <is>
          <t>Informe CAMIMEX 2024</t>
        </is>
      </c>
      <c r="M115" s="9" t="n">
        <v>40</v>
      </c>
      <c r="N115" s="8" t="inlineStr">
        <is>
          <t>Ranking narrativo: 1o Fresnillo 2o Torex (sin % publicado)</t>
        </is>
      </c>
      <c r="O115" s="11">
        <f>IF(AND(ISNUMBER(G115),ISNUMBER(J115),J115&lt;&gt;0,H115=K115),G115/J115*100,"")</f>
        <v/>
      </c>
      <c r="P115" s="11">
        <f>IF(AND(ISNUMBER(O115),ISNUMBER(I115)),ROUND(O115-I115,2),"")</f>
        <v/>
      </c>
    </row>
    <row r="116">
      <c r="A116" s="6" t="inlineStr">
        <is>
          <t>Oro</t>
        </is>
      </c>
      <c r="B116" s="6" t="n">
        <v>2023</v>
      </c>
      <c r="C116" s="6" t="inlineStr">
        <is>
          <t>mina</t>
        </is>
      </c>
      <c r="D116" s="6" t="inlineStr">
        <is>
          <t>Camino Rojo</t>
        </is>
      </c>
      <c r="E116" s="6" t="inlineStr">
        <is>
          <t>Orla Mining</t>
        </is>
      </c>
      <c r="F116" s="6" t="inlineStr">
        <is>
          <t>Zac.</t>
        </is>
      </c>
      <c r="G116" s="6" t="n">
        <v>121.9</v>
      </c>
      <c r="H116" s="6" t="inlineStr">
        <is>
          <t>miles oz</t>
        </is>
      </c>
      <c r="I116" s="6" t="n"/>
      <c r="J116" s="6" t="n">
        <v>4470</v>
      </c>
      <c r="K116" s="6" t="inlineStr">
        <is>
          <t>miles oz</t>
        </is>
      </c>
      <c r="L116" s="5" t="inlineStr">
        <is>
          <t>Informe CAMIMEX 2024</t>
        </is>
      </c>
      <c r="M116" s="6" t="n">
        <v>40</v>
      </c>
      <c r="N116" s="5" t="n"/>
      <c r="O116" s="11">
        <f>IF(AND(ISNUMBER(G116),ISNUMBER(J116),J116&lt;&gt;0,H116=K116),G116/J116*100,"")</f>
        <v/>
      </c>
      <c r="P116" s="11">
        <f>IF(AND(ISNUMBER(O116),ISNUMBER(I116)),ROUND(O116-I116,2),"")</f>
        <v/>
      </c>
    </row>
    <row r="117">
      <c r="A117" s="9" t="inlineStr">
        <is>
          <t>Oro</t>
        </is>
      </c>
      <c r="B117" s="9" t="n">
        <v>2023</v>
      </c>
      <c r="C117" s="9" t="inlineStr">
        <is>
          <t>mina</t>
        </is>
      </c>
      <c r="D117" s="9" t="inlineStr">
        <is>
          <t>Distrito Mulatos</t>
        </is>
      </c>
      <c r="E117" s="9" t="inlineStr">
        <is>
          <t>Alamos Gold</t>
        </is>
      </c>
      <c r="F117" s="9" t="inlineStr">
        <is>
          <t>Son.</t>
        </is>
      </c>
      <c r="G117" s="9" t="n">
        <v>212.8</v>
      </c>
      <c r="H117" s="9" t="inlineStr">
        <is>
          <t>miles oz</t>
        </is>
      </c>
      <c r="I117" s="9" t="n"/>
      <c r="J117" s="9" t="n">
        <v>4470</v>
      </c>
      <c r="K117" s="9" t="inlineStr">
        <is>
          <t>miles oz</t>
        </is>
      </c>
      <c r="L117" s="8" t="inlineStr">
        <is>
          <t>Informe CAMIMEX 2024</t>
        </is>
      </c>
      <c r="M117" s="9" t="n">
        <v>40</v>
      </c>
      <c r="N117" s="8" t="n"/>
      <c r="O117" s="11">
        <f>IF(AND(ISNUMBER(G117),ISNUMBER(J117),J117&lt;&gt;0,H117=K117),G117/J117*100,"")</f>
        <v/>
      </c>
      <c r="P117" s="11">
        <f>IF(AND(ISNUMBER(O117),ISNUMBER(I117)),ROUND(O117-I117,2),"")</f>
        <v/>
      </c>
    </row>
    <row r="118">
      <c r="A118" s="6" t="inlineStr">
        <is>
          <t>Oro</t>
        </is>
      </c>
      <c r="B118" s="6" t="n">
        <v>2023</v>
      </c>
      <c r="C118" s="6" t="inlineStr">
        <is>
          <t>mina</t>
        </is>
      </c>
      <c r="D118" s="6" t="inlineStr">
        <is>
          <t>Dolores</t>
        </is>
      </c>
      <c r="E118" s="6" t="inlineStr">
        <is>
          <t>Pan American Silver</t>
        </is>
      </c>
      <c r="F118" s="6" t="inlineStr">
        <is>
          <t>Chih.</t>
        </is>
      </c>
      <c r="G118" s="6" t="n">
        <v>107.1</v>
      </c>
      <c r="H118" s="6" t="inlineStr">
        <is>
          <t>miles oz</t>
        </is>
      </c>
      <c r="I118" s="6" t="n"/>
      <c r="J118" s="6" t="n">
        <v>4470</v>
      </c>
      <c r="K118" s="6" t="inlineStr">
        <is>
          <t>miles oz</t>
        </is>
      </c>
      <c r="L118" s="5" t="inlineStr">
        <is>
          <t>Informe CAMIMEX 2024</t>
        </is>
      </c>
      <c r="M118" s="6" t="n">
        <v>40</v>
      </c>
      <c r="N118" s="5" t="n"/>
      <c r="O118" s="11">
        <f>IF(AND(ISNUMBER(G118),ISNUMBER(J118),J118&lt;&gt;0,H118=K118),G118/J118*100,"")</f>
        <v/>
      </c>
      <c r="P118" s="11">
        <f>IF(AND(ISNUMBER(O118),ISNUMBER(I118)),ROUND(O118-I118,2),"")</f>
        <v/>
      </c>
    </row>
    <row r="119">
      <c r="A119" s="9" t="inlineStr">
        <is>
          <t>Oro</t>
        </is>
      </c>
      <c r="B119" s="9" t="n">
        <v>2023</v>
      </c>
      <c r="C119" s="9" t="inlineStr">
        <is>
          <t>mina</t>
        </is>
      </c>
      <c r="D119" s="9" t="inlineStr">
        <is>
          <t>El Limon-Guajes</t>
        </is>
      </c>
      <c r="E119" s="9" t="inlineStr">
        <is>
          <t>Torex Gold</t>
        </is>
      </c>
      <c r="F119" s="9" t="inlineStr">
        <is>
          <t>Gro.</t>
        </is>
      </c>
      <c r="G119" s="9" t="n">
        <v>453.8</v>
      </c>
      <c r="H119" s="9" t="inlineStr">
        <is>
          <t>miles oz</t>
        </is>
      </c>
      <c r="I119" s="9" t="n"/>
      <c r="J119" s="9" t="n">
        <v>4470</v>
      </c>
      <c r="K119" s="9" t="inlineStr">
        <is>
          <t>miles oz</t>
        </is>
      </c>
      <c r="L119" s="8" t="inlineStr">
        <is>
          <t>Informe CAMIMEX 2024</t>
        </is>
      </c>
      <c r="M119" s="9" t="n">
        <v>40</v>
      </c>
      <c r="N119" s="8" t="inlineStr">
        <is>
          <t>Tabla top-15 verificada en imagen</t>
        </is>
      </c>
      <c r="O119" s="11">
        <f>IF(AND(ISNUMBER(G119),ISNUMBER(J119),J119&lt;&gt;0,H119=K119),G119/J119*100,"")</f>
        <v/>
      </c>
      <c r="P119" s="11">
        <f>IF(AND(ISNUMBER(O119),ISNUMBER(I119)),ROUND(O119-I119,2),"")</f>
        <v/>
      </c>
    </row>
    <row r="120">
      <c r="A120" s="6" t="inlineStr">
        <is>
          <t>Oro</t>
        </is>
      </c>
      <c r="B120" s="6" t="n">
        <v>2023</v>
      </c>
      <c r="C120" s="6" t="inlineStr">
        <is>
          <t>mina</t>
        </is>
      </c>
      <c r="D120" s="6" t="inlineStr">
        <is>
          <t>La Herradura</t>
        </is>
      </c>
      <c r="E120" s="6" t="inlineStr">
        <is>
          <t>Fresnillo plc</t>
        </is>
      </c>
      <c r="F120" s="6" t="inlineStr">
        <is>
          <t>Son.</t>
        </is>
      </c>
      <c r="G120" s="6" t="n">
        <v>355.5</v>
      </c>
      <c r="H120" s="6" t="inlineStr">
        <is>
          <t>miles oz</t>
        </is>
      </c>
      <c r="I120" s="6" t="n"/>
      <c r="J120" s="6" t="n">
        <v>4470</v>
      </c>
      <c r="K120" s="6" t="inlineStr">
        <is>
          <t>miles oz</t>
        </is>
      </c>
      <c r="L120" s="5" t="inlineStr">
        <is>
          <t>Informe CAMIMEX 2024</t>
        </is>
      </c>
      <c r="M120" s="6" t="n">
        <v>40</v>
      </c>
      <c r="N120" s="5" t="n"/>
      <c r="O120" s="11">
        <f>IF(AND(ISNUMBER(G120),ISNUMBER(J120),J120&lt;&gt;0,H120=K120),G120/J120*100,"")</f>
        <v/>
      </c>
      <c r="P120" s="11">
        <f>IF(AND(ISNUMBER(O120),ISNUMBER(I120)),ROUND(O120-I120,2),"")</f>
        <v/>
      </c>
    </row>
    <row r="121">
      <c r="A121" s="9" t="inlineStr">
        <is>
          <t>Oro</t>
        </is>
      </c>
      <c r="B121" s="9" t="n">
        <v>2023</v>
      </c>
      <c r="C121" s="9" t="inlineStr">
        <is>
          <t>mina</t>
        </is>
      </c>
      <c r="D121" s="9" t="inlineStr">
        <is>
          <t>La India</t>
        </is>
      </c>
      <c r="E121" s="9" t="inlineStr">
        <is>
          <t>Agnico Eagle Mines</t>
        </is>
      </c>
      <c r="F121" s="9" t="inlineStr">
        <is>
          <t>Son.</t>
        </is>
      </c>
      <c r="G121" s="9" t="n">
        <v>75.90000000000001</v>
      </c>
      <c r="H121" s="9" t="inlineStr">
        <is>
          <t>miles oz</t>
        </is>
      </c>
      <c r="I121" s="9" t="n"/>
      <c r="J121" s="9" t="n">
        <v>4470</v>
      </c>
      <c r="K121" s="9" t="inlineStr">
        <is>
          <t>miles oz</t>
        </is>
      </c>
      <c r="L121" s="8" t="inlineStr">
        <is>
          <t>Informe CAMIMEX 2024</t>
        </is>
      </c>
      <c r="M121" s="9" t="n">
        <v>40</v>
      </c>
      <c r="N121" s="8" t="n"/>
      <c r="O121" s="11">
        <f>IF(AND(ISNUMBER(G121),ISNUMBER(J121),J121&lt;&gt;0,H121=K121),G121/J121*100,"")</f>
        <v/>
      </c>
      <c r="P121" s="11">
        <f>IF(AND(ISNUMBER(O121),ISNUMBER(I121)),ROUND(O121-I121,2),"")</f>
        <v/>
      </c>
    </row>
    <row r="122">
      <c r="A122" s="6" t="inlineStr">
        <is>
          <t>Oro</t>
        </is>
      </c>
      <c r="B122" s="6" t="n">
        <v>2023</v>
      </c>
      <c r="C122" s="6" t="inlineStr">
        <is>
          <t>mina</t>
        </is>
      </c>
      <c r="D122" s="6" t="inlineStr">
        <is>
          <t>Las Chispas</t>
        </is>
      </c>
      <c r="E122" s="6" t="inlineStr">
        <is>
          <t>Silvercrest Metals</t>
        </is>
      </c>
      <c r="F122" s="6" t="inlineStr">
        <is>
          <t>Son.</t>
        </is>
      </c>
      <c r="G122" s="6" t="n">
        <v>59.7</v>
      </c>
      <c r="H122" s="6" t="inlineStr">
        <is>
          <t>miles oz</t>
        </is>
      </c>
      <c r="I122" s="6" t="n"/>
      <c r="J122" s="6" t="n">
        <v>4470</v>
      </c>
      <c r="K122" s="6" t="inlineStr">
        <is>
          <t>miles oz</t>
        </is>
      </c>
      <c r="L122" s="5" t="inlineStr">
        <is>
          <t>Informe CAMIMEX 2024</t>
        </is>
      </c>
      <c r="M122" s="6" t="n">
        <v>40</v>
      </c>
      <c r="N122" s="5" t="n"/>
      <c r="O122" s="11">
        <f>IF(AND(ISNUMBER(G122),ISNUMBER(J122),J122&lt;&gt;0,H122=K122),G122/J122*100,"")</f>
        <v/>
      </c>
      <c r="P122" s="11">
        <f>IF(AND(ISNUMBER(O122),ISNUMBER(I122)),ROUND(O122-I122,2),"")</f>
        <v/>
      </c>
    </row>
    <row r="123">
      <c r="A123" s="9" t="inlineStr">
        <is>
          <t>Oro</t>
        </is>
      </c>
      <c r="B123" s="9" t="n">
        <v>2023</v>
      </c>
      <c r="C123" s="9" t="inlineStr">
        <is>
          <t>mina</t>
        </is>
      </c>
      <c r="D123" s="9" t="inlineStr">
        <is>
          <t>Los Filos</t>
        </is>
      </c>
      <c r="E123" s="9" t="inlineStr">
        <is>
          <t>Equinox Gold</t>
        </is>
      </c>
      <c r="F123" s="9" t="inlineStr">
        <is>
          <t>Gro.</t>
        </is>
      </c>
      <c r="G123" s="9" t="n">
        <v>159.1</v>
      </c>
      <c r="H123" s="9" t="inlineStr">
        <is>
          <t>miles oz</t>
        </is>
      </c>
      <c r="I123" s="9" t="n"/>
      <c r="J123" s="9" t="n">
        <v>4470</v>
      </c>
      <c r="K123" s="9" t="inlineStr">
        <is>
          <t>miles oz</t>
        </is>
      </c>
      <c r="L123" s="8" t="inlineStr">
        <is>
          <t>Informe CAMIMEX 2024</t>
        </is>
      </c>
      <c r="M123" s="9" t="n">
        <v>40</v>
      </c>
      <c r="N123" s="8" t="n"/>
      <c r="O123" s="11">
        <f>IF(AND(ISNUMBER(G123),ISNUMBER(J123),J123&lt;&gt;0,H123=K123),G123/J123*100,"")</f>
        <v/>
      </c>
      <c r="P123" s="11">
        <f>IF(AND(ISNUMBER(O123),ISNUMBER(I123)),ROUND(O123-I123,2),"")</f>
        <v/>
      </c>
    </row>
    <row r="124">
      <c r="A124" s="6" t="inlineStr">
        <is>
          <t>Oro</t>
        </is>
      </c>
      <c r="B124" s="6" t="n">
        <v>2023</v>
      </c>
      <c r="C124" s="6" t="inlineStr">
        <is>
          <t>mina</t>
        </is>
      </c>
      <c r="D124" s="6" t="inlineStr">
        <is>
          <t>Palmarejo</t>
        </is>
      </c>
      <c r="E124" s="6" t="inlineStr">
        <is>
          <t>Coeur Mining</t>
        </is>
      </c>
      <c r="F124" s="6" t="inlineStr">
        <is>
          <t>Chih.</t>
        </is>
      </c>
      <c r="G124" s="6" t="n">
        <v>100.6</v>
      </c>
      <c r="H124" s="6" t="inlineStr">
        <is>
          <t>miles oz</t>
        </is>
      </c>
      <c r="I124" s="6" t="n"/>
      <c r="J124" s="6" t="n">
        <v>4470</v>
      </c>
      <c r="K124" s="6" t="inlineStr">
        <is>
          <t>miles oz</t>
        </is>
      </c>
      <c r="L124" s="5" t="inlineStr">
        <is>
          <t>Informe CAMIMEX 2024</t>
        </is>
      </c>
      <c r="M124" s="6" t="n">
        <v>40</v>
      </c>
      <c r="N124" s="5" t="n"/>
      <c r="O124" s="11">
        <f>IF(AND(ISNUMBER(G124),ISNUMBER(J124),J124&lt;&gt;0,H124=K124),G124/J124*100,"")</f>
        <v/>
      </c>
      <c r="P124" s="11">
        <f>IF(AND(ISNUMBER(O124),ISNUMBER(I124)),ROUND(O124-I124,2),"")</f>
        <v/>
      </c>
    </row>
    <row r="125">
      <c r="A125" s="9" t="inlineStr">
        <is>
          <t>Oro</t>
        </is>
      </c>
      <c r="B125" s="9" t="n">
        <v>2023</v>
      </c>
      <c r="C125" s="9" t="inlineStr">
        <is>
          <t>mina</t>
        </is>
      </c>
      <c r="D125" s="9" t="inlineStr">
        <is>
          <t>Penasquito</t>
        </is>
      </c>
      <c r="E125" s="9" t="inlineStr">
        <is>
          <t>Newmont</t>
        </is>
      </c>
      <c r="F125" s="9" t="inlineStr">
        <is>
          <t>Zac.</t>
        </is>
      </c>
      <c r="G125" s="9" t="n">
        <v>143</v>
      </c>
      <c r="H125" s="9" t="inlineStr">
        <is>
          <t>miles oz</t>
        </is>
      </c>
      <c r="I125" s="9" t="n"/>
      <c r="J125" s="9" t="n">
        <v>4470</v>
      </c>
      <c r="K125" s="9" t="inlineStr">
        <is>
          <t>miles oz</t>
        </is>
      </c>
      <c r="L125" s="8" t="inlineStr">
        <is>
          <t>Informe CAMIMEX 2024</t>
        </is>
      </c>
      <c r="M125" s="9" t="n">
        <v>40</v>
      </c>
      <c r="N125" s="8" t="inlineStr">
        <is>
          <t>Huelga de 4 meses</t>
        </is>
      </c>
      <c r="O125" s="11">
        <f>IF(AND(ISNUMBER(G125),ISNUMBER(J125),J125&lt;&gt;0,H125=K125),G125/J125*100,"")</f>
        <v/>
      </c>
      <c r="P125" s="11">
        <f>IF(AND(ISNUMBER(O125),ISNUMBER(I125)),ROUND(O125-I125,2),"")</f>
        <v/>
      </c>
    </row>
    <row r="126">
      <c r="A126" s="6" t="inlineStr">
        <is>
          <t>Oro</t>
        </is>
      </c>
      <c r="B126" s="6" t="n">
        <v>2023</v>
      </c>
      <c r="C126" s="6" t="inlineStr">
        <is>
          <t>mina</t>
        </is>
      </c>
      <c r="D126" s="6" t="inlineStr">
        <is>
          <t>Pinos Altos</t>
        </is>
      </c>
      <c r="E126" s="6" t="inlineStr">
        <is>
          <t>Agnico Eagle Mines</t>
        </is>
      </c>
      <c r="F126" s="6" t="inlineStr">
        <is>
          <t>Chih.</t>
        </is>
      </c>
      <c r="G126" s="6" t="n">
        <v>97.59999999999999</v>
      </c>
      <c r="H126" s="6" t="inlineStr">
        <is>
          <t>miles oz</t>
        </is>
      </c>
      <c r="I126" s="6" t="n"/>
      <c r="J126" s="6" t="n">
        <v>4470</v>
      </c>
      <c r="K126" s="6" t="inlineStr">
        <is>
          <t>miles oz</t>
        </is>
      </c>
      <c r="L126" s="5" t="inlineStr">
        <is>
          <t>Informe CAMIMEX 2024</t>
        </is>
      </c>
      <c r="M126" s="6" t="n">
        <v>40</v>
      </c>
      <c r="N126" s="5" t="n"/>
      <c r="O126" s="11">
        <f>IF(AND(ISNUMBER(G126),ISNUMBER(J126),J126&lt;&gt;0,H126=K126),G126/J126*100,"")</f>
        <v/>
      </c>
      <c r="P126" s="11">
        <f>IF(AND(ISNUMBER(O126),ISNUMBER(I126)),ROUND(O126-I126,2),"")</f>
        <v/>
      </c>
    </row>
    <row r="127">
      <c r="A127" s="9" t="inlineStr">
        <is>
          <t>Oro</t>
        </is>
      </c>
      <c r="B127" s="9" t="n">
        <v>2023</v>
      </c>
      <c r="C127" s="9" t="inlineStr">
        <is>
          <t>mina</t>
        </is>
      </c>
      <c r="D127" s="9" t="inlineStr">
        <is>
          <t>San Dimas</t>
        </is>
      </c>
      <c r="E127" s="9" t="inlineStr">
        <is>
          <t>First Majestic Silver</t>
        </is>
      </c>
      <c r="F127" s="9" t="inlineStr">
        <is>
          <t>Dgo.</t>
        </is>
      </c>
      <c r="G127" s="9" t="n">
        <v>76.90000000000001</v>
      </c>
      <c r="H127" s="9" t="inlineStr">
        <is>
          <t>miles oz</t>
        </is>
      </c>
      <c r="I127" s="9" t="n"/>
      <c r="J127" s="9" t="n">
        <v>4470</v>
      </c>
      <c r="K127" s="9" t="inlineStr">
        <is>
          <t>miles oz</t>
        </is>
      </c>
      <c r="L127" s="8" t="inlineStr">
        <is>
          <t>Informe CAMIMEX 2024</t>
        </is>
      </c>
      <c r="M127" s="9" t="n">
        <v>40</v>
      </c>
      <c r="N127" s="8" t="n"/>
      <c r="O127" s="11">
        <f>IF(AND(ISNUMBER(G127),ISNUMBER(J127),J127&lt;&gt;0,H127=K127),G127/J127*100,"")</f>
        <v/>
      </c>
      <c r="P127" s="11">
        <f>IF(AND(ISNUMBER(O127),ISNUMBER(I127)),ROUND(O127-I127,2),"")</f>
        <v/>
      </c>
    </row>
    <row r="128">
      <c r="A128" s="6" t="inlineStr">
        <is>
          <t>Oro</t>
        </is>
      </c>
      <c r="B128" s="6" t="n">
        <v>2023</v>
      </c>
      <c r="C128" s="6" t="inlineStr">
        <is>
          <t>mina</t>
        </is>
      </c>
      <c r="D128" s="6" t="inlineStr">
        <is>
          <t>San Julian</t>
        </is>
      </c>
      <c r="E128" s="6" t="inlineStr">
        <is>
          <t>Fresnillo plc</t>
        </is>
      </c>
      <c r="F128" s="6" t="inlineStr">
        <is>
          <t>Chih.</t>
        </is>
      </c>
      <c r="G128" s="6" t="n">
        <v>44.5</v>
      </c>
      <c r="H128" s="6" t="inlineStr">
        <is>
          <t>miles oz</t>
        </is>
      </c>
      <c r="I128" s="6" t="n"/>
      <c r="J128" s="6" t="n">
        <v>4470</v>
      </c>
      <c r="K128" s="6" t="inlineStr">
        <is>
          <t>miles oz</t>
        </is>
      </c>
      <c r="L128" s="5" t="inlineStr">
        <is>
          <t>Informe CAMIMEX 2024</t>
        </is>
      </c>
      <c r="M128" s="6" t="n">
        <v>40</v>
      </c>
      <c r="N128" s="5" t="inlineStr">
        <is>
          <t>Top-15 suma 2183.7</t>
        </is>
      </c>
      <c r="O128" s="11">
        <f>IF(AND(ISNUMBER(G128),ISNUMBER(J128),J128&lt;&gt;0,H128=K128),G128/J128*100,"")</f>
        <v/>
      </c>
      <c r="P128" s="11">
        <f>IF(AND(ISNUMBER(O128),ISNUMBER(I128)),ROUND(O128-I128,2),"")</f>
        <v/>
      </c>
    </row>
    <row r="129">
      <c r="A129" s="9" t="inlineStr">
        <is>
          <t>Oro</t>
        </is>
      </c>
      <c r="B129" s="9" t="n">
        <v>2023</v>
      </c>
      <c r="C129" s="9" t="inlineStr">
        <is>
          <t>mina</t>
        </is>
      </c>
      <c r="D129" s="9" t="inlineStr">
        <is>
          <t>Santa Elena</t>
        </is>
      </c>
      <c r="E129" s="9" t="inlineStr">
        <is>
          <t>First Majestic Silver</t>
        </is>
      </c>
      <c r="F129" s="9" t="inlineStr">
        <is>
          <t>Son.</t>
        </is>
      </c>
      <c r="G129" s="9" t="n">
        <v>100.5</v>
      </c>
      <c r="H129" s="9" t="inlineStr">
        <is>
          <t>miles oz</t>
        </is>
      </c>
      <c r="I129" s="9" t="n"/>
      <c r="J129" s="9" t="n">
        <v>4470</v>
      </c>
      <c r="K129" s="9" t="inlineStr">
        <is>
          <t>miles oz</t>
        </is>
      </c>
      <c r="L129" s="8" t="inlineStr">
        <is>
          <t>Informe CAMIMEX 2024</t>
        </is>
      </c>
      <c r="M129" s="9" t="n">
        <v>40</v>
      </c>
      <c r="N129" s="8" t="n"/>
      <c r="O129" s="11">
        <f>IF(AND(ISNUMBER(G129),ISNUMBER(J129),J129&lt;&gt;0,H129=K129),G129/J129*100,"")</f>
        <v/>
      </c>
      <c r="P129" s="11">
        <f>IF(AND(ISNUMBER(O129),ISNUMBER(I129)),ROUND(O129-I129,2),"")</f>
        <v/>
      </c>
    </row>
    <row r="130">
      <c r="A130" s="6" t="inlineStr">
        <is>
          <t>Oro</t>
        </is>
      </c>
      <c r="B130" s="6" t="n">
        <v>2023</v>
      </c>
      <c r="C130" s="6" t="inlineStr">
        <is>
          <t>mina</t>
        </is>
      </c>
      <c r="D130" s="6" t="inlineStr">
        <is>
          <t>Saucito</t>
        </is>
      </c>
      <c r="E130" s="6" t="inlineStr">
        <is>
          <t>Fresnillo plc</t>
        </is>
      </c>
      <c r="F130" s="6" t="inlineStr">
        <is>
          <t>Zac.</t>
        </is>
      </c>
      <c r="G130" s="6" t="n">
        <v>74.8</v>
      </c>
      <c r="H130" s="6" t="inlineStr">
        <is>
          <t>miles oz</t>
        </is>
      </c>
      <c r="I130" s="6" t="n"/>
      <c r="J130" s="6" t="n">
        <v>4470</v>
      </c>
      <c r="K130" s="6" t="inlineStr">
        <is>
          <t>miles oz</t>
        </is>
      </c>
      <c r="L130" s="5" t="inlineStr">
        <is>
          <t>Informe CAMIMEX 2024</t>
        </is>
      </c>
      <c r="M130" s="6" t="n">
        <v>40</v>
      </c>
      <c r="N130" s="5" t="n"/>
      <c r="O130" s="11">
        <f>IF(AND(ISNUMBER(G130),ISNUMBER(J130),J130&lt;&gt;0,H130=K130),G130/J130*100,"")</f>
        <v/>
      </c>
      <c r="P130" s="11">
        <f>IF(AND(ISNUMBER(O130),ISNUMBER(I130)),ROUND(O130-I130,2),"")</f>
        <v/>
      </c>
    </row>
    <row r="131">
      <c r="A131" s="9" t="inlineStr">
        <is>
          <t>Oro</t>
        </is>
      </c>
      <c r="B131" s="9" t="n">
        <v>2024</v>
      </c>
      <c r="C131" s="9" t="inlineStr">
        <is>
          <t>empresa</t>
        </is>
      </c>
      <c r="D131" s="9" t="n"/>
      <c r="E131" s="9" t="inlineStr">
        <is>
          <t>Fresnillo plc</t>
        </is>
      </c>
      <c r="F131" s="9" t="n"/>
      <c r="G131" s="9" t="n"/>
      <c r="H131" s="9" t="n"/>
      <c r="I131" s="9" t="n"/>
      <c r="J131" s="9" t="n">
        <v>3780</v>
      </c>
      <c r="K131" s="9" t="inlineStr">
        <is>
          <t>miles oz</t>
        </is>
      </c>
      <c r="L131" s="8" t="inlineStr">
        <is>
          <t>Informe CAMIMEX 2025</t>
        </is>
      </c>
      <c r="M131" s="9" t="n">
        <v>37</v>
      </c>
      <c r="N131" s="8" t="inlineStr">
        <is>
          <t>Ranking narrativo: 1o Fresnillo 2o Torex 3o Newmont 4o Alamos 5o Equinox (sin % publicado)</t>
        </is>
      </c>
      <c r="O131" s="11">
        <f>IF(AND(ISNUMBER(G131),ISNUMBER(J131),J131&lt;&gt;0,H131=K131),G131/J131*100,"")</f>
        <v/>
      </c>
      <c r="P131" s="11">
        <f>IF(AND(ISNUMBER(O131),ISNUMBER(I131)),ROUND(O131-I131,2),"")</f>
        <v/>
      </c>
    </row>
    <row r="132">
      <c r="A132" s="6" t="inlineStr">
        <is>
          <t>Oro</t>
        </is>
      </c>
      <c r="B132" s="6" t="n">
        <v>2024</v>
      </c>
      <c r="C132" s="6" t="inlineStr">
        <is>
          <t>mina</t>
        </is>
      </c>
      <c r="D132" s="6" t="inlineStr">
        <is>
          <t>Camino Rojo</t>
        </is>
      </c>
      <c r="E132" s="6" t="inlineStr">
        <is>
          <t>Orla Mining</t>
        </is>
      </c>
      <c r="F132" s="6" t="inlineStr">
        <is>
          <t>Zac.</t>
        </is>
      </c>
      <c r="G132" s="6" t="n">
        <v>136.75</v>
      </c>
      <c r="H132" s="6" t="inlineStr">
        <is>
          <t>miles oz</t>
        </is>
      </c>
      <c r="I132" s="6" t="n"/>
      <c r="J132" s="6" t="n">
        <v>3780</v>
      </c>
      <c r="K132" s="6" t="inlineStr">
        <is>
          <t>miles oz</t>
        </is>
      </c>
      <c r="L132" s="5" t="inlineStr">
        <is>
          <t>Informe CAMIMEX 2025</t>
        </is>
      </c>
      <c r="M132" s="6" t="n">
        <v>37</v>
      </c>
      <c r="N132" s="5" t="n"/>
      <c r="O132" s="11">
        <f>IF(AND(ISNUMBER(G132),ISNUMBER(J132),J132&lt;&gt;0,H132=K132),G132/J132*100,"")</f>
        <v/>
      </c>
      <c r="P132" s="11">
        <f>IF(AND(ISNUMBER(O132),ISNUMBER(I132)),ROUND(O132-I132,2),"")</f>
        <v/>
      </c>
    </row>
    <row r="133">
      <c r="A133" s="9" t="inlineStr">
        <is>
          <t>Oro</t>
        </is>
      </c>
      <c r="B133" s="9" t="n">
        <v>2024</v>
      </c>
      <c r="C133" s="9" t="inlineStr">
        <is>
          <t>mina</t>
        </is>
      </c>
      <c r="D133" s="9" t="inlineStr">
        <is>
          <t>Distrito Mulatos</t>
        </is>
      </c>
      <c r="E133" s="9" t="inlineStr">
        <is>
          <t>Alamos Gold</t>
        </is>
      </c>
      <c r="F133" s="9" t="inlineStr">
        <is>
          <t>Son.</t>
        </is>
      </c>
      <c r="G133" s="9" t="n">
        <v>205</v>
      </c>
      <c r="H133" s="9" t="inlineStr">
        <is>
          <t>miles oz</t>
        </is>
      </c>
      <c r="I133" s="9" t="n"/>
      <c r="J133" s="9" t="n">
        <v>3780</v>
      </c>
      <c r="K133" s="9" t="inlineStr">
        <is>
          <t>miles oz</t>
        </is>
      </c>
      <c r="L133" s="8" t="inlineStr">
        <is>
          <t>Informe CAMIMEX 2025</t>
        </is>
      </c>
      <c r="M133" s="9" t="n">
        <v>37</v>
      </c>
      <c r="N133" s="8" t="n"/>
      <c r="O133" s="11">
        <f>IF(AND(ISNUMBER(G133),ISNUMBER(J133),J133&lt;&gt;0,H133=K133),G133/J133*100,"")</f>
        <v/>
      </c>
      <c r="P133" s="11">
        <f>IF(AND(ISNUMBER(O133),ISNUMBER(I133)),ROUND(O133-I133,2),"")</f>
        <v/>
      </c>
    </row>
    <row r="134">
      <c r="A134" s="6" t="inlineStr">
        <is>
          <t>Oro</t>
        </is>
      </c>
      <c r="B134" s="6" t="n">
        <v>2024</v>
      </c>
      <c r="C134" s="6" t="inlineStr">
        <is>
          <t>mina</t>
        </is>
      </c>
      <c r="D134" s="6" t="inlineStr">
        <is>
          <t>El Limon-Guajes</t>
        </is>
      </c>
      <c r="E134" s="6" t="inlineStr">
        <is>
          <t>Torex Gold</t>
        </is>
      </c>
      <c r="F134" s="6" t="inlineStr">
        <is>
          <t>Gro.</t>
        </is>
      </c>
      <c r="G134" s="6" t="n">
        <v>452.52</v>
      </c>
      <c r="H134" s="6" t="inlineStr">
        <is>
          <t>miles oz</t>
        </is>
      </c>
      <c r="I134" s="6" t="n"/>
      <c r="J134" s="6" t="n">
        <v>3780</v>
      </c>
      <c r="K134" s="6" t="inlineStr">
        <is>
          <t>miles oz</t>
        </is>
      </c>
      <c r="L134" s="5" t="inlineStr">
        <is>
          <t>Informe CAMIMEX 2025</t>
        </is>
      </c>
      <c r="M134" s="6" t="n">
        <v>37</v>
      </c>
      <c r="N134" s="5" t="inlineStr">
        <is>
          <t>Tabla top-10 verificada en imagen</t>
        </is>
      </c>
      <c r="O134" s="11">
        <f>IF(AND(ISNUMBER(G134),ISNUMBER(J134),J134&lt;&gt;0,H134=K134),G134/J134*100,"")</f>
        <v/>
      </c>
      <c r="P134" s="11">
        <f>IF(AND(ISNUMBER(O134),ISNUMBER(I134)),ROUND(O134-I134,2),"")</f>
        <v/>
      </c>
    </row>
    <row r="135">
      <c r="A135" s="9" t="inlineStr">
        <is>
          <t>Oro</t>
        </is>
      </c>
      <c r="B135" s="9" t="n">
        <v>2024</v>
      </c>
      <c r="C135" s="9" t="inlineStr">
        <is>
          <t>mina</t>
        </is>
      </c>
      <c r="D135" s="9" t="inlineStr">
        <is>
          <t>La Herradura</t>
        </is>
      </c>
      <c r="E135" s="9" t="inlineStr">
        <is>
          <t>Fresnillo plc</t>
        </is>
      </c>
      <c r="F135" s="9" t="inlineStr">
        <is>
          <t>Son.</t>
        </is>
      </c>
      <c r="G135" s="9" t="n">
        <v>360.6</v>
      </c>
      <c r="H135" s="9" t="inlineStr">
        <is>
          <t>miles oz</t>
        </is>
      </c>
      <c r="I135" s="9" t="n"/>
      <c r="J135" s="9" t="n">
        <v>3780</v>
      </c>
      <c r="K135" s="9" t="inlineStr">
        <is>
          <t>miles oz</t>
        </is>
      </c>
      <c r="L135" s="8" t="inlineStr">
        <is>
          <t>Informe CAMIMEX 2025</t>
        </is>
      </c>
      <c r="M135" s="9" t="n">
        <v>37</v>
      </c>
      <c r="N135" s="8" t="n"/>
      <c r="O135" s="11">
        <f>IF(AND(ISNUMBER(G135),ISNUMBER(J135),J135&lt;&gt;0,H135=K135),G135/J135*100,"")</f>
        <v/>
      </c>
      <c r="P135" s="11">
        <f>IF(AND(ISNUMBER(O135),ISNUMBER(I135)),ROUND(O135-I135,2),"")</f>
        <v/>
      </c>
    </row>
    <row r="136">
      <c r="A136" s="6" t="inlineStr">
        <is>
          <t>Oro</t>
        </is>
      </c>
      <c r="B136" s="6" t="n">
        <v>2024</v>
      </c>
      <c r="C136" s="6" t="inlineStr">
        <is>
          <t>mina</t>
        </is>
      </c>
      <c r="D136" s="6" t="inlineStr">
        <is>
          <t>Los Filos</t>
        </is>
      </c>
      <c r="E136" s="6" t="inlineStr">
        <is>
          <t>Equinox Gold</t>
        </is>
      </c>
      <c r="F136" s="6" t="inlineStr">
        <is>
          <t>Gro.</t>
        </is>
      </c>
      <c r="G136" s="6" t="n">
        <v>170.37</v>
      </c>
      <c r="H136" s="6" t="inlineStr">
        <is>
          <t>miles oz</t>
        </is>
      </c>
      <c r="I136" s="6" t="n"/>
      <c r="J136" s="6" t="n">
        <v>3780</v>
      </c>
      <c r="K136" s="6" t="inlineStr">
        <is>
          <t>miles oz</t>
        </is>
      </c>
      <c r="L136" s="5" t="inlineStr">
        <is>
          <t>Informe CAMIMEX 2025</t>
        </is>
      </c>
      <c r="M136" s="6" t="n">
        <v>37</v>
      </c>
      <c r="N136" s="5" t="n"/>
      <c r="O136" s="11">
        <f>IF(AND(ISNUMBER(G136),ISNUMBER(J136),J136&lt;&gt;0,H136=K136),G136/J136*100,"")</f>
        <v/>
      </c>
      <c r="P136" s="11">
        <f>IF(AND(ISNUMBER(O136),ISNUMBER(I136)),ROUND(O136-I136,2),"")</f>
        <v/>
      </c>
    </row>
    <row r="137">
      <c r="A137" s="9" t="inlineStr">
        <is>
          <t>Oro</t>
        </is>
      </c>
      <c r="B137" s="9" t="n">
        <v>2024</v>
      </c>
      <c r="C137" s="9" t="inlineStr">
        <is>
          <t>mina</t>
        </is>
      </c>
      <c r="D137" s="9" t="inlineStr">
        <is>
          <t>Palmarejo</t>
        </is>
      </c>
      <c r="E137" s="9" t="inlineStr">
        <is>
          <t>Coeur Mining</t>
        </is>
      </c>
      <c r="F137" s="9" t="inlineStr">
        <is>
          <t>Chih.</t>
        </is>
      </c>
      <c r="G137" s="9" t="n">
        <v>108.66</v>
      </c>
      <c r="H137" s="9" t="inlineStr">
        <is>
          <t>miles oz</t>
        </is>
      </c>
      <c r="I137" s="9" t="n"/>
      <c r="J137" s="9" t="n">
        <v>3780</v>
      </c>
      <c r="K137" s="9" t="inlineStr">
        <is>
          <t>miles oz</t>
        </is>
      </c>
      <c r="L137" s="8" t="inlineStr">
        <is>
          <t>Informe CAMIMEX 2025</t>
        </is>
      </c>
      <c r="M137" s="9" t="n">
        <v>37</v>
      </c>
      <c r="N137" s="8" t="n"/>
      <c r="O137" s="11">
        <f>IF(AND(ISNUMBER(G137),ISNUMBER(J137),J137&lt;&gt;0,H137=K137),G137/J137*100,"")</f>
        <v/>
      </c>
      <c r="P137" s="11">
        <f>IF(AND(ISNUMBER(O137),ISNUMBER(I137)),ROUND(O137-I137,2),"")</f>
        <v/>
      </c>
    </row>
    <row r="138">
      <c r="A138" s="6" t="inlineStr">
        <is>
          <t>Oro</t>
        </is>
      </c>
      <c r="B138" s="6" t="n">
        <v>2024</v>
      </c>
      <c r="C138" s="6" t="inlineStr">
        <is>
          <t>mina</t>
        </is>
      </c>
      <c r="D138" s="6" t="inlineStr">
        <is>
          <t>Penasquito</t>
        </is>
      </c>
      <c r="E138" s="6" t="inlineStr">
        <is>
          <t>Newmont</t>
        </is>
      </c>
      <c r="F138" s="6" t="inlineStr">
        <is>
          <t>Zac.</t>
        </is>
      </c>
      <c r="G138" s="6" t="n">
        <v>299</v>
      </c>
      <c r="H138" s="6" t="inlineStr">
        <is>
          <t>miles oz</t>
        </is>
      </c>
      <c r="I138" s="6" t="n"/>
      <c r="J138" s="6" t="n">
        <v>3780</v>
      </c>
      <c r="K138" s="6" t="inlineStr">
        <is>
          <t>miles oz</t>
        </is>
      </c>
      <c r="L138" s="5" t="inlineStr">
        <is>
          <t>Informe CAMIMEX 2025</t>
        </is>
      </c>
      <c r="M138" s="6" t="n">
        <v>37</v>
      </c>
      <c r="N138" s="5" t="n"/>
      <c r="O138" s="11">
        <f>IF(AND(ISNUMBER(G138),ISNUMBER(J138),J138&lt;&gt;0,H138=K138),G138/J138*100,"")</f>
        <v/>
      </c>
      <c r="P138" s="11">
        <f>IF(AND(ISNUMBER(O138),ISNUMBER(I138)),ROUND(O138-I138,2),"")</f>
        <v/>
      </c>
    </row>
    <row r="139">
      <c r="A139" s="9" t="inlineStr">
        <is>
          <t>Oro</t>
        </is>
      </c>
      <c r="B139" s="9" t="n">
        <v>2024</v>
      </c>
      <c r="C139" s="9" t="inlineStr">
        <is>
          <t>mina</t>
        </is>
      </c>
      <c r="D139" s="9" t="inlineStr">
        <is>
          <t>Pinos Altos</t>
        </is>
      </c>
      <c r="E139" s="9" t="inlineStr">
        <is>
          <t>Agnico Eagle Mines</t>
        </is>
      </c>
      <c r="F139" s="9" t="inlineStr">
        <is>
          <t>Chih.</t>
        </is>
      </c>
      <c r="G139" s="9" t="n">
        <v>88.43000000000001</v>
      </c>
      <c r="H139" s="9" t="inlineStr">
        <is>
          <t>miles oz</t>
        </is>
      </c>
      <c r="I139" s="9" t="n"/>
      <c r="J139" s="9" t="n">
        <v>3780</v>
      </c>
      <c r="K139" s="9" t="inlineStr">
        <is>
          <t>miles oz</t>
        </is>
      </c>
      <c r="L139" s="8" t="inlineStr">
        <is>
          <t>Informe CAMIMEX 2025</t>
        </is>
      </c>
      <c r="M139" s="9" t="n">
        <v>37</v>
      </c>
      <c r="N139" s="8" t="n"/>
      <c r="O139" s="11">
        <f>IF(AND(ISNUMBER(G139),ISNUMBER(J139),J139&lt;&gt;0,H139=K139),G139/J139*100,"")</f>
        <v/>
      </c>
      <c r="P139" s="11">
        <f>IF(AND(ISNUMBER(O139),ISNUMBER(I139)),ROUND(O139-I139,2),"")</f>
        <v/>
      </c>
    </row>
    <row r="140">
      <c r="A140" s="6" t="inlineStr">
        <is>
          <t>Oro</t>
        </is>
      </c>
      <c r="B140" s="6" t="n">
        <v>2024</v>
      </c>
      <c r="C140" s="6" t="inlineStr">
        <is>
          <t>mina</t>
        </is>
      </c>
      <c r="D140" s="6" t="inlineStr">
        <is>
          <t>Santa Elena</t>
        </is>
      </c>
      <c r="E140" s="6" t="inlineStr">
        <is>
          <t>First Majestic Silver</t>
        </is>
      </c>
      <c r="F140" s="6" t="inlineStr">
        <is>
          <t>Son.</t>
        </is>
      </c>
      <c r="G140" s="6" t="n">
        <v>103.54</v>
      </c>
      <c r="H140" s="6" t="inlineStr">
        <is>
          <t>miles oz</t>
        </is>
      </c>
      <c r="I140" s="6" t="n"/>
      <c r="J140" s="6" t="n">
        <v>3780</v>
      </c>
      <c r="K140" s="6" t="inlineStr">
        <is>
          <t>miles oz</t>
        </is>
      </c>
      <c r="L140" s="5" t="inlineStr">
        <is>
          <t>Informe CAMIMEX 2025</t>
        </is>
      </c>
      <c r="M140" s="6" t="n">
        <v>37</v>
      </c>
      <c r="N140" s="5" t="n"/>
      <c r="O140" s="11">
        <f>IF(AND(ISNUMBER(G140),ISNUMBER(J140),J140&lt;&gt;0,H140=K140),G140/J140*100,"")</f>
        <v/>
      </c>
      <c r="P140" s="11">
        <f>IF(AND(ISNUMBER(O140),ISNUMBER(I140)),ROUND(O140-I140,2),"")</f>
        <v/>
      </c>
    </row>
    <row r="141">
      <c r="A141" s="9" t="inlineStr">
        <is>
          <t>Oro</t>
        </is>
      </c>
      <c r="B141" s="9" t="n">
        <v>2024</v>
      </c>
      <c r="C141" s="9" t="inlineStr">
        <is>
          <t>mina</t>
        </is>
      </c>
      <c r="D141" s="9" t="inlineStr">
        <is>
          <t>Saucito</t>
        </is>
      </c>
      <c r="E141" s="9" t="inlineStr">
        <is>
          <t>Fresnillo plc</t>
        </is>
      </c>
      <c r="F141" s="9" t="inlineStr">
        <is>
          <t>Zac.</t>
        </is>
      </c>
      <c r="G141" s="9" t="n">
        <v>85.87</v>
      </c>
      <c r="H141" s="9" t="inlineStr">
        <is>
          <t>miles oz</t>
        </is>
      </c>
      <c r="I141" s="9" t="n"/>
      <c r="J141" s="9" t="n">
        <v>3780</v>
      </c>
      <c r="K141" s="9" t="inlineStr">
        <is>
          <t>miles oz</t>
        </is>
      </c>
      <c r="L141" s="8" t="inlineStr">
        <is>
          <t>Informe CAMIMEX 2025</t>
        </is>
      </c>
      <c r="M141" s="9" t="n">
        <v>37</v>
      </c>
      <c r="N141" s="8" t="inlineStr">
        <is>
          <t>Top-10 suma 2010.74</t>
        </is>
      </c>
      <c r="O141" s="11">
        <f>IF(AND(ISNUMBER(G141),ISNUMBER(J141),J141&lt;&gt;0,H141=K141),G141/J141*100,"")</f>
        <v/>
      </c>
      <c r="P141" s="11">
        <f>IF(AND(ISNUMBER(O141),ISNUMBER(I141)),ROUND(O141-I141,2),"")</f>
        <v/>
      </c>
    </row>
    <row r="142">
      <c r="A142" s="6" t="inlineStr">
        <is>
          <t>Plata</t>
        </is>
      </c>
      <c r="B142" s="6" t="n">
        <v>2021</v>
      </c>
      <c r="C142" s="6" t="inlineStr">
        <is>
          <t>empresa</t>
        </is>
      </c>
      <c r="D142" s="6" t="n"/>
      <c r="E142" s="6" t="inlineStr">
        <is>
          <t>Fresnillo plc</t>
        </is>
      </c>
      <c r="F142" s="6" t="n"/>
      <c r="G142" s="6" t="n"/>
      <c r="H142" s="6" t="n"/>
      <c r="I142" s="6" t="n"/>
      <c r="J142" s="6" t="n">
        <v>196.04</v>
      </c>
      <c r="K142" s="6" t="inlineStr">
        <is>
          <t>millones oz</t>
        </is>
      </c>
      <c r="L142" s="5" t="inlineStr">
        <is>
          <t>Informe CAMIMEX 2022</t>
        </is>
      </c>
      <c r="M142" s="6" t="n">
        <v>39</v>
      </c>
      <c r="N142" s="5" t="inlineStr">
        <is>
          <t>Narrativa: Fresnillo mayor productora nacional y mundial (% no publicado)</t>
        </is>
      </c>
      <c r="O142" s="11">
        <f>IF(AND(ISNUMBER(G142),ISNUMBER(J142),J142&lt;&gt;0,H142=K142),G142/J142*100,"")</f>
        <v/>
      </c>
      <c r="P142" s="11">
        <f>IF(AND(ISNUMBER(O142),ISNUMBER(I142)),ROUND(O142-I142,2),"")</f>
        <v/>
      </c>
    </row>
    <row r="143">
      <c r="A143" s="9" t="inlineStr">
        <is>
          <t>Plata</t>
        </is>
      </c>
      <c r="B143" s="9" t="n">
        <v>2021</v>
      </c>
      <c r="C143" s="9" t="inlineStr">
        <is>
          <t>mina</t>
        </is>
      </c>
      <c r="D143" s="9" t="inlineStr">
        <is>
          <t>Buenavista del Cobre</t>
        </is>
      </c>
      <c r="E143" s="9" t="inlineStr">
        <is>
          <t>Grupo Mexico</t>
        </is>
      </c>
      <c r="F143" s="9" t="inlineStr">
        <is>
          <t>Son.</t>
        </is>
      </c>
      <c r="G143" s="9" t="n">
        <v>4.77</v>
      </c>
      <c r="H143" s="9" t="inlineStr">
        <is>
          <t>millones oz</t>
        </is>
      </c>
      <c r="I143" s="9" t="n"/>
      <c r="J143" s="9" t="n">
        <v>196.04</v>
      </c>
      <c r="K143" s="9" t="inlineStr">
        <is>
          <t>millones oz</t>
        </is>
      </c>
      <c r="L143" s="8" t="inlineStr">
        <is>
          <t>Informe CAMIMEX 2022</t>
        </is>
      </c>
      <c r="M143" s="9" t="n">
        <v>39</v>
      </c>
      <c r="N143" s="8" t="n"/>
      <c r="O143" s="11">
        <f>IF(AND(ISNUMBER(G143),ISNUMBER(J143),J143&lt;&gt;0,H143=K143),G143/J143*100,"")</f>
        <v/>
      </c>
      <c r="P143" s="11">
        <f>IF(AND(ISNUMBER(O143),ISNUMBER(I143)),ROUND(O143-I143,2),"")</f>
        <v/>
      </c>
    </row>
    <row r="144">
      <c r="A144" s="6" t="inlineStr">
        <is>
          <t>Plata</t>
        </is>
      </c>
      <c r="B144" s="6" t="n">
        <v>2021</v>
      </c>
      <c r="C144" s="6" t="inlineStr">
        <is>
          <t>mina</t>
        </is>
      </c>
      <c r="D144" s="6" t="inlineStr">
        <is>
          <t>Cerro Los Gatos</t>
        </is>
      </c>
      <c r="E144" s="6" t="inlineStr">
        <is>
          <t>Gatos Silver</t>
        </is>
      </c>
      <c r="F144" s="6" t="inlineStr">
        <is>
          <t>Chih.</t>
        </is>
      </c>
      <c r="G144" s="6" t="n">
        <v>7.6</v>
      </c>
      <c r="H144" s="6" t="inlineStr">
        <is>
          <t>millones oz</t>
        </is>
      </c>
      <c r="I144" s="6" t="n"/>
      <c r="J144" s="6" t="n">
        <v>196.04</v>
      </c>
      <c r="K144" s="6" t="inlineStr">
        <is>
          <t>millones oz</t>
        </is>
      </c>
      <c r="L144" s="5" t="inlineStr">
        <is>
          <t>Informe CAMIMEX 2022</t>
        </is>
      </c>
      <c r="M144" s="6" t="n">
        <v>39</v>
      </c>
      <c r="N144" s="5" t="n"/>
      <c r="O144" s="11">
        <f>IF(AND(ISNUMBER(G144),ISNUMBER(J144),J144&lt;&gt;0,H144=K144),G144/J144*100,"")</f>
        <v/>
      </c>
      <c r="P144" s="11">
        <f>IF(AND(ISNUMBER(O144),ISNUMBER(I144)),ROUND(O144-I144,2),"")</f>
        <v/>
      </c>
    </row>
    <row r="145">
      <c r="A145" s="9" t="inlineStr">
        <is>
          <t>Plata</t>
        </is>
      </c>
      <c r="B145" s="9" t="n">
        <v>2021</v>
      </c>
      <c r="C145" s="9" t="inlineStr">
        <is>
          <t>mina</t>
        </is>
      </c>
      <c r="D145" s="9" t="inlineStr">
        <is>
          <t>El Herrero</t>
        </is>
      </c>
      <c r="E145" s="9" t="inlineStr">
        <is>
          <t>Minas de Bacis</t>
        </is>
      </c>
      <c r="F145" s="9" t="inlineStr">
        <is>
          <t>Dgo.</t>
        </is>
      </c>
      <c r="G145" s="9" t="n">
        <v>5.36</v>
      </c>
      <c r="H145" s="9" t="inlineStr">
        <is>
          <t>millones oz</t>
        </is>
      </c>
      <c r="I145" s="9" t="n"/>
      <c r="J145" s="9" t="n">
        <v>196.04</v>
      </c>
      <c r="K145" s="9" t="inlineStr">
        <is>
          <t>millones oz</t>
        </is>
      </c>
      <c r="L145" s="8" t="inlineStr">
        <is>
          <t>Informe CAMIMEX 2022</t>
        </is>
      </c>
      <c r="M145" s="9" t="n">
        <v>39</v>
      </c>
      <c r="N145" s="8" t="n"/>
      <c r="O145" s="11">
        <f>IF(AND(ISNUMBER(G145),ISNUMBER(J145),J145&lt;&gt;0,H145=K145),G145/J145*100,"")</f>
        <v/>
      </c>
      <c r="P145" s="11">
        <f>IF(AND(ISNUMBER(O145),ISNUMBER(I145)),ROUND(O145-I145,2),"")</f>
        <v/>
      </c>
    </row>
    <row r="146">
      <c r="A146" s="6" t="inlineStr">
        <is>
          <t>Plata</t>
        </is>
      </c>
      <c r="B146" s="6" t="n">
        <v>2021</v>
      </c>
      <c r="C146" s="6" t="inlineStr">
        <is>
          <t>mina</t>
        </is>
      </c>
      <c r="D146" s="6" t="inlineStr">
        <is>
          <t>Fresnillo</t>
        </is>
      </c>
      <c r="E146" s="6" t="inlineStr">
        <is>
          <t>Fresnillo plc</t>
        </is>
      </c>
      <c r="F146" s="6" t="inlineStr">
        <is>
          <t>Zac.</t>
        </is>
      </c>
      <c r="G146" s="6" t="n">
        <v>11.99</v>
      </c>
      <c r="H146" s="6" t="inlineStr">
        <is>
          <t>millones oz</t>
        </is>
      </c>
      <c r="I146" s="6" t="n"/>
      <c r="J146" s="6" t="n">
        <v>196.04</v>
      </c>
      <c r="K146" s="6" t="inlineStr">
        <is>
          <t>millones oz</t>
        </is>
      </c>
      <c r="L146" s="5" t="inlineStr">
        <is>
          <t>Informe CAMIMEX 2022</t>
        </is>
      </c>
      <c r="M146" s="6" t="n">
        <v>39</v>
      </c>
      <c r="N146" s="5" t="n"/>
      <c r="O146" s="11">
        <f>IF(AND(ISNUMBER(G146),ISNUMBER(J146),J146&lt;&gt;0,H146=K146),G146/J146*100,"")</f>
        <v/>
      </c>
      <c r="P146" s="11">
        <f>IF(AND(ISNUMBER(O146),ISNUMBER(I146)),ROUND(O146-I146,2),"")</f>
        <v/>
      </c>
    </row>
    <row r="147">
      <c r="A147" s="9" t="inlineStr">
        <is>
          <t>Plata</t>
        </is>
      </c>
      <c r="B147" s="9" t="n">
        <v>2021</v>
      </c>
      <c r="C147" s="9" t="inlineStr">
        <is>
          <t>mina</t>
        </is>
      </c>
      <c r="D147" s="9" t="inlineStr">
        <is>
          <t>Guanacevi</t>
        </is>
      </c>
      <c r="E147" s="9" t="inlineStr">
        <is>
          <t>Endeavour Silver</t>
        </is>
      </c>
      <c r="F147" s="9" t="inlineStr">
        <is>
          <t>Dgo.</t>
        </is>
      </c>
      <c r="G147" s="9" t="n">
        <v>4.33</v>
      </c>
      <c r="H147" s="9" t="inlineStr">
        <is>
          <t>millones oz</t>
        </is>
      </c>
      <c r="I147" s="9" t="n"/>
      <c r="J147" s="9" t="n">
        <v>196.04</v>
      </c>
      <c r="K147" s="9" t="inlineStr">
        <is>
          <t>millones oz</t>
        </is>
      </c>
      <c r="L147" s="8" t="inlineStr">
        <is>
          <t>Informe CAMIMEX 2022</t>
        </is>
      </c>
      <c r="M147" s="9" t="n">
        <v>39</v>
      </c>
      <c r="N147" s="8" t="n"/>
      <c r="O147" s="11">
        <f>IF(AND(ISNUMBER(G147),ISNUMBER(J147),J147&lt;&gt;0,H147=K147),G147/J147*100,"")</f>
        <v/>
      </c>
      <c r="P147" s="11">
        <f>IF(AND(ISNUMBER(O147),ISNUMBER(I147)),ROUND(O147-I147,2),"")</f>
        <v/>
      </c>
    </row>
    <row r="148">
      <c r="A148" s="6" t="inlineStr">
        <is>
          <t>Plata</t>
        </is>
      </c>
      <c r="B148" s="6" t="n">
        <v>2021</v>
      </c>
      <c r="C148" s="6" t="inlineStr">
        <is>
          <t>mina</t>
        </is>
      </c>
      <c r="D148" s="6" t="inlineStr">
        <is>
          <t>La Cienega</t>
        </is>
      </c>
      <c r="E148" s="6" t="inlineStr">
        <is>
          <t>Fresnillo plc</t>
        </is>
      </c>
      <c r="F148" s="6" t="inlineStr">
        <is>
          <t>Dgo.</t>
        </is>
      </c>
      <c r="G148" s="6" t="n">
        <v>5.45</v>
      </c>
      <c r="H148" s="6" t="inlineStr">
        <is>
          <t>millones oz</t>
        </is>
      </c>
      <c r="I148" s="6" t="n"/>
      <c r="J148" s="6" t="n">
        <v>196.04</v>
      </c>
      <c r="K148" s="6" t="inlineStr">
        <is>
          <t>millones oz</t>
        </is>
      </c>
      <c r="L148" s="5" t="inlineStr">
        <is>
          <t>Informe CAMIMEX 2022</t>
        </is>
      </c>
      <c r="M148" s="6" t="n">
        <v>39</v>
      </c>
      <c r="N148" s="5" t="n"/>
      <c r="O148" s="11">
        <f>IF(AND(ISNUMBER(G148),ISNUMBER(J148),J148&lt;&gt;0,H148=K148),G148/J148*100,"")</f>
        <v/>
      </c>
      <c r="P148" s="11">
        <f>IF(AND(ISNUMBER(O148),ISNUMBER(I148)),ROUND(O148-I148,2),"")</f>
        <v/>
      </c>
    </row>
    <row r="149">
      <c r="A149" s="9" t="inlineStr">
        <is>
          <t>Plata</t>
        </is>
      </c>
      <c r="B149" s="9" t="n">
        <v>2021</v>
      </c>
      <c r="C149" s="9" t="inlineStr">
        <is>
          <t>mina</t>
        </is>
      </c>
      <c r="D149" s="9" t="inlineStr">
        <is>
          <t>La Colorada</t>
        </is>
      </c>
      <c r="E149" s="9" t="inlineStr">
        <is>
          <t>Pan American Silver</t>
        </is>
      </c>
      <c r="F149" s="9" t="inlineStr">
        <is>
          <t>Zac.</t>
        </is>
      </c>
      <c r="G149" s="9" t="n">
        <v>5.17</v>
      </c>
      <c r="H149" s="9" t="inlineStr">
        <is>
          <t>millones oz</t>
        </is>
      </c>
      <c r="I149" s="9" t="n"/>
      <c r="J149" s="9" t="n">
        <v>196.04</v>
      </c>
      <c r="K149" s="9" t="inlineStr">
        <is>
          <t>millones oz</t>
        </is>
      </c>
      <c r="L149" s="8" t="inlineStr">
        <is>
          <t>Informe CAMIMEX 2022</t>
        </is>
      </c>
      <c r="M149" s="9" t="n">
        <v>39</v>
      </c>
      <c r="N149" s="8" t="n"/>
      <c r="O149" s="11">
        <f>IF(AND(ISNUMBER(G149),ISNUMBER(J149),J149&lt;&gt;0,H149=K149),G149/J149*100,"")</f>
        <v/>
      </c>
      <c r="P149" s="11">
        <f>IF(AND(ISNUMBER(O149),ISNUMBER(I149)),ROUND(O149-I149,2),"")</f>
        <v/>
      </c>
    </row>
    <row r="150">
      <c r="A150" s="6" t="inlineStr">
        <is>
          <t>Plata</t>
        </is>
      </c>
      <c r="B150" s="6" t="n">
        <v>2021</v>
      </c>
      <c r="C150" s="6" t="inlineStr">
        <is>
          <t>mina</t>
        </is>
      </c>
      <c r="D150" s="6" t="inlineStr">
        <is>
          <t>La Encantada</t>
        </is>
      </c>
      <c r="E150" s="6" t="inlineStr">
        <is>
          <t>First Majestic Silver</t>
        </is>
      </c>
      <c r="F150" s="6" t="inlineStr">
        <is>
          <t>Coah.</t>
        </is>
      </c>
      <c r="G150" s="6" t="n">
        <v>3.24</v>
      </c>
      <c r="H150" s="6" t="inlineStr">
        <is>
          <t>millones oz</t>
        </is>
      </c>
      <c r="I150" s="6" t="n"/>
      <c r="J150" s="6" t="n">
        <v>196.04</v>
      </c>
      <c r="K150" s="6" t="inlineStr">
        <is>
          <t>millones oz</t>
        </is>
      </c>
      <c r="L150" s="5" t="inlineStr">
        <is>
          <t>Informe CAMIMEX 2022</t>
        </is>
      </c>
      <c r="M150" s="6" t="n">
        <v>39</v>
      </c>
      <c r="N150" s="5" t="inlineStr">
        <is>
          <t>Top-15 suma 135.39</t>
        </is>
      </c>
      <c r="O150" s="11">
        <f>IF(AND(ISNUMBER(G150),ISNUMBER(J150),J150&lt;&gt;0,H150=K150),G150/J150*100,"")</f>
        <v/>
      </c>
      <c r="P150" s="11">
        <f>IF(AND(ISNUMBER(O150),ISNUMBER(I150)),ROUND(O150-I150,2),"")</f>
        <v/>
      </c>
    </row>
    <row r="151">
      <c r="A151" s="9" t="inlineStr">
        <is>
          <t>Plata</t>
        </is>
      </c>
      <c r="B151" s="9" t="n">
        <v>2021</v>
      </c>
      <c r="C151" s="9" t="inlineStr">
        <is>
          <t>mina</t>
        </is>
      </c>
      <c r="D151" s="9" t="inlineStr">
        <is>
          <t>Palmarejo</t>
        </is>
      </c>
      <c r="E151" s="9" t="inlineStr">
        <is>
          <t>Coeur Mining</t>
        </is>
      </c>
      <c r="F151" s="9" t="inlineStr">
        <is>
          <t>Chih.</t>
        </is>
      </c>
      <c r="G151" s="9" t="n">
        <v>6.82</v>
      </c>
      <c r="H151" s="9" t="inlineStr">
        <is>
          <t>millones oz</t>
        </is>
      </c>
      <c r="I151" s="9" t="n"/>
      <c r="J151" s="9" t="n">
        <v>196.04</v>
      </c>
      <c r="K151" s="9" t="inlineStr">
        <is>
          <t>millones oz</t>
        </is>
      </c>
      <c r="L151" s="8" t="inlineStr">
        <is>
          <t>Informe CAMIMEX 2022</t>
        </is>
      </c>
      <c r="M151" s="9" t="n">
        <v>39</v>
      </c>
      <c r="N151" s="8" t="n"/>
      <c r="O151" s="11">
        <f>IF(AND(ISNUMBER(G151),ISNUMBER(J151),J151&lt;&gt;0,H151=K151),G151/J151*100,"")</f>
        <v/>
      </c>
      <c r="P151" s="11">
        <f>IF(AND(ISNUMBER(O151),ISNUMBER(I151)),ROUND(O151-I151,2),"")</f>
        <v/>
      </c>
    </row>
    <row r="152">
      <c r="A152" s="6" t="inlineStr">
        <is>
          <t>Plata</t>
        </is>
      </c>
      <c r="B152" s="6" t="n">
        <v>2021</v>
      </c>
      <c r="C152" s="6" t="inlineStr">
        <is>
          <t>mina</t>
        </is>
      </c>
      <c r="D152" s="6" t="inlineStr">
        <is>
          <t>Penasquito</t>
        </is>
      </c>
      <c r="E152" s="6" t="inlineStr">
        <is>
          <t>Newmont</t>
        </is>
      </c>
      <c r="F152" s="6" t="inlineStr">
        <is>
          <t>Zac.</t>
        </is>
      </c>
      <c r="G152" s="6" t="n">
        <v>31.38</v>
      </c>
      <c r="H152" s="6" t="inlineStr">
        <is>
          <t>millones oz</t>
        </is>
      </c>
      <c r="I152" s="6" t="n"/>
      <c r="J152" s="6" t="n">
        <v>196.04</v>
      </c>
      <c r="K152" s="6" t="inlineStr">
        <is>
          <t>millones oz</t>
        </is>
      </c>
      <c r="L152" s="5" t="inlineStr">
        <is>
          <t>Informe CAMIMEX 2022</t>
        </is>
      </c>
      <c r="M152" s="6" t="n">
        <v>39</v>
      </c>
      <c r="N152" s="5" t="inlineStr">
        <is>
          <t>Tabla top-15 verificada en imagen</t>
        </is>
      </c>
      <c r="O152" s="11">
        <f>IF(AND(ISNUMBER(G152),ISNUMBER(J152),J152&lt;&gt;0,H152=K152),G152/J152*100,"")</f>
        <v/>
      </c>
      <c r="P152" s="11">
        <f>IF(AND(ISNUMBER(O152),ISNUMBER(I152)),ROUND(O152-I152,2),"")</f>
        <v/>
      </c>
    </row>
    <row r="153">
      <c r="A153" s="9" t="inlineStr">
        <is>
          <t>Plata</t>
        </is>
      </c>
      <c r="B153" s="9" t="n">
        <v>2021</v>
      </c>
      <c r="C153" s="9" t="inlineStr">
        <is>
          <t>mina</t>
        </is>
      </c>
      <c r="D153" s="9" t="inlineStr">
        <is>
          <t>San Dimas</t>
        </is>
      </c>
      <c r="E153" s="9" t="inlineStr">
        <is>
          <t>First Majestic Silver</t>
        </is>
      </c>
      <c r="F153" s="9" t="inlineStr">
        <is>
          <t>Dgo.</t>
        </is>
      </c>
      <c r="G153" s="9" t="n">
        <v>7.65</v>
      </c>
      <c r="H153" s="9" t="inlineStr">
        <is>
          <t>millones oz</t>
        </is>
      </c>
      <c r="I153" s="9" t="n"/>
      <c r="J153" s="9" t="n">
        <v>196.04</v>
      </c>
      <c r="K153" s="9" t="inlineStr">
        <is>
          <t>millones oz</t>
        </is>
      </c>
      <c r="L153" s="8" t="inlineStr">
        <is>
          <t>Informe CAMIMEX 2022</t>
        </is>
      </c>
      <c r="M153" s="9" t="n">
        <v>39</v>
      </c>
      <c r="N153" s="8" t="n"/>
      <c r="O153" s="11">
        <f>IF(AND(ISNUMBER(G153),ISNUMBER(J153),J153&lt;&gt;0,H153=K153),G153/J153*100,"")</f>
        <v/>
      </c>
      <c r="P153" s="11">
        <f>IF(AND(ISNUMBER(O153),ISNUMBER(I153)),ROUND(O153-I153,2),"")</f>
        <v/>
      </c>
    </row>
    <row r="154">
      <c r="A154" s="6" t="inlineStr">
        <is>
          <t>Plata</t>
        </is>
      </c>
      <c r="B154" s="6" t="n">
        <v>2021</v>
      </c>
      <c r="C154" s="6" t="inlineStr">
        <is>
          <t>mina</t>
        </is>
      </c>
      <c r="D154" s="6" t="inlineStr">
        <is>
          <t>San Jose</t>
        </is>
      </c>
      <c r="E154" s="6" t="inlineStr">
        <is>
          <t>Fortuna Silver</t>
        </is>
      </c>
      <c r="F154" s="6" t="inlineStr">
        <is>
          <t>Oax.</t>
        </is>
      </c>
      <c r="G154" s="6" t="n">
        <v>6.43</v>
      </c>
      <c r="H154" s="6" t="inlineStr">
        <is>
          <t>millones oz</t>
        </is>
      </c>
      <c r="I154" s="6" t="n"/>
      <c r="J154" s="6" t="n">
        <v>196.04</v>
      </c>
      <c r="K154" s="6" t="inlineStr">
        <is>
          <t>millones oz</t>
        </is>
      </c>
      <c r="L154" s="5" t="inlineStr">
        <is>
          <t>Informe CAMIMEX 2022</t>
        </is>
      </c>
      <c r="M154" s="6" t="n">
        <v>39</v>
      </c>
      <c r="N154" s="5" t="n"/>
      <c r="O154" s="11">
        <f>IF(AND(ISNUMBER(G154),ISNUMBER(J154),J154&lt;&gt;0,H154=K154),G154/J154*100,"")</f>
        <v/>
      </c>
      <c r="P154" s="11">
        <f>IF(AND(ISNUMBER(O154),ISNUMBER(I154)),ROUND(O154-I154,2),"")</f>
        <v/>
      </c>
    </row>
    <row r="155">
      <c r="A155" s="9" t="inlineStr">
        <is>
          <t>Plata</t>
        </is>
      </c>
      <c r="B155" s="9" t="n">
        <v>2021</v>
      </c>
      <c r="C155" s="9" t="inlineStr">
        <is>
          <t>mina</t>
        </is>
      </c>
      <c r="D155" s="9" t="inlineStr">
        <is>
          <t>San Julian</t>
        </is>
      </c>
      <c r="E155" s="9" t="inlineStr">
        <is>
          <t>Fresnillo plc</t>
        </is>
      </c>
      <c r="F155" s="9" t="inlineStr">
        <is>
          <t>Chih.</t>
        </is>
      </c>
      <c r="G155" s="9" t="n">
        <v>16.77</v>
      </c>
      <c r="H155" s="9" t="inlineStr">
        <is>
          <t>millones oz</t>
        </is>
      </c>
      <c r="I155" s="9" t="n"/>
      <c r="J155" s="9" t="n">
        <v>196.04</v>
      </c>
      <c r="K155" s="9" t="inlineStr">
        <is>
          <t>millones oz</t>
        </is>
      </c>
      <c r="L155" s="8" t="inlineStr">
        <is>
          <t>Informe CAMIMEX 2022</t>
        </is>
      </c>
      <c r="M155" s="9" t="n">
        <v>39</v>
      </c>
      <c r="N155" s="8" t="n"/>
      <c r="O155" s="11">
        <f>IF(AND(ISNUMBER(G155),ISNUMBER(J155),J155&lt;&gt;0,H155=K155),G155/J155*100,"")</f>
        <v/>
      </c>
      <c r="P155" s="11">
        <f>IF(AND(ISNUMBER(O155),ISNUMBER(I155)),ROUND(O155-I155,2),"")</f>
        <v/>
      </c>
    </row>
    <row r="156">
      <c r="A156" s="6" t="inlineStr">
        <is>
          <t>Plata</t>
        </is>
      </c>
      <c r="B156" s="6" t="n">
        <v>2021</v>
      </c>
      <c r="C156" s="6" t="inlineStr">
        <is>
          <t>mina</t>
        </is>
      </c>
      <c r="D156" s="6" t="inlineStr">
        <is>
          <t>Saucito</t>
        </is>
      </c>
      <c r="E156" s="6" t="inlineStr">
        <is>
          <t>Fresnillo plc</t>
        </is>
      </c>
      <c r="F156" s="6" t="inlineStr">
        <is>
          <t>Zac.</t>
        </is>
      </c>
      <c r="G156" s="6" t="n">
        <v>12.44</v>
      </c>
      <c r="H156" s="6" t="inlineStr">
        <is>
          <t>millones oz</t>
        </is>
      </c>
      <c r="I156" s="6" t="n"/>
      <c r="J156" s="6" t="n">
        <v>196.04</v>
      </c>
      <c r="K156" s="6" t="inlineStr">
        <is>
          <t>millones oz</t>
        </is>
      </c>
      <c r="L156" s="5" t="inlineStr">
        <is>
          <t>Informe CAMIMEX 2022</t>
        </is>
      </c>
      <c r="M156" s="6" t="n">
        <v>39</v>
      </c>
      <c r="N156" s="5" t="n"/>
      <c r="O156" s="11">
        <f>IF(AND(ISNUMBER(G156),ISNUMBER(J156),J156&lt;&gt;0,H156=K156),G156/J156*100,"")</f>
        <v/>
      </c>
      <c r="P156" s="11">
        <f>IF(AND(ISNUMBER(O156),ISNUMBER(I156)),ROUND(O156-I156,2),"")</f>
        <v/>
      </c>
    </row>
    <row r="157">
      <c r="A157" s="9" t="inlineStr">
        <is>
          <t>Plata</t>
        </is>
      </c>
      <c r="B157" s="9" t="n">
        <v>2021</v>
      </c>
      <c r="C157" s="9" t="inlineStr">
        <is>
          <t>mina</t>
        </is>
      </c>
      <c r="D157" s="9" t="inlineStr">
        <is>
          <t>Tizapa</t>
        </is>
      </c>
      <c r="E157" s="9" t="inlineStr">
        <is>
          <t>Industrias Penoles</t>
        </is>
      </c>
      <c r="F157" s="9" t="inlineStr">
        <is>
          <t>Edo. de Mex.</t>
        </is>
      </c>
      <c r="G157" s="9" t="n">
        <v>5.99</v>
      </c>
      <c r="H157" s="9" t="inlineStr">
        <is>
          <t>millones oz</t>
        </is>
      </c>
      <c r="I157" s="9" t="n"/>
      <c r="J157" s="9" t="n">
        <v>196.04</v>
      </c>
      <c r="K157" s="9" t="inlineStr">
        <is>
          <t>millones oz</t>
        </is>
      </c>
      <c r="L157" s="8" t="inlineStr">
        <is>
          <t>Informe CAMIMEX 2022</t>
        </is>
      </c>
      <c r="M157" s="9" t="n">
        <v>39</v>
      </c>
      <c r="N157" s="8" t="n"/>
      <c r="O157" s="11">
        <f>IF(AND(ISNUMBER(G157),ISNUMBER(J157),J157&lt;&gt;0,H157=K157),G157/J157*100,"")</f>
        <v/>
      </c>
      <c r="P157" s="11">
        <f>IF(AND(ISNUMBER(O157),ISNUMBER(I157)),ROUND(O157-I157,2),"")</f>
        <v/>
      </c>
    </row>
    <row r="158">
      <c r="A158" s="6" t="inlineStr">
        <is>
          <t>Plata</t>
        </is>
      </c>
      <c r="B158" s="6" t="n">
        <v>2022</v>
      </c>
      <c r="C158" s="6" t="inlineStr">
        <is>
          <t>empresa</t>
        </is>
      </c>
      <c r="D158" s="6" t="n"/>
      <c r="E158" s="6" t="inlineStr">
        <is>
          <t>Fresnillo plc</t>
        </is>
      </c>
      <c r="F158" s="6" t="n"/>
      <c r="G158" s="6" t="n"/>
      <c r="H158" s="6" t="n"/>
      <c r="I158" s="6" t="n">
        <v>24</v>
      </c>
      <c r="J158" s="6" t="n">
        <v>213.17</v>
      </c>
      <c r="K158" s="6" t="inlineStr">
        <is>
          <t>millones oz</t>
        </is>
      </c>
      <c r="L158" s="5" t="inlineStr">
        <is>
          <t>Informe CAMIMEX 2023</t>
        </is>
      </c>
      <c r="M158" s="6" t="n">
        <v>44</v>
      </c>
      <c r="N158" s="5" t="inlineStr">
        <is>
          <t>Narrativa: 24% nacional 6.2% mundial; sigue Newmont via Penasquito</t>
        </is>
      </c>
      <c r="O158" s="11">
        <f>IF(AND(ISNUMBER(G158),ISNUMBER(J158),J158&lt;&gt;0,H158=K158),G158/J158*100,"")</f>
        <v/>
      </c>
      <c r="P158" s="11">
        <f>IF(AND(ISNUMBER(O158),ISNUMBER(I158)),ROUND(O158-I158,2),"")</f>
        <v/>
      </c>
    </row>
    <row r="159">
      <c r="A159" s="9" t="inlineStr">
        <is>
          <t>Plata</t>
        </is>
      </c>
      <c r="B159" s="9" t="n">
        <v>2022</v>
      </c>
      <c r="C159" s="9" t="inlineStr">
        <is>
          <t>mina</t>
        </is>
      </c>
      <c r="D159" s="9" t="inlineStr">
        <is>
          <t>Buenavista del Cobre</t>
        </is>
      </c>
      <c r="E159" s="9" t="inlineStr">
        <is>
          <t>Grupo Mexico</t>
        </is>
      </c>
      <c r="F159" s="9" t="inlineStr">
        <is>
          <t>Son.</t>
        </is>
      </c>
      <c r="G159" s="9" t="n">
        <v>5.21</v>
      </c>
      <c r="H159" s="9" t="inlineStr">
        <is>
          <t>millones oz</t>
        </is>
      </c>
      <c r="I159" s="9" t="n"/>
      <c r="J159" s="9" t="n">
        <v>213.17</v>
      </c>
      <c r="K159" s="9" t="inlineStr">
        <is>
          <t>millones oz</t>
        </is>
      </c>
      <c r="L159" s="8" t="inlineStr">
        <is>
          <t>Informe CAMIMEX 2023</t>
        </is>
      </c>
      <c r="M159" s="9" t="n">
        <v>44</v>
      </c>
      <c r="N159" s="8" t="n"/>
      <c r="O159" s="11">
        <f>IF(AND(ISNUMBER(G159),ISNUMBER(J159),J159&lt;&gt;0,H159=K159),G159/J159*100,"")</f>
        <v/>
      </c>
      <c r="P159" s="11">
        <f>IF(AND(ISNUMBER(O159),ISNUMBER(I159)),ROUND(O159-I159,2),"")</f>
        <v/>
      </c>
    </row>
    <row r="160">
      <c r="A160" s="6" t="inlineStr">
        <is>
          <t>Plata</t>
        </is>
      </c>
      <c r="B160" s="6" t="n">
        <v>2022</v>
      </c>
      <c r="C160" s="6" t="inlineStr">
        <is>
          <t>mina</t>
        </is>
      </c>
      <c r="D160" s="6" t="inlineStr">
        <is>
          <t>Cerro Los Gatos</t>
        </is>
      </c>
      <c r="E160" s="6" t="inlineStr">
        <is>
          <t>Gatos Silver</t>
        </is>
      </c>
      <c r="F160" s="6" t="inlineStr">
        <is>
          <t>Chih.</t>
        </is>
      </c>
      <c r="G160" s="6" t="n">
        <v>10.3</v>
      </c>
      <c r="H160" s="6" t="inlineStr">
        <is>
          <t>millones oz</t>
        </is>
      </c>
      <c r="I160" s="6" t="n"/>
      <c r="J160" s="6" t="n">
        <v>213.17</v>
      </c>
      <c r="K160" s="6" t="inlineStr">
        <is>
          <t>millones oz</t>
        </is>
      </c>
      <c r="L160" s="5" t="inlineStr">
        <is>
          <t>Informe CAMIMEX 2023</t>
        </is>
      </c>
      <c r="M160" s="6" t="n">
        <v>44</v>
      </c>
      <c r="N160" s="5" t="n"/>
      <c r="O160" s="11">
        <f>IF(AND(ISNUMBER(G160),ISNUMBER(J160),J160&lt;&gt;0,H160=K160),G160/J160*100,"")</f>
        <v/>
      </c>
      <c r="P160" s="11">
        <f>IF(AND(ISNUMBER(O160),ISNUMBER(I160)),ROUND(O160-I160,2),"")</f>
        <v/>
      </c>
    </row>
    <row r="161">
      <c r="A161" s="9" t="inlineStr">
        <is>
          <t>Plata</t>
        </is>
      </c>
      <c r="B161" s="9" t="n">
        <v>2022</v>
      </c>
      <c r="C161" s="9" t="inlineStr">
        <is>
          <t>mina</t>
        </is>
      </c>
      <c r="D161" s="9" t="inlineStr">
        <is>
          <t>El Herrero</t>
        </is>
      </c>
      <c r="E161" s="9" t="inlineStr">
        <is>
          <t>Minas de Bacis</t>
        </is>
      </c>
      <c r="F161" s="9" t="inlineStr">
        <is>
          <t>Dgo.</t>
        </is>
      </c>
      <c r="G161" s="9" t="n">
        <v>5.42</v>
      </c>
      <c r="H161" s="9" t="inlineStr">
        <is>
          <t>millones oz</t>
        </is>
      </c>
      <c r="I161" s="9" t="n"/>
      <c r="J161" s="9" t="n">
        <v>213.17</v>
      </c>
      <c r="K161" s="9" t="inlineStr">
        <is>
          <t>millones oz</t>
        </is>
      </c>
      <c r="L161" s="8" t="inlineStr">
        <is>
          <t>Informe CAMIMEX 2023</t>
        </is>
      </c>
      <c r="M161" s="9" t="n">
        <v>44</v>
      </c>
      <c r="N161" s="8" t="n"/>
      <c r="O161" s="11">
        <f>IF(AND(ISNUMBER(G161),ISNUMBER(J161),J161&lt;&gt;0,H161=K161),G161/J161*100,"")</f>
        <v/>
      </c>
      <c r="P161" s="11">
        <f>IF(AND(ISNUMBER(O161),ISNUMBER(I161)),ROUND(O161-I161,2),"")</f>
        <v/>
      </c>
    </row>
    <row r="162">
      <c r="A162" s="6" t="inlineStr">
        <is>
          <t>Plata</t>
        </is>
      </c>
      <c r="B162" s="6" t="n">
        <v>2022</v>
      </c>
      <c r="C162" s="6" t="inlineStr">
        <is>
          <t>mina</t>
        </is>
      </c>
      <c r="D162" s="6" t="inlineStr">
        <is>
          <t>Fresnillo</t>
        </is>
      </c>
      <c r="E162" s="6" t="inlineStr">
        <is>
          <t>Fresnillo plc</t>
        </is>
      </c>
      <c r="F162" s="6" t="inlineStr">
        <is>
          <t>Zac.</t>
        </is>
      </c>
      <c r="G162" s="6" t="n">
        <v>13.6</v>
      </c>
      <c r="H162" s="6" t="inlineStr">
        <is>
          <t>millones oz</t>
        </is>
      </c>
      <c r="I162" s="6" t="n"/>
      <c r="J162" s="6" t="n">
        <v>213.17</v>
      </c>
      <c r="K162" s="6" t="inlineStr">
        <is>
          <t>millones oz</t>
        </is>
      </c>
      <c r="L162" s="5" t="inlineStr">
        <is>
          <t>Informe CAMIMEX 2023</t>
        </is>
      </c>
      <c r="M162" s="6" t="n">
        <v>44</v>
      </c>
      <c r="N162" s="5" t="n"/>
      <c r="O162" s="11">
        <f>IF(AND(ISNUMBER(G162),ISNUMBER(J162),J162&lt;&gt;0,H162=K162),G162/J162*100,"")</f>
        <v/>
      </c>
      <c r="P162" s="11">
        <f>IF(AND(ISNUMBER(O162),ISNUMBER(I162)),ROUND(O162-I162,2),"")</f>
        <v/>
      </c>
    </row>
    <row r="163">
      <c r="A163" s="9" t="inlineStr">
        <is>
          <t>Plata</t>
        </is>
      </c>
      <c r="B163" s="9" t="n">
        <v>2022</v>
      </c>
      <c r="C163" s="9" t="inlineStr">
        <is>
          <t>mina</t>
        </is>
      </c>
      <c r="D163" s="9" t="inlineStr">
        <is>
          <t>Guanacevi</t>
        </is>
      </c>
      <c r="E163" s="9" t="inlineStr">
        <is>
          <t>Endeavour Silver</t>
        </is>
      </c>
      <c r="F163" s="9" t="inlineStr">
        <is>
          <t>Dgo.</t>
        </is>
      </c>
      <c r="G163" s="9" t="n">
        <v>5.34</v>
      </c>
      <c r="H163" s="9" t="inlineStr">
        <is>
          <t>millones oz</t>
        </is>
      </c>
      <c r="I163" s="9" t="n"/>
      <c r="J163" s="9" t="n">
        <v>213.17</v>
      </c>
      <c r="K163" s="9" t="inlineStr">
        <is>
          <t>millones oz</t>
        </is>
      </c>
      <c r="L163" s="8" t="inlineStr">
        <is>
          <t>Informe CAMIMEX 2023</t>
        </is>
      </c>
      <c r="M163" s="9" t="n">
        <v>44</v>
      </c>
      <c r="N163" s="8" t="n"/>
      <c r="O163" s="11">
        <f>IF(AND(ISNUMBER(G163),ISNUMBER(J163),J163&lt;&gt;0,H163=K163),G163/J163*100,"")</f>
        <v/>
      </c>
      <c r="P163" s="11">
        <f>IF(AND(ISNUMBER(O163),ISNUMBER(I163)),ROUND(O163-I163,2),"")</f>
        <v/>
      </c>
    </row>
    <row r="164">
      <c r="A164" s="6" t="inlineStr">
        <is>
          <t>Plata</t>
        </is>
      </c>
      <c r="B164" s="6" t="n">
        <v>2022</v>
      </c>
      <c r="C164" s="6" t="inlineStr">
        <is>
          <t>mina</t>
        </is>
      </c>
      <c r="D164" s="6" t="inlineStr">
        <is>
          <t>Juanicipio</t>
        </is>
      </c>
      <c r="E164" s="6" t="inlineStr">
        <is>
          <t>Fresnillo plc</t>
        </is>
      </c>
      <c r="F164" s="6" t="inlineStr">
        <is>
          <t>Zac.</t>
        </is>
      </c>
      <c r="G164" s="6" t="n">
        <v>5.2</v>
      </c>
      <c r="H164" s="6" t="inlineStr">
        <is>
          <t>millones oz</t>
        </is>
      </c>
      <c r="I164" s="6" t="n"/>
      <c r="J164" s="6" t="n">
        <v>213.17</v>
      </c>
      <c r="K164" s="6" t="inlineStr">
        <is>
          <t>millones oz</t>
        </is>
      </c>
      <c r="L164" s="5" t="inlineStr">
        <is>
          <t>Informe CAMIMEX 2023</t>
        </is>
      </c>
      <c r="M164" s="6" t="n">
        <v>44</v>
      </c>
      <c r="N164" s="5" t="n"/>
      <c r="O164" s="11">
        <f>IF(AND(ISNUMBER(G164),ISNUMBER(J164),J164&lt;&gt;0,H164=K164),G164/J164*100,"")</f>
        <v/>
      </c>
      <c r="P164" s="11">
        <f>IF(AND(ISNUMBER(O164),ISNUMBER(I164)),ROUND(O164-I164,2),"")</f>
        <v/>
      </c>
    </row>
    <row r="165">
      <c r="A165" s="9" t="inlineStr">
        <is>
          <t>Plata</t>
        </is>
      </c>
      <c r="B165" s="9" t="n">
        <v>2022</v>
      </c>
      <c r="C165" s="9" t="inlineStr">
        <is>
          <t>mina</t>
        </is>
      </c>
      <c r="D165" s="9" t="inlineStr">
        <is>
          <t>La Cienega</t>
        </is>
      </c>
      <c r="E165" s="9" t="inlineStr">
        <is>
          <t>Fresnillo plc</t>
        </is>
      </c>
      <c r="F165" s="9" t="inlineStr">
        <is>
          <t>Dgo.</t>
        </is>
      </c>
      <c r="G165" s="9" t="n">
        <v>4.7</v>
      </c>
      <c r="H165" s="9" t="inlineStr">
        <is>
          <t>millones oz</t>
        </is>
      </c>
      <c r="I165" s="9" t="n"/>
      <c r="J165" s="9" t="n">
        <v>213.17</v>
      </c>
      <c r="K165" s="9" t="inlineStr">
        <is>
          <t>millones oz</t>
        </is>
      </c>
      <c r="L165" s="8" t="inlineStr">
        <is>
          <t>Informe CAMIMEX 2023</t>
        </is>
      </c>
      <c r="M165" s="9" t="n">
        <v>44</v>
      </c>
      <c r="N165" s="8" t="inlineStr">
        <is>
          <t>Top-15 suma 135.96</t>
        </is>
      </c>
      <c r="O165" s="11">
        <f>IF(AND(ISNUMBER(G165),ISNUMBER(J165),J165&lt;&gt;0,H165=K165),G165/J165*100,"")</f>
        <v/>
      </c>
      <c r="P165" s="11">
        <f>IF(AND(ISNUMBER(O165),ISNUMBER(I165)),ROUND(O165-I165,2),"")</f>
        <v/>
      </c>
    </row>
    <row r="166">
      <c r="A166" s="6" t="inlineStr">
        <is>
          <t>Plata</t>
        </is>
      </c>
      <c r="B166" s="6" t="n">
        <v>2022</v>
      </c>
      <c r="C166" s="6" t="inlineStr">
        <is>
          <t>mina</t>
        </is>
      </c>
      <c r="D166" s="6" t="inlineStr">
        <is>
          <t>La Colorada</t>
        </is>
      </c>
      <c r="E166" s="6" t="inlineStr">
        <is>
          <t>Pan American Silver</t>
        </is>
      </c>
      <c r="F166" s="6" t="inlineStr">
        <is>
          <t>Zac.</t>
        </is>
      </c>
      <c r="G166" s="6" t="n">
        <v>5.92</v>
      </c>
      <c r="H166" s="6" t="inlineStr">
        <is>
          <t>millones oz</t>
        </is>
      </c>
      <c r="I166" s="6" t="n"/>
      <c r="J166" s="6" t="n">
        <v>213.17</v>
      </c>
      <c r="K166" s="6" t="inlineStr">
        <is>
          <t>millones oz</t>
        </is>
      </c>
      <c r="L166" s="5" t="inlineStr">
        <is>
          <t>Informe CAMIMEX 2023</t>
        </is>
      </c>
      <c r="M166" s="6" t="n">
        <v>44</v>
      </c>
      <c r="N166" s="5" t="n"/>
      <c r="O166" s="11">
        <f>IF(AND(ISNUMBER(G166),ISNUMBER(J166),J166&lt;&gt;0,H166=K166),G166/J166*100,"")</f>
        <v/>
      </c>
      <c r="P166" s="11">
        <f>IF(AND(ISNUMBER(O166),ISNUMBER(I166)),ROUND(O166-I166,2),"")</f>
        <v/>
      </c>
    </row>
    <row r="167">
      <c r="A167" s="9" t="inlineStr">
        <is>
          <t>Plata</t>
        </is>
      </c>
      <c r="B167" s="9" t="n">
        <v>2022</v>
      </c>
      <c r="C167" s="9" t="inlineStr">
        <is>
          <t>mina</t>
        </is>
      </c>
      <c r="D167" s="9" t="inlineStr">
        <is>
          <t>Palmarejo</t>
        </is>
      </c>
      <c r="E167" s="9" t="inlineStr">
        <is>
          <t>Coeur Mining</t>
        </is>
      </c>
      <c r="F167" s="9" t="inlineStr">
        <is>
          <t>Chih.</t>
        </is>
      </c>
      <c r="G167" s="9" t="n">
        <v>6.7</v>
      </c>
      <c r="H167" s="9" t="inlineStr">
        <is>
          <t>millones oz</t>
        </is>
      </c>
      <c r="I167" s="9" t="n"/>
      <c r="J167" s="9" t="n">
        <v>213.17</v>
      </c>
      <c r="K167" s="9" t="inlineStr">
        <is>
          <t>millones oz</t>
        </is>
      </c>
      <c r="L167" s="8" t="inlineStr">
        <is>
          <t>Informe CAMIMEX 2023</t>
        </is>
      </c>
      <c r="M167" s="9" t="n">
        <v>44</v>
      </c>
      <c r="N167" s="8" t="n"/>
      <c r="O167" s="11">
        <f>IF(AND(ISNUMBER(G167),ISNUMBER(J167),J167&lt;&gt;0,H167=K167),G167/J167*100,"")</f>
        <v/>
      </c>
      <c r="P167" s="11">
        <f>IF(AND(ISNUMBER(O167),ISNUMBER(I167)),ROUND(O167-I167,2),"")</f>
        <v/>
      </c>
    </row>
    <row r="168">
      <c r="A168" s="6" t="inlineStr">
        <is>
          <t>Plata</t>
        </is>
      </c>
      <c r="B168" s="6" t="n">
        <v>2022</v>
      </c>
      <c r="C168" s="6" t="inlineStr">
        <is>
          <t>mina</t>
        </is>
      </c>
      <c r="D168" s="6" t="inlineStr">
        <is>
          <t>Penasquito</t>
        </is>
      </c>
      <c r="E168" s="6" t="inlineStr">
        <is>
          <t>Newmont</t>
        </is>
      </c>
      <c r="F168" s="6" t="inlineStr">
        <is>
          <t>Zac.</t>
        </is>
      </c>
      <c r="G168" s="6" t="n">
        <v>29.66</v>
      </c>
      <c r="H168" s="6" t="inlineStr">
        <is>
          <t>millones oz</t>
        </is>
      </c>
      <c r="I168" s="6" t="n"/>
      <c r="J168" s="6" t="n">
        <v>213.17</v>
      </c>
      <c r="K168" s="6" t="inlineStr">
        <is>
          <t>millones oz</t>
        </is>
      </c>
      <c r="L168" s="5" t="inlineStr">
        <is>
          <t>Informe CAMIMEX 2023</t>
        </is>
      </c>
      <c r="M168" s="6" t="n">
        <v>44</v>
      </c>
      <c r="N168" s="5" t="inlineStr">
        <is>
          <t>Tabla top-15 verificada en imagen</t>
        </is>
      </c>
      <c r="O168" s="11">
        <f>IF(AND(ISNUMBER(G168),ISNUMBER(J168),J168&lt;&gt;0,H168=K168),G168/J168*100,"")</f>
        <v/>
      </c>
      <c r="P168" s="11">
        <f>IF(AND(ISNUMBER(O168),ISNUMBER(I168)),ROUND(O168-I168,2),"")</f>
        <v/>
      </c>
    </row>
    <row r="169">
      <c r="A169" s="9" t="inlineStr">
        <is>
          <t>Plata</t>
        </is>
      </c>
      <c r="B169" s="9" t="n">
        <v>2022</v>
      </c>
      <c r="C169" s="9" t="inlineStr">
        <is>
          <t>mina</t>
        </is>
      </c>
      <c r="D169" s="9" t="inlineStr">
        <is>
          <t>San Dimas</t>
        </is>
      </c>
      <c r="E169" s="9" t="inlineStr">
        <is>
          <t>First Majestic Silver</t>
        </is>
      </c>
      <c r="F169" s="9" t="inlineStr">
        <is>
          <t>Dgo.</t>
        </is>
      </c>
      <c r="G169" s="9" t="n">
        <v>6.2</v>
      </c>
      <c r="H169" s="9" t="inlineStr">
        <is>
          <t>millones oz</t>
        </is>
      </c>
      <c r="I169" s="9" t="n"/>
      <c r="J169" s="9" t="n">
        <v>213.17</v>
      </c>
      <c r="K169" s="9" t="inlineStr">
        <is>
          <t>millones oz</t>
        </is>
      </c>
      <c r="L169" s="8" t="inlineStr">
        <is>
          <t>Informe CAMIMEX 2023</t>
        </is>
      </c>
      <c r="M169" s="9" t="n">
        <v>44</v>
      </c>
      <c r="N169" s="8" t="n"/>
      <c r="O169" s="11">
        <f>IF(AND(ISNUMBER(G169),ISNUMBER(J169),J169&lt;&gt;0,H169=K169),G169/J169*100,"")</f>
        <v/>
      </c>
      <c r="P169" s="11">
        <f>IF(AND(ISNUMBER(O169),ISNUMBER(I169)),ROUND(O169-I169,2),"")</f>
        <v/>
      </c>
    </row>
    <row r="170">
      <c r="A170" s="6" t="inlineStr">
        <is>
          <t>Plata</t>
        </is>
      </c>
      <c r="B170" s="6" t="n">
        <v>2022</v>
      </c>
      <c r="C170" s="6" t="inlineStr">
        <is>
          <t>mina</t>
        </is>
      </c>
      <c r="D170" s="6" t="inlineStr">
        <is>
          <t>San Jose</t>
        </is>
      </c>
      <c r="E170" s="6" t="inlineStr">
        <is>
          <t>Fortuna Silver</t>
        </is>
      </c>
      <c r="F170" s="6" t="inlineStr">
        <is>
          <t>Oax.</t>
        </is>
      </c>
      <c r="G170" s="6" t="n">
        <v>5.76</v>
      </c>
      <c r="H170" s="6" t="inlineStr">
        <is>
          <t>millones oz</t>
        </is>
      </c>
      <c r="I170" s="6" t="n"/>
      <c r="J170" s="6" t="n">
        <v>213.17</v>
      </c>
      <c r="K170" s="6" t="inlineStr">
        <is>
          <t>millones oz</t>
        </is>
      </c>
      <c r="L170" s="5" t="inlineStr">
        <is>
          <t>Informe CAMIMEX 2023</t>
        </is>
      </c>
      <c r="M170" s="6" t="n">
        <v>44</v>
      </c>
      <c r="N170" s="5" t="n"/>
      <c r="O170" s="11">
        <f>IF(AND(ISNUMBER(G170),ISNUMBER(J170),J170&lt;&gt;0,H170=K170),G170/J170*100,"")</f>
        <v/>
      </c>
      <c r="P170" s="11">
        <f>IF(AND(ISNUMBER(O170),ISNUMBER(I170)),ROUND(O170-I170,2),"")</f>
        <v/>
      </c>
    </row>
    <row r="171">
      <c r="A171" s="9" t="inlineStr">
        <is>
          <t>Plata</t>
        </is>
      </c>
      <c r="B171" s="9" t="n">
        <v>2022</v>
      </c>
      <c r="C171" s="9" t="inlineStr">
        <is>
          <t>mina</t>
        </is>
      </c>
      <c r="D171" s="9" t="inlineStr">
        <is>
          <t>San Julian</t>
        </is>
      </c>
      <c r="E171" s="9" t="inlineStr">
        <is>
          <t>Fresnillo plc</t>
        </is>
      </c>
      <c r="F171" s="9" t="inlineStr">
        <is>
          <t>Chih.</t>
        </is>
      </c>
      <c r="G171" s="9" t="n">
        <v>14.25</v>
      </c>
      <c r="H171" s="9" t="inlineStr">
        <is>
          <t>millones oz</t>
        </is>
      </c>
      <c r="I171" s="9" t="n"/>
      <c r="J171" s="9" t="n">
        <v>213.17</v>
      </c>
      <c r="K171" s="9" t="inlineStr">
        <is>
          <t>millones oz</t>
        </is>
      </c>
      <c r="L171" s="8" t="inlineStr">
        <is>
          <t>Informe CAMIMEX 2023</t>
        </is>
      </c>
      <c r="M171" s="9" t="n">
        <v>44</v>
      </c>
      <c r="N171" s="8" t="n"/>
      <c r="O171" s="11">
        <f>IF(AND(ISNUMBER(G171),ISNUMBER(J171),J171&lt;&gt;0,H171=K171),G171/J171*100,"")</f>
        <v/>
      </c>
      <c r="P171" s="11">
        <f>IF(AND(ISNUMBER(O171),ISNUMBER(I171)),ROUND(O171-I171,2),"")</f>
        <v/>
      </c>
    </row>
    <row r="172">
      <c r="A172" s="6" t="inlineStr">
        <is>
          <t>Plata</t>
        </is>
      </c>
      <c r="B172" s="6" t="n">
        <v>2022</v>
      </c>
      <c r="C172" s="6" t="inlineStr">
        <is>
          <t>mina</t>
        </is>
      </c>
      <c r="D172" s="6" t="inlineStr">
        <is>
          <t>Saucito</t>
        </is>
      </c>
      <c r="E172" s="6" t="inlineStr">
        <is>
          <t>Fresnillo plc</t>
        </is>
      </c>
      <c r="F172" s="6" t="inlineStr">
        <is>
          <t>Zac.</t>
        </is>
      </c>
      <c r="G172" s="6" t="n">
        <v>11.97</v>
      </c>
      <c r="H172" s="6" t="inlineStr">
        <is>
          <t>millones oz</t>
        </is>
      </c>
      <c r="I172" s="6" t="n"/>
      <c r="J172" s="6" t="n">
        <v>213.17</v>
      </c>
      <c r="K172" s="6" t="inlineStr">
        <is>
          <t>millones oz</t>
        </is>
      </c>
      <c r="L172" s="5" t="inlineStr">
        <is>
          <t>Informe CAMIMEX 2023</t>
        </is>
      </c>
      <c r="M172" s="6" t="n">
        <v>44</v>
      </c>
      <c r="N172" s="5" t="n"/>
      <c r="O172" s="11">
        <f>IF(AND(ISNUMBER(G172),ISNUMBER(J172),J172&lt;&gt;0,H172=K172),G172/J172*100,"")</f>
        <v/>
      </c>
      <c r="P172" s="11">
        <f>IF(AND(ISNUMBER(O172),ISNUMBER(I172)),ROUND(O172-I172,2),"")</f>
        <v/>
      </c>
    </row>
    <row r="173">
      <c r="A173" s="9" t="inlineStr">
        <is>
          <t>Plata</t>
        </is>
      </c>
      <c r="B173" s="9" t="n">
        <v>2022</v>
      </c>
      <c r="C173" s="9" t="inlineStr">
        <is>
          <t>mina</t>
        </is>
      </c>
      <c r="D173" s="9" t="inlineStr">
        <is>
          <t>Tizapa</t>
        </is>
      </c>
      <c r="E173" s="9" t="inlineStr">
        <is>
          <t>Industrias Penoles</t>
        </is>
      </c>
      <c r="F173" s="9" t="inlineStr">
        <is>
          <t>Edo. de Mex.</t>
        </is>
      </c>
      <c r="G173" s="9" t="n">
        <v>5.73</v>
      </c>
      <c r="H173" s="9" t="inlineStr">
        <is>
          <t>millones oz</t>
        </is>
      </c>
      <c r="I173" s="9" t="n"/>
      <c r="J173" s="9" t="n">
        <v>213.17</v>
      </c>
      <c r="K173" s="9" t="inlineStr">
        <is>
          <t>millones oz</t>
        </is>
      </c>
      <c r="L173" s="8" t="inlineStr">
        <is>
          <t>Informe CAMIMEX 2023</t>
        </is>
      </c>
      <c r="M173" s="9" t="n">
        <v>44</v>
      </c>
      <c r="N173" s="8" t="n"/>
      <c r="O173" s="11">
        <f>IF(AND(ISNUMBER(G173),ISNUMBER(J173),J173&lt;&gt;0,H173=K173),G173/J173*100,"")</f>
        <v/>
      </c>
      <c r="P173" s="11">
        <f>IF(AND(ISNUMBER(O173),ISNUMBER(I173)),ROUND(O173-I173,2),"")</f>
        <v/>
      </c>
    </row>
    <row r="174">
      <c r="A174" s="6" t="inlineStr">
        <is>
          <t>Plata</t>
        </is>
      </c>
      <c r="B174" s="6" t="n">
        <v>2023</v>
      </c>
      <c r="C174" s="6" t="inlineStr">
        <is>
          <t>empresa</t>
        </is>
      </c>
      <c r="D174" s="6" t="n"/>
      <c r="E174" s="6" t="inlineStr">
        <is>
          <t>Fresnillo plc</t>
        </is>
      </c>
      <c r="F174" s="6" t="n"/>
      <c r="G174" s="6" t="n"/>
      <c r="H174" s="6" t="n"/>
      <c r="I174" s="6" t="n">
        <v>29.4</v>
      </c>
      <c r="J174" s="6" t="n">
        <v>181.86</v>
      </c>
      <c r="K174" s="6" t="inlineStr">
        <is>
          <t>millones oz</t>
        </is>
      </c>
      <c r="L174" s="5" t="inlineStr">
        <is>
          <t>Informe CAMIMEX 2024</t>
        </is>
      </c>
      <c r="M174" s="6" t="n">
        <v>50</v>
      </c>
      <c r="N174" s="5" t="inlineStr">
        <is>
          <t>Narrativa: 29.4% nacional 6.4% mundial; siguen Newmont GMexico Penoles First Majestic</t>
        </is>
      </c>
      <c r="O174" s="11">
        <f>IF(AND(ISNUMBER(G174),ISNUMBER(J174),J174&lt;&gt;0,H174=K174),G174/J174*100,"")</f>
        <v/>
      </c>
      <c r="P174" s="11">
        <f>IF(AND(ISNUMBER(O174),ISNUMBER(I174)),ROUND(O174-I174,2),"")</f>
        <v/>
      </c>
    </row>
    <row r="175">
      <c r="A175" s="9" t="inlineStr">
        <is>
          <t>Plata</t>
        </is>
      </c>
      <c r="B175" s="9" t="n">
        <v>2023</v>
      </c>
      <c r="C175" s="9" t="inlineStr">
        <is>
          <t>mina</t>
        </is>
      </c>
      <c r="D175" s="9" t="inlineStr">
        <is>
          <t>Buenavista del Cobre</t>
        </is>
      </c>
      <c r="E175" s="9" t="inlineStr">
        <is>
          <t>Grupo Mexico</t>
        </is>
      </c>
      <c r="F175" s="9" t="inlineStr">
        <is>
          <t>Son.</t>
        </is>
      </c>
      <c r="G175" s="9" t="n">
        <v>4.67</v>
      </c>
      <c r="H175" s="9" t="inlineStr">
        <is>
          <t>millones oz</t>
        </is>
      </c>
      <c r="I175" s="9" t="n"/>
      <c r="J175" s="9" t="n">
        <v>181.86</v>
      </c>
      <c r="K175" s="9" t="inlineStr">
        <is>
          <t>millones oz</t>
        </is>
      </c>
      <c r="L175" s="8" t="inlineStr">
        <is>
          <t>Informe CAMIMEX 2024</t>
        </is>
      </c>
      <c r="M175" s="9" t="n">
        <v>51</v>
      </c>
      <c r="N175" s="8" t="n"/>
      <c r="O175" s="11">
        <f>IF(AND(ISNUMBER(G175),ISNUMBER(J175),J175&lt;&gt;0,H175=K175),G175/J175*100,"")</f>
        <v/>
      </c>
      <c r="P175" s="11">
        <f>IF(AND(ISNUMBER(O175),ISNUMBER(I175)),ROUND(O175-I175,2),"")</f>
        <v/>
      </c>
    </row>
    <row r="176">
      <c r="A176" s="6" t="inlineStr">
        <is>
          <t>Plata</t>
        </is>
      </c>
      <c r="B176" s="6" t="n">
        <v>2023</v>
      </c>
      <c r="C176" s="6" t="inlineStr">
        <is>
          <t>mina</t>
        </is>
      </c>
      <c r="D176" s="6" t="inlineStr">
        <is>
          <t>El Herrero</t>
        </is>
      </c>
      <c r="E176" s="6" t="inlineStr">
        <is>
          <t>Minas de Bacis</t>
        </is>
      </c>
      <c r="F176" s="6" t="inlineStr">
        <is>
          <t>Dgo.</t>
        </is>
      </c>
      <c r="G176" s="6" t="n">
        <v>4.71</v>
      </c>
      <c r="H176" s="6" t="inlineStr">
        <is>
          <t>millones oz</t>
        </is>
      </c>
      <c r="I176" s="6" t="n"/>
      <c r="J176" s="6" t="n">
        <v>181.86</v>
      </c>
      <c r="K176" s="6" t="inlineStr">
        <is>
          <t>millones oz</t>
        </is>
      </c>
      <c r="L176" s="5" t="inlineStr">
        <is>
          <t>Informe CAMIMEX 2024</t>
        </is>
      </c>
      <c r="M176" s="6" t="n">
        <v>51</v>
      </c>
      <c r="N176" s="5" t="n"/>
      <c r="O176" s="11">
        <f>IF(AND(ISNUMBER(G176),ISNUMBER(J176),J176&lt;&gt;0,H176=K176),G176/J176*100,"")</f>
        <v/>
      </c>
      <c r="P176" s="11">
        <f>IF(AND(ISNUMBER(O176),ISNUMBER(I176)),ROUND(O176-I176,2),"")</f>
        <v/>
      </c>
    </row>
    <row r="177">
      <c r="A177" s="9" t="inlineStr">
        <is>
          <t>Plata</t>
        </is>
      </c>
      <c r="B177" s="9" t="n">
        <v>2023</v>
      </c>
      <c r="C177" s="9" t="inlineStr">
        <is>
          <t>mina</t>
        </is>
      </c>
      <c r="D177" s="9" t="inlineStr">
        <is>
          <t>Fresnillo</t>
        </is>
      </c>
      <c r="E177" s="9" t="inlineStr">
        <is>
          <t>Fresnillo plc</t>
        </is>
      </c>
      <c r="F177" s="9" t="inlineStr">
        <is>
          <t>Zac.</t>
        </is>
      </c>
      <c r="G177" s="9" t="n">
        <v>12.77</v>
      </c>
      <c r="H177" s="9" t="inlineStr">
        <is>
          <t>millones oz</t>
        </is>
      </c>
      <c r="I177" s="9" t="n"/>
      <c r="J177" s="9" t="n">
        <v>181.86</v>
      </c>
      <c r="K177" s="9" t="inlineStr">
        <is>
          <t>millones oz</t>
        </is>
      </c>
      <c r="L177" s="8" t="inlineStr">
        <is>
          <t>Informe CAMIMEX 2024</t>
        </is>
      </c>
      <c r="M177" s="9" t="n">
        <v>51</v>
      </c>
      <c r="N177" s="8" t="n"/>
      <c r="O177" s="11">
        <f>IF(AND(ISNUMBER(G177),ISNUMBER(J177),J177&lt;&gt;0,H177=K177),G177/J177*100,"")</f>
        <v/>
      </c>
      <c r="P177" s="11">
        <f>IF(AND(ISNUMBER(O177),ISNUMBER(I177)),ROUND(O177-I177,2),"")</f>
        <v/>
      </c>
    </row>
    <row r="178">
      <c r="A178" s="6" t="inlineStr">
        <is>
          <t>Plata</t>
        </is>
      </c>
      <c r="B178" s="6" t="n">
        <v>2023</v>
      </c>
      <c r="C178" s="6" t="inlineStr">
        <is>
          <t>mina</t>
        </is>
      </c>
      <c r="D178" s="6" t="inlineStr">
        <is>
          <t>Guanacevi</t>
        </is>
      </c>
      <c r="E178" s="6" t="inlineStr">
        <is>
          <t>Endeavour Silver</t>
        </is>
      </c>
      <c r="F178" s="6" t="inlineStr">
        <is>
          <t>Dgo.</t>
        </is>
      </c>
      <c r="G178" s="6" t="n">
        <v>5.1</v>
      </c>
      <c r="H178" s="6" t="inlineStr">
        <is>
          <t>millones oz</t>
        </is>
      </c>
      <c r="I178" s="6" t="n"/>
      <c r="J178" s="6" t="n">
        <v>181.86</v>
      </c>
      <c r="K178" s="6" t="inlineStr">
        <is>
          <t>millones oz</t>
        </is>
      </c>
      <c r="L178" s="5" t="inlineStr">
        <is>
          <t>Informe CAMIMEX 2024</t>
        </is>
      </c>
      <c r="M178" s="6" t="n">
        <v>51</v>
      </c>
      <c r="N178" s="5" t="n"/>
      <c r="O178" s="11">
        <f>IF(AND(ISNUMBER(G178),ISNUMBER(J178),J178&lt;&gt;0,H178=K178),G178/J178*100,"")</f>
        <v/>
      </c>
      <c r="P178" s="11">
        <f>IF(AND(ISNUMBER(O178),ISNUMBER(I178)),ROUND(O178-I178,2),"")</f>
        <v/>
      </c>
    </row>
    <row r="179">
      <c r="A179" s="9" t="inlineStr">
        <is>
          <t>Plata</t>
        </is>
      </c>
      <c r="B179" s="9" t="n">
        <v>2023</v>
      </c>
      <c r="C179" s="9" t="inlineStr">
        <is>
          <t>mina</t>
        </is>
      </c>
      <c r="D179" s="9" t="inlineStr">
        <is>
          <t>Juanicipio</t>
        </is>
      </c>
      <c r="E179" s="9" t="inlineStr">
        <is>
          <t>Fresnillo plc</t>
        </is>
      </c>
      <c r="F179" s="9" t="inlineStr">
        <is>
          <t>Zac.</t>
        </is>
      </c>
      <c r="G179" s="9" t="n">
        <v>9.41</v>
      </c>
      <c r="H179" s="9" t="inlineStr">
        <is>
          <t>millones oz</t>
        </is>
      </c>
      <c r="I179" s="9" t="n"/>
      <c r="J179" s="9" t="n">
        <v>181.86</v>
      </c>
      <c r="K179" s="9" t="inlineStr">
        <is>
          <t>millones oz</t>
        </is>
      </c>
      <c r="L179" s="8" t="inlineStr">
        <is>
          <t>Informe CAMIMEX 2024</t>
        </is>
      </c>
      <c r="M179" s="9" t="n">
        <v>51</v>
      </c>
      <c r="N179" s="8" t="n"/>
      <c r="O179" s="11">
        <f>IF(AND(ISNUMBER(G179),ISNUMBER(J179),J179&lt;&gt;0,H179=K179),G179/J179*100,"")</f>
        <v/>
      </c>
      <c r="P179" s="11">
        <f>IF(AND(ISNUMBER(O179),ISNUMBER(I179)),ROUND(O179-I179,2),"")</f>
        <v/>
      </c>
    </row>
    <row r="180">
      <c r="A180" s="6" t="inlineStr">
        <is>
          <t>Plata</t>
        </is>
      </c>
      <c r="B180" s="6" t="n">
        <v>2023</v>
      </c>
      <c r="C180" s="6" t="inlineStr">
        <is>
          <t>mina</t>
        </is>
      </c>
      <c r="D180" s="6" t="inlineStr">
        <is>
          <t>La Colorada</t>
        </is>
      </c>
      <c r="E180" s="6" t="inlineStr">
        <is>
          <t>Pan American Silver</t>
        </is>
      </c>
      <c r="F180" s="6" t="inlineStr">
        <is>
          <t>Zac.</t>
        </is>
      </c>
      <c r="G180" s="6" t="n">
        <v>4.39</v>
      </c>
      <c r="H180" s="6" t="inlineStr">
        <is>
          <t>millones oz</t>
        </is>
      </c>
      <c r="I180" s="6" t="n"/>
      <c r="J180" s="6" t="n">
        <v>181.86</v>
      </c>
      <c r="K180" s="6" t="inlineStr">
        <is>
          <t>millones oz</t>
        </is>
      </c>
      <c r="L180" s="5" t="inlineStr">
        <is>
          <t>Informe CAMIMEX 2024</t>
        </is>
      </c>
      <c r="M180" s="6" t="n">
        <v>51</v>
      </c>
      <c r="N180" s="5" t="inlineStr">
        <is>
          <t>Top-15 suma 123.72</t>
        </is>
      </c>
      <c r="O180" s="11">
        <f>IF(AND(ISNUMBER(G180),ISNUMBER(J180),J180&lt;&gt;0,H180=K180),G180/J180*100,"")</f>
        <v/>
      </c>
      <c r="P180" s="11">
        <f>IF(AND(ISNUMBER(O180),ISNUMBER(I180)),ROUND(O180-I180,2),"")</f>
        <v/>
      </c>
    </row>
    <row r="181">
      <c r="A181" s="9" t="inlineStr">
        <is>
          <t>Plata</t>
        </is>
      </c>
      <c r="B181" s="9" t="n">
        <v>2023</v>
      </c>
      <c r="C181" s="9" t="inlineStr">
        <is>
          <t>mina</t>
        </is>
      </c>
      <c r="D181" s="9" t="inlineStr">
        <is>
          <t>Las Chispas</t>
        </is>
      </c>
      <c r="E181" s="9" t="inlineStr">
        <is>
          <t>Silvercrest Metals</t>
        </is>
      </c>
      <c r="F181" s="9" t="inlineStr">
        <is>
          <t>Son.</t>
        </is>
      </c>
      <c r="G181" s="9" t="n">
        <v>5.65</v>
      </c>
      <c r="H181" s="9" t="inlineStr">
        <is>
          <t>millones oz</t>
        </is>
      </c>
      <c r="I181" s="9" t="n"/>
      <c r="J181" s="9" t="n">
        <v>181.86</v>
      </c>
      <c r="K181" s="9" t="inlineStr">
        <is>
          <t>millones oz</t>
        </is>
      </c>
      <c r="L181" s="8" t="inlineStr">
        <is>
          <t>Informe CAMIMEX 2024</t>
        </is>
      </c>
      <c r="M181" s="9" t="n">
        <v>51</v>
      </c>
      <c r="N181" s="8" t="n"/>
      <c r="O181" s="11">
        <f>IF(AND(ISNUMBER(G181),ISNUMBER(J181),J181&lt;&gt;0,H181=K181),G181/J181*100,"")</f>
        <v/>
      </c>
      <c r="P181" s="11">
        <f>IF(AND(ISNUMBER(O181),ISNUMBER(I181)),ROUND(O181-I181,2),"")</f>
        <v/>
      </c>
    </row>
    <row r="182">
      <c r="A182" s="6" t="inlineStr">
        <is>
          <t>Plata</t>
        </is>
      </c>
      <c r="B182" s="6" t="n">
        <v>2023</v>
      </c>
      <c r="C182" s="6" t="inlineStr">
        <is>
          <t>mina</t>
        </is>
      </c>
      <c r="D182" s="6" t="inlineStr">
        <is>
          <t>Los Gatos</t>
        </is>
      </c>
      <c r="E182" s="6" t="inlineStr">
        <is>
          <t>Gatos Silver</t>
        </is>
      </c>
      <c r="F182" s="6" t="inlineStr">
        <is>
          <t>Chih.</t>
        </is>
      </c>
      <c r="G182" s="6" t="n">
        <v>9.199999999999999</v>
      </c>
      <c r="H182" s="6" t="inlineStr">
        <is>
          <t>millones oz</t>
        </is>
      </c>
      <c r="I182" s="6" t="n"/>
      <c r="J182" s="6" t="n">
        <v>181.86</v>
      </c>
      <c r="K182" s="6" t="inlineStr">
        <is>
          <t>millones oz</t>
        </is>
      </c>
      <c r="L182" s="5" t="inlineStr">
        <is>
          <t>Informe CAMIMEX 2024</t>
        </is>
      </c>
      <c r="M182" s="6" t="n">
        <v>51</v>
      </c>
      <c r="N182" s="5" t="inlineStr">
        <is>
          <t>Adquirida por First Majestic en 2025</t>
        </is>
      </c>
      <c r="O182" s="11">
        <f>IF(AND(ISNUMBER(G182),ISNUMBER(J182),J182&lt;&gt;0,H182=K182),G182/J182*100,"")</f>
        <v/>
      </c>
      <c r="P182" s="11">
        <f>IF(AND(ISNUMBER(O182),ISNUMBER(I182)),ROUND(O182-I182,2),"")</f>
        <v/>
      </c>
    </row>
    <row r="183">
      <c r="A183" s="9" t="inlineStr">
        <is>
          <t>Plata</t>
        </is>
      </c>
      <c r="B183" s="9" t="n">
        <v>2023</v>
      </c>
      <c r="C183" s="9" t="inlineStr">
        <is>
          <t>mina</t>
        </is>
      </c>
      <c r="D183" s="9" t="inlineStr">
        <is>
          <t>Palmarejo</t>
        </is>
      </c>
      <c r="E183" s="9" t="inlineStr">
        <is>
          <t>Coeur Mining</t>
        </is>
      </c>
      <c r="F183" s="9" t="inlineStr">
        <is>
          <t>Chih.</t>
        </is>
      </c>
      <c r="G183" s="9" t="n">
        <v>6.59</v>
      </c>
      <c r="H183" s="9" t="inlineStr">
        <is>
          <t>millones oz</t>
        </is>
      </c>
      <c r="I183" s="9" t="n"/>
      <c r="J183" s="9" t="n">
        <v>181.86</v>
      </c>
      <c r="K183" s="9" t="inlineStr">
        <is>
          <t>millones oz</t>
        </is>
      </c>
      <c r="L183" s="8" t="inlineStr">
        <is>
          <t>Informe CAMIMEX 2024</t>
        </is>
      </c>
      <c r="M183" s="9" t="n">
        <v>51</v>
      </c>
      <c r="N183" s="8" t="n"/>
      <c r="O183" s="11">
        <f>IF(AND(ISNUMBER(G183),ISNUMBER(J183),J183&lt;&gt;0,H183=K183),G183/J183*100,"")</f>
        <v/>
      </c>
      <c r="P183" s="11">
        <f>IF(AND(ISNUMBER(O183),ISNUMBER(I183)),ROUND(O183-I183,2),"")</f>
        <v/>
      </c>
    </row>
    <row r="184">
      <c r="A184" s="6" t="inlineStr">
        <is>
          <t>Plata</t>
        </is>
      </c>
      <c r="B184" s="6" t="n">
        <v>2023</v>
      </c>
      <c r="C184" s="6" t="inlineStr">
        <is>
          <t>mina</t>
        </is>
      </c>
      <c r="D184" s="6" t="inlineStr">
        <is>
          <t>Penasquito</t>
        </is>
      </c>
      <c r="E184" s="6" t="inlineStr">
        <is>
          <t>Newmont</t>
        </is>
      </c>
      <c r="F184" s="6" t="inlineStr">
        <is>
          <t>Zac.</t>
        </is>
      </c>
      <c r="G184" s="6" t="n">
        <v>18</v>
      </c>
      <c r="H184" s="6" t="inlineStr">
        <is>
          <t>millones oz</t>
        </is>
      </c>
      <c r="I184" s="6" t="n"/>
      <c r="J184" s="6" t="n">
        <v>181.86</v>
      </c>
      <c r="K184" s="6" t="inlineStr">
        <is>
          <t>millones oz</t>
        </is>
      </c>
      <c r="L184" s="5" t="inlineStr">
        <is>
          <t>Informe CAMIMEX 2024</t>
        </is>
      </c>
      <c r="M184" s="6" t="n">
        <v>51</v>
      </c>
      <c r="N184" s="5" t="inlineStr">
        <is>
          <t>Tabla top-15 verificada en imagen; huelga 4 meses -39.2%</t>
        </is>
      </c>
      <c r="O184" s="11">
        <f>IF(AND(ISNUMBER(G184),ISNUMBER(J184),J184&lt;&gt;0,H184=K184),G184/J184*100,"")</f>
        <v/>
      </c>
      <c r="P184" s="11">
        <f>IF(AND(ISNUMBER(O184),ISNUMBER(I184)),ROUND(O184-I184,2),"")</f>
        <v/>
      </c>
    </row>
    <row r="185">
      <c r="A185" s="9" t="inlineStr">
        <is>
          <t>Plata</t>
        </is>
      </c>
      <c r="B185" s="9" t="n">
        <v>2023</v>
      </c>
      <c r="C185" s="9" t="inlineStr">
        <is>
          <t>mina</t>
        </is>
      </c>
      <c r="D185" s="9" t="inlineStr">
        <is>
          <t>San Dimas</t>
        </is>
      </c>
      <c r="E185" s="9" t="inlineStr">
        <is>
          <t>First Majestic Silver</t>
        </is>
      </c>
      <c r="F185" s="9" t="inlineStr">
        <is>
          <t>Dgo.</t>
        </is>
      </c>
      <c r="G185" s="9" t="n">
        <v>6.35</v>
      </c>
      <c r="H185" s="9" t="inlineStr">
        <is>
          <t>millones oz</t>
        </is>
      </c>
      <c r="I185" s="9" t="n"/>
      <c r="J185" s="9" t="n">
        <v>181.86</v>
      </c>
      <c r="K185" s="9" t="inlineStr">
        <is>
          <t>millones oz</t>
        </is>
      </c>
      <c r="L185" s="8" t="inlineStr">
        <is>
          <t>Informe CAMIMEX 2024</t>
        </is>
      </c>
      <c r="M185" s="9" t="n">
        <v>51</v>
      </c>
      <c r="N185" s="8" t="n"/>
      <c r="O185" s="11">
        <f>IF(AND(ISNUMBER(G185),ISNUMBER(J185),J185&lt;&gt;0,H185=K185),G185/J185*100,"")</f>
        <v/>
      </c>
      <c r="P185" s="11">
        <f>IF(AND(ISNUMBER(O185),ISNUMBER(I185)),ROUND(O185-I185,2),"")</f>
        <v/>
      </c>
    </row>
    <row r="186">
      <c r="A186" s="6" t="inlineStr">
        <is>
          <t>Plata</t>
        </is>
      </c>
      <c r="B186" s="6" t="n">
        <v>2023</v>
      </c>
      <c r="C186" s="6" t="inlineStr">
        <is>
          <t>mina</t>
        </is>
      </c>
      <c r="D186" s="6" t="inlineStr">
        <is>
          <t>San Jose</t>
        </is>
      </c>
      <c r="E186" s="6" t="inlineStr">
        <is>
          <t>Fortuna Mining</t>
        </is>
      </c>
      <c r="F186" s="6" t="inlineStr">
        <is>
          <t>Oax.</t>
        </is>
      </c>
      <c r="G186" s="6" t="n">
        <v>4.66</v>
      </c>
      <c r="H186" s="6" t="inlineStr">
        <is>
          <t>millones oz</t>
        </is>
      </c>
      <c r="I186" s="6" t="n"/>
      <c r="J186" s="6" t="n">
        <v>181.86</v>
      </c>
      <c r="K186" s="6" t="inlineStr">
        <is>
          <t>millones oz</t>
        </is>
      </c>
      <c r="L186" s="5" t="inlineStr">
        <is>
          <t>Informe CAMIMEX 2024</t>
        </is>
      </c>
      <c r="M186" s="6" t="n">
        <v>51</v>
      </c>
      <c r="N186" s="5" t="n"/>
      <c r="O186" s="11">
        <f>IF(AND(ISNUMBER(G186),ISNUMBER(J186),J186&lt;&gt;0,H186=K186),G186/J186*100,"")</f>
        <v/>
      </c>
      <c r="P186" s="11">
        <f>IF(AND(ISNUMBER(O186),ISNUMBER(I186)),ROUND(O186-I186,2),"")</f>
        <v/>
      </c>
    </row>
    <row r="187">
      <c r="A187" s="9" t="inlineStr">
        <is>
          <t>Plata</t>
        </is>
      </c>
      <c r="B187" s="9" t="n">
        <v>2023</v>
      </c>
      <c r="C187" s="9" t="inlineStr">
        <is>
          <t>mina</t>
        </is>
      </c>
      <c r="D187" s="9" t="inlineStr">
        <is>
          <t>San Julian</t>
        </is>
      </c>
      <c r="E187" s="9" t="inlineStr">
        <is>
          <t>Fresnillo plc</t>
        </is>
      </c>
      <c r="F187" s="9" t="inlineStr">
        <is>
          <t>Chih.</t>
        </is>
      </c>
      <c r="G187" s="9" t="n">
        <v>13.35</v>
      </c>
      <c r="H187" s="9" t="inlineStr">
        <is>
          <t>millones oz</t>
        </is>
      </c>
      <c r="I187" s="9" t="n"/>
      <c r="J187" s="9" t="n">
        <v>181.86</v>
      </c>
      <c r="K187" s="9" t="inlineStr">
        <is>
          <t>millones oz</t>
        </is>
      </c>
      <c r="L187" s="8" t="inlineStr">
        <is>
          <t>Informe CAMIMEX 2024</t>
        </is>
      </c>
      <c r="M187" s="9" t="n">
        <v>51</v>
      </c>
      <c r="N187" s="8" t="n"/>
      <c r="O187" s="11">
        <f>IF(AND(ISNUMBER(G187),ISNUMBER(J187),J187&lt;&gt;0,H187=K187),G187/J187*100,"")</f>
        <v/>
      </c>
      <c r="P187" s="11">
        <f>IF(AND(ISNUMBER(O187),ISNUMBER(I187)),ROUND(O187-I187,2),"")</f>
        <v/>
      </c>
    </row>
    <row r="188">
      <c r="A188" s="6" t="inlineStr">
        <is>
          <t>Plata</t>
        </is>
      </c>
      <c r="B188" s="6" t="n">
        <v>2023</v>
      </c>
      <c r="C188" s="6" t="inlineStr">
        <is>
          <t>mina</t>
        </is>
      </c>
      <c r="D188" s="6" t="inlineStr">
        <is>
          <t>Saucito</t>
        </is>
      </c>
      <c r="E188" s="6" t="inlineStr">
        <is>
          <t>Fresnillo plc</t>
        </is>
      </c>
      <c r="F188" s="6" t="inlineStr">
        <is>
          <t>Zac.</t>
        </is>
      </c>
      <c r="G188" s="6" t="n">
        <v>12.96</v>
      </c>
      <c r="H188" s="6" t="inlineStr">
        <is>
          <t>millones oz</t>
        </is>
      </c>
      <c r="I188" s="6" t="n"/>
      <c r="J188" s="6" t="n">
        <v>181.86</v>
      </c>
      <c r="K188" s="6" t="inlineStr">
        <is>
          <t>millones oz</t>
        </is>
      </c>
      <c r="L188" s="5" t="inlineStr">
        <is>
          <t>Informe CAMIMEX 2024</t>
        </is>
      </c>
      <c r="M188" s="6" t="n">
        <v>51</v>
      </c>
      <c r="N188" s="5" t="n"/>
      <c r="O188" s="11">
        <f>IF(AND(ISNUMBER(G188),ISNUMBER(J188),J188&lt;&gt;0,H188=K188),G188/J188*100,"")</f>
        <v/>
      </c>
      <c r="P188" s="11">
        <f>IF(AND(ISNUMBER(O188),ISNUMBER(I188)),ROUND(O188-I188,2),"")</f>
        <v/>
      </c>
    </row>
    <row r="189">
      <c r="A189" s="9" t="inlineStr">
        <is>
          <t>Plata</t>
        </is>
      </c>
      <c r="B189" s="9" t="n">
        <v>2023</v>
      </c>
      <c r="C189" s="9" t="inlineStr">
        <is>
          <t>mina</t>
        </is>
      </c>
      <c r="D189" s="9" t="inlineStr">
        <is>
          <t>Tizapa</t>
        </is>
      </c>
      <c r="E189" s="9" t="inlineStr">
        <is>
          <t>Industrias Penoles</t>
        </is>
      </c>
      <c r="F189" s="9" t="inlineStr">
        <is>
          <t>Edo. de Mex.</t>
        </is>
      </c>
      <c r="G189" s="9" t="n">
        <v>5.89</v>
      </c>
      <c r="H189" s="9" t="inlineStr">
        <is>
          <t>millones oz</t>
        </is>
      </c>
      <c r="I189" s="9" t="n"/>
      <c r="J189" s="9" t="n">
        <v>181.86</v>
      </c>
      <c r="K189" s="9" t="inlineStr">
        <is>
          <t>millones oz</t>
        </is>
      </c>
      <c r="L189" s="8" t="inlineStr">
        <is>
          <t>Informe CAMIMEX 2024</t>
        </is>
      </c>
      <c r="M189" s="9" t="n">
        <v>51</v>
      </c>
      <c r="N189" s="8" t="n"/>
      <c r="O189" s="11">
        <f>IF(AND(ISNUMBER(G189),ISNUMBER(J189),J189&lt;&gt;0,H189=K189),G189/J189*100,"")</f>
        <v/>
      </c>
      <c r="P189" s="11">
        <f>IF(AND(ISNUMBER(O189),ISNUMBER(I189)),ROUND(O189-I189,2),"")</f>
        <v/>
      </c>
    </row>
    <row r="190">
      <c r="A190" s="6" t="inlineStr">
        <is>
          <t>Plata</t>
        </is>
      </c>
      <c r="B190" s="6" t="n">
        <v>2024</v>
      </c>
      <c r="C190" s="6" t="inlineStr">
        <is>
          <t>empresa</t>
        </is>
      </c>
      <c r="D190" s="6" t="n"/>
      <c r="E190" s="6" t="inlineStr">
        <is>
          <t>Fresnillo plc</t>
        </is>
      </c>
      <c r="F190" s="6" t="n"/>
      <c r="G190" s="6" t="n"/>
      <c r="H190" s="6" t="n"/>
      <c r="I190" s="6" t="n">
        <v>30</v>
      </c>
      <c r="J190" s="6" t="n">
        <v>181</v>
      </c>
      <c r="K190" s="6" t="inlineStr">
        <is>
          <t>millones oz</t>
        </is>
      </c>
      <c r="L190" s="5" t="inlineStr">
        <is>
          <t>Informe CAMIMEX 2025</t>
        </is>
      </c>
      <c r="M190" s="6" t="n">
        <v>43</v>
      </c>
      <c r="N190" s="5" t="inlineStr">
        <is>
          <t>Narrativa: 30% nacional y 6.6% mundial; siguen Newmont First Majestic Grupo Mexico Coeur</t>
        </is>
      </c>
      <c r="O190" s="11">
        <f>IF(AND(ISNUMBER(G190),ISNUMBER(J190),J190&lt;&gt;0,H190=K190),G190/J190*100,"")</f>
        <v/>
      </c>
      <c r="P190" s="11">
        <f>IF(AND(ISNUMBER(O190),ISNUMBER(I190)),ROUND(O190-I190,2),"")</f>
        <v/>
      </c>
    </row>
    <row r="191">
      <c r="A191" s="9" t="inlineStr">
        <is>
          <t>Plata</t>
        </is>
      </c>
      <c r="B191" s="9" t="n">
        <v>2024</v>
      </c>
      <c r="C191" s="9" t="inlineStr">
        <is>
          <t>mina</t>
        </is>
      </c>
      <c r="D191" s="9" t="inlineStr">
        <is>
          <t>Buenavista del Cobre</t>
        </is>
      </c>
      <c r="E191" s="9" t="inlineStr">
        <is>
          <t>Grupo Mexico</t>
        </is>
      </c>
      <c r="F191" s="9" t="inlineStr">
        <is>
          <t>Son.</t>
        </is>
      </c>
      <c r="G191" s="9" t="n">
        <v>6.3</v>
      </c>
      <c r="H191" s="9" t="inlineStr">
        <is>
          <t>millones oz</t>
        </is>
      </c>
      <c r="I191" s="9" t="n"/>
      <c r="J191" s="9" t="n">
        <v>181</v>
      </c>
      <c r="K191" s="9" t="inlineStr">
        <is>
          <t>millones oz</t>
        </is>
      </c>
      <c r="L191" s="8" t="inlineStr">
        <is>
          <t>Informe CAMIMEX 2025</t>
        </is>
      </c>
      <c r="M191" s="9" t="n">
        <v>43</v>
      </c>
      <c r="N191" s="8" t="n"/>
      <c r="O191" s="11">
        <f>IF(AND(ISNUMBER(G191),ISNUMBER(J191),J191&lt;&gt;0,H191=K191),G191/J191*100,"")</f>
        <v/>
      </c>
      <c r="P191" s="11">
        <f>IF(AND(ISNUMBER(O191),ISNUMBER(I191)),ROUND(O191-I191,2),"")</f>
        <v/>
      </c>
    </row>
    <row r="192">
      <c r="A192" s="6" t="inlineStr">
        <is>
          <t>Plata</t>
        </is>
      </c>
      <c r="B192" s="6" t="n">
        <v>2024</v>
      </c>
      <c r="C192" s="6" t="inlineStr">
        <is>
          <t>mina</t>
        </is>
      </c>
      <c r="D192" s="6" t="inlineStr">
        <is>
          <t>El Herrero</t>
        </is>
      </c>
      <c r="E192" s="6" t="inlineStr">
        <is>
          <t>Minas de Bacis</t>
        </is>
      </c>
      <c r="F192" s="6" t="inlineStr">
        <is>
          <t>Dgo.</t>
        </is>
      </c>
      <c r="G192" s="6" t="n">
        <v>7.58</v>
      </c>
      <c r="H192" s="6" t="inlineStr">
        <is>
          <t>millones oz</t>
        </is>
      </c>
      <c r="I192" s="6" t="n"/>
      <c r="J192" s="6" t="n">
        <v>181</v>
      </c>
      <c r="K192" s="6" t="inlineStr">
        <is>
          <t>millones oz</t>
        </is>
      </c>
      <c r="L192" s="5" t="inlineStr">
        <is>
          <t>Informe CAMIMEX 2025</t>
        </is>
      </c>
      <c r="M192" s="6" t="n">
        <v>43</v>
      </c>
      <c r="N192" s="5" t="n"/>
      <c r="O192" s="11">
        <f>IF(AND(ISNUMBER(G192),ISNUMBER(J192),J192&lt;&gt;0,H192=K192),G192/J192*100,"")</f>
        <v/>
      </c>
      <c r="P192" s="11">
        <f>IF(AND(ISNUMBER(O192),ISNUMBER(I192)),ROUND(O192-I192,2),"")</f>
        <v/>
      </c>
    </row>
    <row r="193">
      <c r="A193" s="9" t="inlineStr">
        <is>
          <t>Plata</t>
        </is>
      </c>
      <c r="B193" s="9" t="n">
        <v>2024</v>
      </c>
      <c r="C193" s="9" t="inlineStr">
        <is>
          <t>mina</t>
        </is>
      </c>
      <c r="D193" s="9" t="inlineStr">
        <is>
          <t>Fresnillo</t>
        </is>
      </c>
      <c r="E193" s="9" t="inlineStr">
        <is>
          <t>Fresnillo plc</t>
        </is>
      </c>
      <c r="F193" s="9" t="inlineStr">
        <is>
          <t>Zac.</t>
        </is>
      </c>
      <c r="G193" s="9" t="n">
        <v>10.24</v>
      </c>
      <c r="H193" s="9" t="inlineStr">
        <is>
          <t>millones oz</t>
        </is>
      </c>
      <c r="I193" s="9" t="n"/>
      <c r="J193" s="9" t="n">
        <v>181</v>
      </c>
      <c r="K193" s="9" t="inlineStr">
        <is>
          <t>millones oz</t>
        </is>
      </c>
      <c r="L193" s="8" t="inlineStr">
        <is>
          <t>Informe CAMIMEX 2025</t>
        </is>
      </c>
      <c r="M193" s="9" t="n">
        <v>43</v>
      </c>
      <c r="N193" s="8" t="n"/>
      <c r="O193" s="11">
        <f>IF(AND(ISNUMBER(G193),ISNUMBER(J193),J193&lt;&gt;0,H193=K193),G193/J193*100,"")</f>
        <v/>
      </c>
      <c r="P193" s="11">
        <f>IF(AND(ISNUMBER(O193),ISNUMBER(I193)),ROUND(O193-I193,2),"")</f>
        <v/>
      </c>
    </row>
    <row r="194">
      <c r="A194" s="6" t="inlineStr">
        <is>
          <t>Plata</t>
        </is>
      </c>
      <c r="B194" s="6" t="n">
        <v>2024</v>
      </c>
      <c r="C194" s="6" t="inlineStr">
        <is>
          <t>mina</t>
        </is>
      </c>
      <c r="D194" s="6" t="inlineStr">
        <is>
          <t>Juanicipio</t>
        </is>
      </c>
      <c r="E194" s="6" t="inlineStr">
        <is>
          <t>Fresnillo plc</t>
        </is>
      </c>
      <c r="F194" s="6" t="inlineStr">
        <is>
          <t>Zac.</t>
        </is>
      </c>
      <c r="G194" s="6" t="n">
        <v>10.4</v>
      </c>
      <c r="H194" s="6" t="inlineStr">
        <is>
          <t>millones oz</t>
        </is>
      </c>
      <c r="I194" s="6" t="n"/>
      <c r="J194" s="6" t="n">
        <v>181</v>
      </c>
      <c r="K194" s="6" t="inlineStr">
        <is>
          <t>millones oz</t>
        </is>
      </c>
      <c r="L194" s="5" t="inlineStr">
        <is>
          <t>Informe CAMIMEX 2025</t>
        </is>
      </c>
      <c r="M194" s="6" t="n">
        <v>43</v>
      </c>
      <c r="N194" s="5" t="n"/>
      <c r="O194" s="11">
        <f>IF(AND(ISNUMBER(G194),ISNUMBER(J194),J194&lt;&gt;0,H194=K194),G194/J194*100,"")</f>
        <v/>
      </c>
      <c r="P194" s="11">
        <f>IF(AND(ISNUMBER(O194),ISNUMBER(I194)),ROUND(O194-I194,2),"")</f>
        <v/>
      </c>
    </row>
    <row r="195">
      <c r="A195" s="9" t="inlineStr">
        <is>
          <t>Plata</t>
        </is>
      </c>
      <c r="B195" s="9" t="n">
        <v>2024</v>
      </c>
      <c r="C195" s="9" t="inlineStr">
        <is>
          <t>mina</t>
        </is>
      </c>
      <c r="D195" s="9" t="inlineStr">
        <is>
          <t>La Colorada</t>
        </is>
      </c>
      <c r="E195" s="9" t="inlineStr">
        <is>
          <t>Pan American Silver</t>
        </is>
      </c>
      <c r="F195" s="9" t="inlineStr">
        <is>
          <t>Zac.</t>
        </is>
      </c>
      <c r="G195" s="9" t="n">
        <v>4.88</v>
      </c>
      <c r="H195" s="9" t="inlineStr">
        <is>
          <t>millones oz</t>
        </is>
      </c>
      <c r="I195" s="9" t="n"/>
      <c r="J195" s="9" t="n">
        <v>181</v>
      </c>
      <c r="K195" s="9" t="inlineStr">
        <is>
          <t>millones oz</t>
        </is>
      </c>
      <c r="L195" s="8" t="inlineStr">
        <is>
          <t>Informe CAMIMEX 2025</t>
        </is>
      </c>
      <c r="M195" s="9" t="n">
        <v>43</v>
      </c>
      <c r="N195" s="8" t="inlineStr">
        <is>
          <t>Top-10 suma 113.19</t>
        </is>
      </c>
      <c r="O195" s="11">
        <f>IF(AND(ISNUMBER(G195),ISNUMBER(J195),J195&lt;&gt;0,H195=K195),G195/J195*100,"")</f>
        <v/>
      </c>
      <c r="P195" s="11">
        <f>IF(AND(ISNUMBER(O195),ISNUMBER(I195)),ROUND(O195-I195,2),"")</f>
        <v/>
      </c>
    </row>
    <row r="196">
      <c r="A196" s="6" t="inlineStr">
        <is>
          <t>Plata</t>
        </is>
      </c>
      <c r="B196" s="6" t="n">
        <v>2024</v>
      </c>
      <c r="C196" s="6" t="inlineStr">
        <is>
          <t>mina</t>
        </is>
      </c>
      <c r="D196" s="6" t="inlineStr">
        <is>
          <t>Las Chispas</t>
        </is>
      </c>
      <c r="E196" s="6" t="inlineStr">
        <is>
          <t>Coeur Mining</t>
        </is>
      </c>
      <c r="F196" s="6" t="inlineStr">
        <is>
          <t>Son.</t>
        </is>
      </c>
      <c r="G196" s="6" t="n">
        <v>5.76</v>
      </c>
      <c r="H196" s="6" t="inlineStr">
        <is>
          <t>millones oz</t>
        </is>
      </c>
      <c r="I196" s="6" t="n"/>
      <c r="J196" s="6" t="n">
        <v>181</v>
      </c>
      <c r="K196" s="6" t="inlineStr">
        <is>
          <t>millones oz</t>
        </is>
      </c>
      <c r="L196" s="5" t="inlineStr">
        <is>
          <t>Informe CAMIMEX 2025</t>
        </is>
      </c>
      <c r="M196" s="6" t="n">
        <v>43</v>
      </c>
      <c r="N196" s="5" t="inlineStr">
        <is>
          <t>Atribuida a Coeur (adquisicion SilverCrest)</t>
        </is>
      </c>
      <c r="O196" s="11">
        <f>IF(AND(ISNUMBER(G196),ISNUMBER(J196),J196&lt;&gt;0,H196=K196),G196/J196*100,"")</f>
        <v/>
      </c>
      <c r="P196" s="11">
        <f>IF(AND(ISNUMBER(O196),ISNUMBER(I196)),ROUND(O196-I196,2),"")</f>
        <v/>
      </c>
    </row>
    <row r="197">
      <c r="A197" s="9" t="inlineStr">
        <is>
          <t>Plata</t>
        </is>
      </c>
      <c r="B197" s="9" t="n">
        <v>2024</v>
      </c>
      <c r="C197" s="9" t="inlineStr">
        <is>
          <t>mina</t>
        </is>
      </c>
      <c r="D197" s="9" t="inlineStr">
        <is>
          <t>Palmarejo</t>
        </is>
      </c>
      <c r="E197" s="9" t="inlineStr">
        <is>
          <t>Coeur Mining</t>
        </is>
      </c>
      <c r="F197" s="9" t="inlineStr">
        <is>
          <t>Chih.</t>
        </is>
      </c>
      <c r="G197" s="9" t="n">
        <v>6.78</v>
      </c>
      <c r="H197" s="9" t="inlineStr">
        <is>
          <t>millones oz</t>
        </is>
      </c>
      <c r="I197" s="9" t="n"/>
      <c r="J197" s="9" t="n">
        <v>181</v>
      </c>
      <c r="K197" s="9" t="inlineStr">
        <is>
          <t>millones oz</t>
        </is>
      </c>
      <c r="L197" s="8" t="inlineStr">
        <is>
          <t>Informe CAMIMEX 2025</t>
        </is>
      </c>
      <c r="M197" s="9" t="n">
        <v>43</v>
      </c>
      <c r="N197" s="8" t="n"/>
      <c r="O197" s="11">
        <f>IF(AND(ISNUMBER(G197),ISNUMBER(J197),J197&lt;&gt;0,H197=K197),G197/J197*100,"")</f>
        <v/>
      </c>
      <c r="P197" s="11">
        <f>IF(AND(ISNUMBER(O197),ISNUMBER(I197)),ROUND(O197-I197,2),"")</f>
        <v/>
      </c>
    </row>
    <row r="198">
      <c r="A198" s="6" t="inlineStr">
        <is>
          <t>Plata</t>
        </is>
      </c>
      <c r="B198" s="6" t="n">
        <v>2024</v>
      </c>
      <c r="C198" s="6" t="inlineStr">
        <is>
          <t>mina</t>
        </is>
      </c>
      <c r="D198" s="6" t="inlineStr">
        <is>
          <t>Penasquito</t>
        </is>
      </c>
      <c r="E198" s="6" t="inlineStr">
        <is>
          <t>Newmont</t>
        </is>
      </c>
      <c r="F198" s="6" t="inlineStr">
        <is>
          <t>Zac.</t>
        </is>
      </c>
      <c r="G198" s="6" t="n">
        <v>33</v>
      </c>
      <c r="H198" s="6" t="inlineStr">
        <is>
          <t>millones oz</t>
        </is>
      </c>
      <c r="I198" s="6" t="n"/>
      <c r="J198" s="6" t="n">
        <v>181</v>
      </c>
      <c r="K198" s="6" t="inlineStr">
        <is>
          <t>millones oz</t>
        </is>
      </c>
      <c r="L198" s="5" t="inlineStr">
        <is>
          <t>Informe CAMIMEX 2025</t>
        </is>
      </c>
      <c r="M198" s="6" t="n">
        <v>43</v>
      </c>
      <c r="N198" s="5" t="inlineStr">
        <is>
          <t>Tabla top-10 verificada en imagen</t>
        </is>
      </c>
      <c r="O198" s="11">
        <f>IF(AND(ISNUMBER(G198),ISNUMBER(J198),J198&lt;&gt;0,H198=K198),G198/J198*100,"")</f>
        <v/>
      </c>
      <c r="P198" s="11">
        <f>IF(AND(ISNUMBER(O198),ISNUMBER(I198)),ROUND(O198-I198,2),"")</f>
        <v/>
      </c>
    </row>
    <row r="199">
      <c r="A199" s="9" t="inlineStr">
        <is>
          <t>Plata</t>
        </is>
      </c>
      <c r="B199" s="9" t="n">
        <v>2024</v>
      </c>
      <c r="C199" s="9" t="inlineStr">
        <is>
          <t>mina</t>
        </is>
      </c>
      <c r="D199" s="9" t="inlineStr">
        <is>
          <t>San Julian</t>
        </is>
      </c>
      <c r="E199" s="9" t="inlineStr">
        <is>
          <t>Fresnillo plc</t>
        </is>
      </c>
      <c r="F199" s="9" t="inlineStr">
        <is>
          <t>Chih.</t>
        </is>
      </c>
      <c r="G199" s="9" t="n">
        <v>11.84</v>
      </c>
      <c r="H199" s="9" t="inlineStr">
        <is>
          <t>millones oz</t>
        </is>
      </c>
      <c r="I199" s="9" t="n"/>
      <c r="J199" s="9" t="n">
        <v>181</v>
      </c>
      <c r="K199" s="9" t="inlineStr">
        <is>
          <t>millones oz</t>
        </is>
      </c>
      <c r="L199" s="8" t="inlineStr">
        <is>
          <t>Informe CAMIMEX 2025</t>
        </is>
      </c>
      <c r="M199" s="9" t="n">
        <v>43</v>
      </c>
      <c r="N199" s="8" t="n"/>
      <c r="O199" s="11">
        <f>IF(AND(ISNUMBER(G199),ISNUMBER(J199),J199&lt;&gt;0,H199=K199),G199/J199*100,"")</f>
        <v/>
      </c>
      <c r="P199" s="11">
        <f>IF(AND(ISNUMBER(O199),ISNUMBER(I199)),ROUND(O199-I199,2),"")</f>
        <v/>
      </c>
    </row>
    <row r="200">
      <c r="A200" s="6" t="inlineStr">
        <is>
          <t>Plata</t>
        </is>
      </c>
      <c r="B200" s="6" t="n">
        <v>2024</v>
      </c>
      <c r="C200" s="6" t="inlineStr">
        <is>
          <t>mina</t>
        </is>
      </c>
      <c r="D200" s="6" t="inlineStr">
        <is>
          <t>Saucito</t>
        </is>
      </c>
      <c r="E200" s="6" t="inlineStr">
        <is>
          <t>Fresnillo plc</t>
        </is>
      </c>
      <c r="F200" s="6" t="inlineStr">
        <is>
          <t>Zac.</t>
        </is>
      </c>
      <c r="G200" s="6" t="n">
        <v>16.41</v>
      </c>
      <c r="H200" s="6" t="inlineStr">
        <is>
          <t>millones oz</t>
        </is>
      </c>
      <c r="I200" s="6" t="n"/>
      <c r="J200" s="6" t="n">
        <v>181</v>
      </c>
      <c r="K200" s="6" t="inlineStr">
        <is>
          <t>millones oz</t>
        </is>
      </c>
      <c r="L200" s="5" t="inlineStr">
        <is>
          <t>Informe CAMIMEX 2025</t>
        </is>
      </c>
      <c r="M200" s="6" t="n">
        <v>43</v>
      </c>
      <c r="N200" s="5" t="n"/>
      <c r="O200" s="11">
        <f>IF(AND(ISNUMBER(G200),ISNUMBER(J200),J200&lt;&gt;0,H200=K200),G200/J200*100,"")</f>
        <v/>
      </c>
      <c r="P200" s="11">
        <f>IF(AND(ISNUMBER(O200),ISNUMBER(I200)),ROUND(O200-I200,2),"")</f>
        <v/>
      </c>
    </row>
    <row r="201">
      <c r="A201" s="9" t="inlineStr">
        <is>
          <t>Plomo</t>
        </is>
      </c>
      <c r="B201" s="9" t="n">
        <v>2021</v>
      </c>
      <c r="C201" s="9" t="inlineStr">
        <is>
          <t>empresa</t>
        </is>
      </c>
      <c r="D201" s="9" t="n"/>
      <c r="E201" s="9" t="inlineStr">
        <is>
          <t>Newmont</t>
        </is>
      </c>
      <c r="F201" s="9" t="n"/>
      <c r="G201" s="9" t="n"/>
      <c r="H201" s="9" t="n"/>
      <c r="I201" s="9" t="n"/>
      <c r="J201" s="9" t="n">
        <v>272231</v>
      </c>
      <c r="K201" s="9" t="inlineStr">
        <is>
          <t>toneladas</t>
        </is>
      </c>
      <c r="L201" s="8" t="inlineStr">
        <is>
          <t>Informe CAMIMEX 2022</t>
        </is>
      </c>
      <c r="M201" s="9" t="n">
        <v>53</v>
      </c>
      <c r="N201" s="8" t="inlineStr">
        <is>
          <t>Narrativa: 5 empresas = 70%; Newmont mayor (Penasquito 29.5% nacional); sigue Fresnillo Penoles GMexico Frisco</t>
        </is>
      </c>
      <c r="O201" s="11">
        <f>IF(AND(ISNUMBER(G201),ISNUMBER(J201),J201&lt;&gt;0,H201=K201),G201/J201*100,"")</f>
        <v/>
      </c>
      <c r="P201" s="11">
        <f>IF(AND(ISNUMBER(O201),ISNUMBER(I201)),ROUND(O201-I201,2),"")</f>
        <v/>
      </c>
    </row>
    <row r="202">
      <c r="A202" s="6" t="inlineStr">
        <is>
          <t>Plomo</t>
        </is>
      </c>
      <c r="B202" s="6" t="n">
        <v>2021</v>
      </c>
      <c r="C202" s="6" t="inlineStr">
        <is>
          <t>mina</t>
        </is>
      </c>
      <c r="D202" s="6" t="inlineStr">
        <is>
          <t>Cerro Los Gatos</t>
        </is>
      </c>
      <c r="E202" s="6" t="inlineStr">
        <is>
          <t>Gatos Silver</t>
        </is>
      </c>
      <c r="F202" s="6" t="inlineStr">
        <is>
          <t>Chih.</t>
        </is>
      </c>
      <c r="G202" s="6" t="n">
        <v>18050</v>
      </c>
      <c r="H202" s="6" t="inlineStr">
        <is>
          <t>toneladas</t>
        </is>
      </c>
      <c r="I202" s="6" t="n"/>
      <c r="J202" s="6" t="n">
        <v>272231</v>
      </c>
      <c r="K202" s="6" t="inlineStr">
        <is>
          <t>toneladas</t>
        </is>
      </c>
      <c r="L202" s="5" t="inlineStr">
        <is>
          <t>Informe CAMIMEX 2022</t>
        </is>
      </c>
      <c r="M202" s="6" t="n">
        <v>53</v>
      </c>
      <c r="N202" s="5" t="inlineStr">
        <is>
          <t>18.05 miles t</t>
        </is>
      </c>
      <c r="O202" s="11">
        <f>IF(AND(ISNUMBER(G202),ISNUMBER(J202),J202&lt;&gt;0,H202=K202),G202/J202*100,"")</f>
        <v/>
      </c>
      <c r="P202" s="11">
        <f>IF(AND(ISNUMBER(O202),ISNUMBER(I202)),ROUND(O202-I202,2),"")</f>
        <v/>
      </c>
    </row>
    <row r="203">
      <c r="A203" s="9" t="inlineStr">
        <is>
          <t>Plomo</t>
        </is>
      </c>
      <c r="B203" s="9" t="n">
        <v>2021</v>
      </c>
      <c r="C203" s="9" t="inlineStr">
        <is>
          <t>mina</t>
        </is>
      </c>
      <c r="D203" s="9" t="inlineStr">
        <is>
          <t>El Aguila</t>
        </is>
      </c>
      <c r="E203" s="9" t="inlineStr">
        <is>
          <t>Gold Resource</t>
        </is>
      </c>
      <c r="F203" s="9" t="inlineStr">
        <is>
          <t>Oax.</t>
        </is>
      </c>
      <c r="G203" s="9" t="n">
        <v>7540</v>
      </c>
      <c r="H203" s="9" t="inlineStr">
        <is>
          <t>toneladas</t>
        </is>
      </c>
      <c r="I203" s="9" t="n"/>
      <c r="J203" s="9" t="n">
        <v>272231</v>
      </c>
      <c r="K203" s="9" t="inlineStr">
        <is>
          <t>toneladas</t>
        </is>
      </c>
      <c r="L203" s="8" t="inlineStr">
        <is>
          <t>Informe CAMIMEX 2022</t>
        </is>
      </c>
      <c r="M203" s="9" t="n">
        <v>53</v>
      </c>
      <c r="N203" s="8" t="inlineStr">
        <is>
          <t>7.54 miles t</t>
        </is>
      </c>
      <c r="O203" s="11">
        <f>IF(AND(ISNUMBER(G203),ISNUMBER(J203),J203&lt;&gt;0,H203=K203),G203/J203*100,"")</f>
        <v/>
      </c>
      <c r="P203" s="11">
        <f>IF(AND(ISNUMBER(O203),ISNUMBER(I203)),ROUND(O203-I203,2),"")</f>
        <v/>
      </c>
    </row>
    <row r="204">
      <c r="A204" s="6" t="inlineStr">
        <is>
          <t>Plomo</t>
        </is>
      </c>
      <c r="B204" s="6" t="n">
        <v>2021</v>
      </c>
      <c r="C204" s="6" t="inlineStr">
        <is>
          <t>mina</t>
        </is>
      </c>
      <c r="D204" s="6" t="inlineStr">
        <is>
          <t>Fresnillo</t>
        </is>
      </c>
      <c r="E204" s="6" t="inlineStr">
        <is>
          <t>Fresnillo plc</t>
        </is>
      </c>
      <c r="F204" s="6" t="inlineStr">
        <is>
          <t>Zac.</t>
        </is>
      </c>
      <c r="G204" s="6" t="n">
        <v>18800</v>
      </c>
      <c r="H204" s="6" t="inlineStr">
        <is>
          <t>toneladas</t>
        </is>
      </c>
      <c r="I204" s="6" t="n"/>
      <c r="J204" s="6" t="n">
        <v>272231</v>
      </c>
      <c r="K204" s="6" t="inlineStr">
        <is>
          <t>toneladas</t>
        </is>
      </c>
      <c r="L204" s="5" t="inlineStr">
        <is>
          <t>Informe CAMIMEX 2022</t>
        </is>
      </c>
      <c r="M204" s="6" t="n">
        <v>53</v>
      </c>
      <c r="N204" s="5" t="inlineStr">
        <is>
          <t>18.80 miles t</t>
        </is>
      </c>
      <c r="O204" s="11">
        <f>IF(AND(ISNUMBER(G204),ISNUMBER(J204),J204&lt;&gt;0,H204=K204),G204/J204*100,"")</f>
        <v/>
      </c>
      <c r="P204" s="11">
        <f>IF(AND(ISNUMBER(O204),ISNUMBER(I204)),ROUND(O204-I204,2),"")</f>
        <v/>
      </c>
    </row>
    <row r="205">
      <c r="A205" s="9" t="inlineStr">
        <is>
          <t>Plomo</t>
        </is>
      </c>
      <c r="B205" s="9" t="n">
        <v>2021</v>
      </c>
      <c r="C205" s="9" t="inlineStr">
        <is>
          <t>mina</t>
        </is>
      </c>
      <c r="D205" s="9" t="inlineStr">
        <is>
          <t>La Cienega</t>
        </is>
      </c>
      <c r="E205" s="9" t="inlineStr">
        <is>
          <t>Fresnillo plc</t>
        </is>
      </c>
      <c r="F205" s="9" t="inlineStr">
        <is>
          <t>Dgo.</t>
        </is>
      </c>
      <c r="G205" s="9" t="n">
        <v>3950</v>
      </c>
      <c r="H205" s="9" t="inlineStr">
        <is>
          <t>toneladas</t>
        </is>
      </c>
      <c r="I205" s="9" t="n"/>
      <c r="J205" s="9" t="n">
        <v>272231</v>
      </c>
      <c r="K205" s="9" t="inlineStr">
        <is>
          <t>toneladas</t>
        </is>
      </c>
      <c r="L205" s="8" t="inlineStr">
        <is>
          <t>Informe CAMIMEX 2022</t>
        </is>
      </c>
      <c r="M205" s="9" t="n">
        <v>53</v>
      </c>
      <c r="N205" s="8" t="inlineStr">
        <is>
          <t>3.95 miles t</t>
        </is>
      </c>
      <c r="O205" s="11">
        <f>IF(AND(ISNUMBER(G205),ISNUMBER(J205),J205&lt;&gt;0,H205=K205),G205/J205*100,"")</f>
        <v/>
      </c>
      <c r="P205" s="11">
        <f>IF(AND(ISNUMBER(O205),ISNUMBER(I205)),ROUND(O205-I205,2),"")</f>
        <v/>
      </c>
    </row>
    <row r="206">
      <c r="A206" s="6" t="inlineStr">
        <is>
          <t>Plomo</t>
        </is>
      </c>
      <c r="B206" s="6" t="n">
        <v>2021</v>
      </c>
      <c r="C206" s="6" t="inlineStr">
        <is>
          <t>mina</t>
        </is>
      </c>
      <c r="D206" s="6" t="inlineStr">
        <is>
          <t>La Colorada</t>
        </is>
      </c>
      <c r="E206" s="6" t="inlineStr">
        <is>
          <t>Pan American Silver</t>
        </is>
      </c>
      <c r="F206" s="6" t="inlineStr">
        <is>
          <t>Zac.</t>
        </is>
      </c>
      <c r="G206" s="6" t="n">
        <v>5190</v>
      </c>
      <c r="H206" s="6" t="inlineStr">
        <is>
          <t>toneladas</t>
        </is>
      </c>
      <c r="I206" s="6" t="n"/>
      <c r="J206" s="6" t="n">
        <v>272231</v>
      </c>
      <c r="K206" s="6" t="inlineStr">
        <is>
          <t>toneladas</t>
        </is>
      </c>
      <c r="L206" s="5" t="inlineStr">
        <is>
          <t>Informe CAMIMEX 2022</t>
        </is>
      </c>
      <c r="M206" s="6" t="n">
        <v>53</v>
      </c>
      <c r="N206" s="5" t="inlineStr">
        <is>
          <t>5.19 miles t</t>
        </is>
      </c>
      <c r="O206" s="11">
        <f>IF(AND(ISNUMBER(G206),ISNUMBER(J206),J206&lt;&gt;0,H206=K206),G206/J206*100,"")</f>
        <v/>
      </c>
      <c r="P206" s="11">
        <f>IF(AND(ISNUMBER(O206),ISNUMBER(I206)),ROUND(O206-I206,2),"")</f>
        <v/>
      </c>
    </row>
    <row r="207">
      <c r="A207" s="9" t="inlineStr">
        <is>
          <t>Plomo</t>
        </is>
      </c>
      <c r="B207" s="9" t="n">
        <v>2021</v>
      </c>
      <c r="C207" s="9" t="inlineStr">
        <is>
          <t>mina</t>
        </is>
      </c>
      <c r="D207" s="9" t="inlineStr">
        <is>
          <t>Penasquito</t>
        </is>
      </c>
      <c r="E207" s="9" t="inlineStr">
        <is>
          <t>Newmont</t>
        </is>
      </c>
      <c r="F207" s="9" t="inlineStr">
        <is>
          <t>Zac.</t>
        </is>
      </c>
      <c r="G207" s="9" t="n">
        <v>80280</v>
      </c>
      <c r="H207" s="9" t="inlineStr">
        <is>
          <t>toneladas</t>
        </is>
      </c>
      <c r="I207" s="9" t="n"/>
      <c r="J207" s="9" t="n">
        <v>272231</v>
      </c>
      <c r="K207" s="9" t="inlineStr">
        <is>
          <t>toneladas</t>
        </is>
      </c>
      <c r="L207" s="8" t="inlineStr">
        <is>
          <t>Informe CAMIMEX 2022</t>
        </is>
      </c>
      <c r="M207" s="9" t="n">
        <v>53</v>
      </c>
      <c r="N207" s="8" t="inlineStr">
        <is>
          <t>Tabla top-15 en miles de t verificada en imagen (80.28)</t>
        </is>
      </c>
      <c r="O207" s="11">
        <f>IF(AND(ISNUMBER(G207),ISNUMBER(J207),J207&lt;&gt;0,H207=K207),G207/J207*100,"")</f>
        <v/>
      </c>
      <c r="P207" s="11">
        <f>IF(AND(ISNUMBER(O207),ISNUMBER(I207)),ROUND(O207-I207,2),"")</f>
        <v/>
      </c>
    </row>
    <row r="208">
      <c r="A208" s="6" t="inlineStr">
        <is>
          <t>Plomo</t>
        </is>
      </c>
      <c r="B208" s="6" t="n">
        <v>2021</v>
      </c>
      <c r="C208" s="6" t="inlineStr">
        <is>
          <t>mina</t>
        </is>
      </c>
      <c r="D208" s="6" t="inlineStr">
        <is>
          <t>Sabinas</t>
        </is>
      </c>
      <c r="E208" s="6" t="inlineStr">
        <is>
          <t>Industrias Penoles</t>
        </is>
      </c>
      <c r="F208" s="6" t="inlineStr">
        <is>
          <t>Zac.</t>
        </is>
      </c>
      <c r="G208" s="6" t="n">
        <v>5800</v>
      </c>
      <c r="H208" s="6" t="inlineStr">
        <is>
          <t>toneladas</t>
        </is>
      </c>
      <c r="I208" s="6" t="n"/>
      <c r="J208" s="6" t="n">
        <v>272231</v>
      </c>
      <c r="K208" s="6" t="inlineStr">
        <is>
          <t>toneladas</t>
        </is>
      </c>
      <c r="L208" s="5" t="inlineStr">
        <is>
          <t>Informe CAMIMEX 2022</t>
        </is>
      </c>
      <c r="M208" s="6" t="n">
        <v>53</v>
      </c>
      <c r="N208" s="5" t="inlineStr">
        <is>
          <t>5.80 miles t</t>
        </is>
      </c>
      <c r="O208" s="11">
        <f>IF(AND(ISNUMBER(G208),ISNUMBER(J208),J208&lt;&gt;0,H208=K208),G208/J208*100,"")</f>
        <v/>
      </c>
      <c r="P208" s="11">
        <f>IF(AND(ISNUMBER(O208),ISNUMBER(I208)),ROUND(O208-I208,2),"")</f>
        <v/>
      </c>
    </row>
    <row r="209">
      <c r="A209" s="9" t="inlineStr">
        <is>
          <t>Plomo</t>
        </is>
      </c>
      <c r="B209" s="9" t="n">
        <v>2021</v>
      </c>
      <c r="C209" s="9" t="inlineStr">
        <is>
          <t>mina</t>
        </is>
      </c>
      <c r="D209" s="9" t="inlineStr">
        <is>
          <t>San Francisco del Oro</t>
        </is>
      </c>
      <c r="E209" s="9" t="inlineStr">
        <is>
          <t>Minera Frisco</t>
        </is>
      </c>
      <c r="F209" s="9" t="inlineStr">
        <is>
          <t>Chih.</t>
        </is>
      </c>
      <c r="G209" s="9" t="n">
        <v>6330</v>
      </c>
      <c r="H209" s="9" t="inlineStr">
        <is>
          <t>toneladas</t>
        </is>
      </c>
      <c r="I209" s="9" t="n"/>
      <c r="J209" s="9" t="n">
        <v>272231</v>
      </c>
      <c r="K209" s="9" t="inlineStr">
        <is>
          <t>toneladas</t>
        </is>
      </c>
      <c r="L209" s="8" t="inlineStr">
        <is>
          <t>Informe CAMIMEX 2022</t>
        </is>
      </c>
      <c r="M209" s="9" t="n">
        <v>53</v>
      </c>
      <c r="N209" s="8" t="inlineStr">
        <is>
          <t>6.33 miles t</t>
        </is>
      </c>
      <c r="O209" s="11">
        <f>IF(AND(ISNUMBER(G209),ISNUMBER(J209),J209&lt;&gt;0,H209=K209),G209/J209*100,"")</f>
        <v/>
      </c>
      <c r="P209" s="11">
        <f>IF(AND(ISNUMBER(O209),ISNUMBER(I209)),ROUND(O209-I209,2),"")</f>
        <v/>
      </c>
    </row>
    <row r="210">
      <c r="A210" s="6" t="inlineStr">
        <is>
          <t>Plomo</t>
        </is>
      </c>
      <c r="B210" s="6" t="n">
        <v>2021</v>
      </c>
      <c r="C210" s="6" t="inlineStr">
        <is>
          <t>mina</t>
        </is>
      </c>
      <c r="D210" s="6" t="inlineStr">
        <is>
          <t>San Julian</t>
        </is>
      </c>
      <c r="E210" s="6" t="inlineStr">
        <is>
          <t>Fresnillo plc</t>
        </is>
      </c>
      <c r="F210" s="6" t="inlineStr">
        <is>
          <t>Chih.</t>
        </is>
      </c>
      <c r="G210" s="6" t="n">
        <v>8540</v>
      </c>
      <c r="H210" s="6" t="inlineStr">
        <is>
          <t>toneladas</t>
        </is>
      </c>
      <c r="I210" s="6" t="n"/>
      <c r="J210" s="6" t="n">
        <v>272231</v>
      </c>
      <c r="K210" s="6" t="inlineStr">
        <is>
          <t>toneladas</t>
        </is>
      </c>
      <c r="L210" s="5" t="inlineStr">
        <is>
          <t>Informe CAMIMEX 2022</t>
        </is>
      </c>
      <c r="M210" s="6" t="n">
        <v>53</v>
      </c>
      <c r="N210" s="5" t="inlineStr">
        <is>
          <t>8.54 miles t</t>
        </is>
      </c>
      <c r="O210" s="11">
        <f>IF(AND(ISNUMBER(G210),ISNUMBER(J210),J210&lt;&gt;0,H210=K210),G210/J210*100,"")</f>
        <v/>
      </c>
      <c r="P210" s="11">
        <f>IF(AND(ISNUMBER(O210),ISNUMBER(I210)),ROUND(O210-I210,2),"")</f>
        <v/>
      </c>
    </row>
    <row r="211">
      <c r="A211" s="9" t="inlineStr">
        <is>
          <t>Plomo</t>
        </is>
      </c>
      <c r="B211" s="9" t="n">
        <v>2021</v>
      </c>
      <c r="C211" s="9" t="inlineStr">
        <is>
          <t>mina</t>
        </is>
      </c>
      <c r="D211" s="9" t="inlineStr">
        <is>
          <t>Santa Barbara</t>
        </is>
      </c>
      <c r="E211" s="9" t="inlineStr">
        <is>
          <t>Grupo Mexico</t>
        </is>
      </c>
      <c r="F211" s="9" t="inlineStr">
        <is>
          <t>Chih.</t>
        </is>
      </c>
      <c r="G211" s="9" t="n">
        <v>15120</v>
      </c>
      <c r="H211" s="9" t="inlineStr">
        <is>
          <t>toneladas</t>
        </is>
      </c>
      <c r="I211" s="9" t="n"/>
      <c r="J211" s="9" t="n">
        <v>272231</v>
      </c>
      <c r="K211" s="9" t="inlineStr">
        <is>
          <t>toneladas</t>
        </is>
      </c>
      <c r="L211" s="8" t="inlineStr">
        <is>
          <t>Informe CAMIMEX 2022</t>
        </is>
      </c>
      <c r="M211" s="9" t="n">
        <v>53</v>
      </c>
      <c r="N211" s="8" t="inlineStr">
        <is>
          <t>15.12 miles t</t>
        </is>
      </c>
      <c r="O211" s="11">
        <f>IF(AND(ISNUMBER(G211),ISNUMBER(J211),J211&lt;&gt;0,H211=K211),G211/J211*100,"")</f>
        <v/>
      </c>
      <c r="P211" s="11">
        <f>IF(AND(ISNUMBER(O211),ISNUMBER(I211)),ROUND(O211-I211,2),"")</f>
        <v/>
      </c>
    </row>
    <row r="212">
      <c r="A212" s="6" t="inlineStr">
        <is>
          <t>Plomo</t>
        </is>
      </c>
      <c r="B212" s="6" t="n">
        <v>2021</v>
      </c>
      <c r="C212" s="6" t="inlineStr">
        <is>
          <t>mina</t>
        </is>
      </c>
      <c r="D212" s="6" t="inlineStr">
        <is>
          <t>Saucito</t>
        </is>
      </c>
      <c r="E212" s="6" t="inlineStr">
        <is>
          <t>Fresnillo plc</t>
        </is>
      </c>
      <c r="F212" s="6" t="inlineStr">
        <is>
          <t>Zac.</t>
        </is>
      </c>
      <c r="G212" s="6" t="n">
        <v>24620</v>
      </c>
      <c r="H212" s="6" t="inlineStr">
        <is>
          <t>toneladas</t>
        </is>
      </c>
      <c r="I212" s="6" t="n"/>
      <c r="J212" s="6" t="n">
        <v>272231</v>
      </c>
      <c r="K212" s="6" t="inlineStr">
        <is>
          <t>toneladas</t>
        </is>
      </c>
      <c r="L212" s="5" t="inlineStr">
        <is>
          <t>Informe CAMIMEX 2022</t>
        </is>
      </c>
      <c r="M212" s="6" t="n">
        <v>53</v>
      </c>
      <c r="N212" s="5" t="inlineStr">
        <is>
          <t>24.62 miles t</t>
        </is>
      </c>
      <c r="O212" s="11">
        <f>IF(AND(ISNUMBER(G212),ISNUMBER(J212),J212&lt;&gt;0,H212=K212),G212/J212*100,"")</f>
        <v/>
      </c>
      <c r="P212" s="11">
        <f>IF(AND(ISNUMBER(O212),ISNUMBER(I212)),ROUND(O212-I212,2),"")</f>
        <v/>
      </c>
    </row>
    <row r="213">
      <c r="A213" s="9" t="inlineStr">
        <is>
          <t>Plomo</t>
        </is>
      </c>
      <c r="B213" s="9" t="n">
        <v>2021</v>
      </c>
      <c r="C213" s="9" t="inlineStr">
        <is>
          <t>mina</t>
        </is>
      </c>
      <c r="D213" s="9" t="inlineStr">
        <is>
          <t>Tayahua</t>
        </is>
      </c>
      <c r="E213" s="9" t="inlineStr">
        <is>
          <t>Minera Frisco</t>
        </is>
      </c>
      <c r="F213" s="9" t="inlineStr">
        <is>
          <t>Zac.</t>
        </is>
      </c>
      <c r="G213" s="9" t="n">
        <v>7100</v>
      </c>
      <c r="H213" s="9" t="inlineStr">
        <is>
          <t>toneladas</t>
        </is>
      </c>
      <c r="I213" s="9" t="n"/>
      <c r="J213" s="9" t="n">
        <v>272231</v>
      </c>
      <c r="K213" s="9" t="inlineStr">
        <is>
          <t>toneladas</t>
        </is>
      </c>
      <c r="L213" s="8" t="inlineStr">
        <is>
          <t>Informe CAMIMEX 2022</t>
        </is>
      </c>
      <c r="M213" s="9" t="n">
        <v>53</v>
      </c>
      <c r="N213" s="8" t="inlineStr">
        <is>
          <t>7.10 miles t</t>
        </is>
      </c>
      <c r="O213" s="11">
        <f>IF(AND(ISNUMBER(G213),ISNUMBER(J213),J213&lt;&gt;0,H213=K213),G213/J213*100,"")</f>
        <v/>
      </c>
      <c r="P213" s="11">
        <f>IF(AND(ISNUMBER(O213),ISNUMBER(I213)),ROUND(O213-I213,2),"")</f>
        <v/>
      </c>
    </row>
    <row r="214">
      <c r="A214" s="6" t="inlineStr">
        <is>
          <t>Plomo</t>
        </is>
      </c>
      <c r="B214" s="6" t="n">
        <v>2021</v>
      </c>
      <c r="C214" s="6" t="inlineStr">
        <is>
          <t>mina</t>
        </is>
      </c>
      <c r="D214" s="6" t="inlineStr">
        <is>
          <t>Tizapa</t>
        </is>
      </c>
      <c r="E214" s="6" t="inlineStr">
        <is>
          <t>Industrias Penoles</t>
        </is>
      </c>
      <c r="F214" s="6" t="inlineStr">
        <is>
          <t>Edo. de Mex.</t>
        </is>
      </c>
      <c r="G214" s="6" t="n">
        <v>8300</v>
      </c>
      <c r="H214" s="6" t="inlineStr">
        <is>
          <t>toneladas</t>
        </is>
      </c>
      <c r="I214" s="6" t="n"/>
      <c r="J214" s="6" t="n">
        <v>272231</v>
      </c>
      <c r="K214" s="6" t="inlineStr">
        <is>
          <t>toneladas</t>
        </is>
      </c>
      <c r="L214" s="5" t="inlineStr">
        <is>
          <t>Informe CAMIMEX 2022</t>
        </is>
      </c>
      <c r="M214" s="6" t="n">
        <v>53</v>
      </c>
      <c r="N214" s="5" t="inlineStr">
        <is>
          <t>8.30 miles t</t>
        </is>
      </c>
      <c r="O214" s="11">
        <f>IF(AND(ISNUMBER(G214),ISNUMBER(J214),J214&lt;&gt;0,H214=K214),G214/J214*100,"")</f>
        <v/>
      </c>
      <c r="P214" s="11">
        <f>IF(AND(ISNUMBER(O214),ISNUMBER(I214)),ROUND(O214-I214,2),"")</f>
        <v/>
      </c>
    </row>
    <row r="215">
      <c r="A215" s="9" t="inlineStr">
        <is>
          <t>Plomo</t>
        </is>
      </c>
      <c r="B215" s="9" t="n">
        <v>2021</v>
      </c>
      <c r="C215" s="9" t="inlineStr">
        <is>
          <t>mina</t>
        </is>
      </c>
      <c r="D215" s="9" t="inlineStr">
        <is>
          <t>Velardena</t>
        </is>
      </c>
      <c r="E215" s="9" t="inlineStr">
        <is>
          <t>Industrias Penoles</t>
        </is>
      </c>
      <c r="F215" s="9" t="inlineStr">
        <is>
          <t>Dgo.</t>
        </is>
      </c>
      <c r="G215" s="9" t="n">
        <v>4110</v>
      </c>
      <c r="H215" s="9" t="inlineStr">
        <is>
          <t>toneladas</t>
        </is>
      </c>
      <c r="I215" s="9" t="n"/>
      <c r="J215" s="9" t="n">
        <v>272231</v>
      </c>
      <c r="K215" s="9" t="inlineStr">
        <is>
          <t>toneladas</t>
        </is>
      </c>
      <c r="L215" s="8" t="inlineStr">
        <is>
          <t>Informe CAMIMEX 2022</t>
        </is>
      </c>
      <c r="M215" s="9" t="n">
        <v>53</v>
      </c>
      <c r="N215" s="8" t="inlineStr">
        <is>
          <t>4.11 miles t</t>
        </is>
      </c>
      <c r="O215" s="11">
        <f>IF(AND(ISNUMBER(G215),ISNUMBER(J215),J215&lt;&gt;0,H215=K215),G215/J215*100,"")</f>
        <v/>
      </c>
      <c r="P215" s="11">
        <f>IF(AND(ISNUMBER(O215),ISNUMBER(I215)),ROUND(O215-I215,2),"")</f>
        <v/>
      </c>
    </row>
    <row r="216">
      <c r="A216" s="6" t="inlineStr">
        <is>
          <t>Plomo</t>
        </is>
      </c>
      <c r="B216" s="6" t="n">
        <v>2021</v>
      </c>
      <c r="C216" s="6" t="inlineStr">
        <is>
          <t>mina</t>
        </is>
      </c>
      <c r="D216" s="6" t="inlineStr">
        <is>
          <t>Zimapan</t>
        </is>
      </c>
      <c r="E216" s="6" t="inlineStr">
        <is>
          <t>Santacruz Silver</t>
        </is>
      </c>
      <c r="F216" s="6" t="inlineStr">
        <is>
          <t>Hgo.</t>
        </is>
      </c>
      <c r="G216" s="6" t="n">
        <v>3660</v>
      </c>
      <c r="H216" s="6" t="inlineStr">
        <is>
          <t>toneladas</t>
        </is>
      </c>
      <c r="I216" s="6" t="n"/>
      <c r="J216" s="6" t="n">
        <v>272231</v>
      </c>
      <c r="K216" s="6" t="inlineStr">
        <is>
          <t>toneladas</t>
        </is>
      </c>
      <c r="L216" s="5" t="inlineStr">
        <is>
          <t>Informe CAMIMEX 2022</t>
        </is>
      </c>
      <c r="M216" s="6" t="n">
        <v>53</v>
      </c>
      <c r="N216" s="5" t="inlineStr">
        <is>
          <t>3.66 miles t; Top-15 suma 217.39 miles t</t>
        </is>
      </c>
      <c r="O216" s="11">
        <f>IF(AND(ISNUMBER(G216),ISNUMBER(J216),J216&lt;&gt;0,H216=K216),G216/J216*100,"")</f>
        <v/>
      </c>
      <c r="P216" s="11">
        <f>IF(AND(ISNUMBER(O216),ISNUMBER(I216)),ROUND(O216-I216,2),"")</f>
        <v/>
      </c>
    </row>
    <row r="217">
      <c r="A217" s="9" t="inlineStr">
        <is>
          <t>Plomo</t>
        </is>
      </c>
      <c r="B217" s="9" t="n">
        <v>2022</v>
      </c>
      <c r="C217" s="9" t="inlineStr">
        <is>
          <t>empresa</t>
        </is>
      </c>
      <c r="D217" s="9" t="n"/>
      <c r="E217" s="9" t="inlineStr">
        <is>
          <t>Newmont</t>
        </is>
      </c>
      <c r="F217" s="9" t="n"/>
      <c r="G217" s="9" t="n"/>
      <c r="H217" s="9" t="n"/>
      <c r="I217" s="9" t="n">
        <v>24.8</v>
      </c>
      <c r="J217" s="9" t="n">
        <v>272988</v>
      </c>
      <c r="K217" s="9" t="inlineStr">
        <is>
          <t>toneladas</t>
        </is>
      </c>
      <c r="L217" s="8" t="inlineStr">
        <is>
          <t>Informe CAMIMEX 2023</t>
        </is>
      </c>
      <c r="M217" s="9" t="n">
        <v>58</v>
      </c>
      <c r="N217" s="8" t="inlineStr">
        <is>
          <t>Narrativa: 1o Newmont 24.8% 2o Fresnillo; siguen Penoles Frisco GMexico</t>
        </is>
      </c>
      <c r="O217" s="11">
        <f>IF(AND(ISNUMBER(G217),ISNUMBER(J217),J217&lt;&gt;0,H217=K217),G217/J217*100,"")</f>
        <v/>
      </c>
      <c r="P217" s="11">
        <f>IF(AND(ISNUMBER(O217),ISNUMBER(I217)),ROUND(O217-I217,2),"")</f>
        <v/>
      </c>
    </row>
    <row r="218">
      <c r="A218" s="6" t="inlineStr">
        <is>
          <t>Plomo</t>
        </is>
      </c>
      <c r="B218" s="6" t="n">
        <v>2022</v>
      </c>
      <c r="C218" s="6" t="inlineStr">
        <is>
          <t>mina</t>
        </is>
      </c>
      <c r="D218" s="6" t="inlineStr">
        <is>
          <t>Cerro Los Gatos</t>
        </is>
      </c>
      <c r="E218" s="6" t="inlineStr">
        <is>
          <t>Gatos Silver</t>
        </is>
      </c>
      <c r="F218" s="6" t="inlineStr">
        <is>
          <t>Chih.</t>
        </is>
      </c>
      <c r="G218" s="6" t="n">
        <v>19913</v>
      </c>
      <c r="H218" s="6" t="inlineStr">
        <is>
          <t>toneladas</t>
        </is>
      </c>
      <c r="I218" s="6" t="n"/>
      <c r="J218" s="6" t="n">
        <v>272988</v>
      </c>
      <c r="K218" s="6" t="inlineStr">
        <is>
          <t>toneladas</t>
        </is>
      </c>
      <c r="L218" s="5" t="inlineStr">
        <is>
          <t>Informe CAMIMEX 2023</t>
        </is>
      </c>
      <c r="M218" s="6" t="n">
        <v>58</v>
      </c>
      <c r="N218" s="5" t="n"/>
      <c r="O218" s="11">
        <f>IF(AND(ISNUMBER(G218),ISNUMBER(J218),J218&lt;&gt;0,H218=K218),G218/J218*100,"")</f>
        <v/>
      </c>
      <c r="P218" s="11">
        <f>IF(AND(ISNUMBER(O218),ISNUMBER(I218)),ROUND(O218-I218,2),"")</f>
        <v/>
      </c>
    </row>
    <row r="219">
      <c r="A219" s="9" t="inlineStr">
        <is>
          <t>Plomo</t>
        </is>
      </c>
      <c r="B219" s="9" t="n">
        <v>2022</v>
      </c>
      <c r="C219" s="9" t="inlineStr">
        <is>
          <t>mina</t>
        </is>
      </c>
      <c r="D219" s="9" t="inlineStr">
        <is>
          <t>Cosala</t>
        </is>
      </c>
      <c r="E219" s="9" t="inlineStr">
        <is>
          <t>Americas Gold and Silver</t>
        </is>
      </c>
      <c r="F219" s="9" t="inlineStr">
        <is>
          <t>Sin.</t>
        </is>
      </c>
      <c r="G219" s="9" t="n">
        <v>6948</v>
      </c>
      <c r="H219" s="9" t="inlineStr">
        <is>
          <t>toneladas</t>
        </is>
      </c>
      <c r="I219" s="9" t="n"/>
      <c r="J219" s="9" t="n">
        <v>272988</v>
      </c>
      <c r="K219" s="9" t="inlineStr">
        <is>
          <t>toneladas</t>
        </is>
      </c>
      <c r="L219" s="8" t="inlineStr">
        <is>
          <t>Informe CAMIMEX 2023</t>
        </is>
      </c>
      <c r="M219" s="9" t="n">
        <v>58</v>
      </c>
      <c r="N219" s="8" t="n"/>
      <c r="O219" s="11">
        <f>IF(AND(ISNUMBER(G219),ISNUMBER(J219),J219&lt;&gt;0,H219=K219),G219/J219*100,"")</f>
        <v/>
      </c>
      <c r="P219" s="11">
        <f>IF(AND(ISNUMBER(O219),ISNUMBER(I219)),ROUND(O219-I219,2),"")</f>
        <v/>
      </c>
    </row>
    <row r="220">
      <c r="A220" s="6" t="inlineStr">
        <is>
          <t>Plomo</t>
        </is>
      </c>
      <c r="B220" s="6" t="n">
        <v>2022</v>
      </c>
      <c r="C220" s="6" t="inlineStr">
        <is>
          <t>mina</t>
        </is>
      </c>
      <c r="D220" s="6" t="inlineStr">
        <is>
          <t>El Aguila</t>
        </is>
      </c>
      <c r="E220" s="6" t="inlineStr">
        <is>
          <t>Gold Resource</t>
        </is>
      </c>
      <c r="F220" s="6" t="inlineStr">
        <is>
          <t>Oax.</t>
        </is>
      </c>
      <c r="G220" s="6" t="n">
        <v>6665</v>
      </c>
      <c r="H220" s="6" t="inlineStr">
        <is>
          <t>toneladas</t>
        </is>
      </c>
      <c r="I220" s="6" t="n"/>
      <c r="J220" s="6" t="n">
        <v>272988</v>
      </c>
      <c r="K220" s="6" t="inlineStr">
        <is>
          <t>toneladas</t>
        </is>
      </c>
      <c r="L220" s="5" t="inlineStr">
        <is>
          <t>Informe CAMIMEX 2023</t>
        </is>
      </c>
      <c r="M220" s="6" t="n">
        <v>58</v>
      </c>
      <c r="N220" s="5" t="n"/>
      <c r="O220" s="11">
        <f>IF(AND(ISNUMBER(G220),ISNUMBER(J220),J220&lt;&gt;0,H220=K220),G220/J220*100,"")</f>
        <v/>
      </c>
      <c r="P220" s="11">
        <f>IF(AND(ISNUMBER(O220),ISNUMBER(I220)),ROUND(O220-I220,2),"")</f>
        <v/>
      </c>
    </row>
    <row r="221">
      <c r="A221" s="9" t="inlineStr">
        <is>
          <t>Plomo</t>
        </is>
      </c>
      <c r="B221" s="9" t="n">
        <v>2022</v>
      </c>
      <c r="C221" s="9" t="inlineStr">
        <is>
          <t>mina</t>
        </is>
      </c>
      <c r="D221" s="9" t="inlineStr">
        <is>
          <t>Fresnillo</t>
        </is>
      </c>
      <c r="E221" s="9" t="inlineStr">
        <is>
          <t>Fresnillo plc</t>
        </is>
      </c>
      <c r="F221" s="9" t="inlineStr">
        <is>
          <t>Zac.</t>
        </is>
      </c>
      <c r="G221" s="9" t="n">
        <v>21756</v>
      </c>
      <c r="H221" s="9" t="inlineStr">
        <is>
          <t>toneladas</t>
        </is>
      </c>
      <c r="I221" s="9" t="n"/>
      <c r="J221" s="9" t="n">
        <v>272988</v>
      </c>
      <c r="K221" s="9" t="inlineStr">
        <is>
          <t>toneladas</t>
        </is>
      </c>
      <c r="L221" s="8" t="inlineStr">
        <is>
          <t>Informe CAMIMEX 2023</t>
        </is>
      </c>
      <c r="M221" s="9" t="n">
        <v>58</v>
      </c>
      <c r="N221" s="8" t="n"/>
      <c r="O221" s="11">
        <f>IF(AND(ISNUMBER(G221),ISNUMBER(J221),J221&lt;&gt;0,H221=K221),G221/J221*100,"")</f>
        <v/>
      </c>
      <c r="P221" s="11">
        <f>IF(AND(ISNUMBER(O221),ISNUMBER(I221)),ROUND(O221-I221,2),"")</f>
        <v/>
      </c>
    </row>
    <row r="222">
      <c r="A222" s="6" t="inlineStr">
        <is>
          <t>Plomo</t>
        </is>
      </c>
      <c r="B222" s="6" t="n">
        <v>2022</v>
      </c>
      <c r="C222" s="6" t="inlineStr">
        <is>
          <t>mina</t>
        </is>
      </c>
      <c r="D222" s="6" t="inlineStr">
        <is>
          <t>La Colorada</t>
        </is>
      </c>
      <c r="E222" s="6" t="inlineStr">
        <is>
          <t>Pan American Silver</t>
        </is>
      </c>
      <c r="F222" s="6" t="inlineStr">
        <is>
          <t>Zac.</t>
        </is>
      </c>
      <c r="G222" s="6" t="n">
        <v>5650</v>
      </c>
      <c r="H222" s="6" t="inlineStr">
        <is>
          <t>toneladas</t>
        </is>
      </c>
      <c r="I222" s="6" t="n"/>
      <c r="J222" s="6" t="n">
        <v>272988</v>
      </c>
      <c r="K222" s="6" t="inlineStr">
        <is>
          <t>toneladas</t>
        </is>
      </c>
      <c r="L222" s="5" t="inlineStr">
        <is>
          <t>Informe CAMIMEX 2023</t>
        </is>
      </c>
      <c r="M222" s="6" t="n">
        <v>58</v>
      </c>
      <c r="N222" s="5" t="n"/>
      <c r="O222" s="11">
        <f>IF(AND(ISNUMBER(G222),ISNUMBER(J222),J222&lt;&gt;0,H222=K222),G222/J222*100,"")</f>
        <v/>
      </c>
      <c r="P222" s="11">
        <f>IF(AND(ISNUMBER(O222),ISNUMBER(I222)),ROUND(O222-I222,2),"")</f>
        <v/>
      </c>
    </row>
    <row r="223">
      <c r="A223" s="9" t="inlineStr">
        <is>
          <t>Plomo</t>
        </is>
      </c>
      <c r="B223" s="9" t="n">
        <v>2022</v>
      </c>
      <c r="C223" s="9" t="inlineStr">
        <is>
          <t>mina</t>
        </is>
      </c>
      <c r="D223" s="9" t="inlineStr">
        <is>
          <t>Penasquito</t>
        </is>
      </c>
      <c r="E223" s="9" t="inlineStr">
        <is>
          <t>Newmont</t>
        </is>
      </c>
      <c r="F223" s="9" t="inlineStr">
        <is>
          <t>Zac.</t>
        </is>
      </c>
      <c r="G223" s="9" t="n">
        <v>67585</v>
      </c>
      <c r="H223" s="9" t="inlineStr">
        <is>
          <t>toneladas</t>
        </is>
      </c>
      <c r="I223" s="9" t="n"/>
      <c r="J223" s="9" t="n">
        <v>272988</v>
      </c>
      <c r="K223" s="9" t="inlineStr">
        <is>
          <t>toneladas</t>
        </is>
      </c>
      <c r="L223" s="8" t="inlineStr">
        <is>
          <t>Informe CAMIMEX 2023</t>
        </is>
      </c>
      <c r="M223" s="9" t="n">
        <v>58</v>
      </c>
      <c r="N223" s="8" t="inlineStr">
        <is>
          <t>Tabla top-15 verificada en imagen</t>
        </is>
      </c>
      <c r="O223" s="11">
        <f>IF(AND(ISNUMBER(G223),ISNUMBER(J223),J223&lt;&gt;0,H223=K223),G223/J223*100,"")</f>
        <v/>
      </c>
      <c r="P223" s="11">
        <f>IF(AND(ISNUMBER(O223),ISNUMBER(I223)),ROUND(O223-I223,2),"")</f>
        <v/>
      </c>
    </row>
    <row r="224">
      <c r="A224" s="6" t="inlineStr">
        <is>
          <t>Plomo</t>
        </is>
      </c>
      <c r="B224" s="6" t="n">
        <v>2022</v>
      </c>
      <c r="C224" s="6" t="inlineStr">
        <is>
          <t>mina</t>
        </is>
      </c>
      <c r="D224" s="6" t="inlineStr">
        <is>
          <t>Sabinas</t>
        </is>
      </c>
      <c r="E224" s="6" t="inlineStr">
        <is>
          <t>Industrias Penoles</t>
        </is>
      </c>
      <c r="F224" s="6" t="inlineStr">
        <is>
          <t>Zac.</t>
        </is>
      </c>
      <c r="G224" s="6" t="n">
        <v>6611</v>
      </c>
      <c r="H224" s="6" t="inlineStr">
        <is>
          <t>toneladas</t>
        </is>
      </c>
      <c r="I224" s="6" t="n"/>
      <c r="J224" s="6" t="n">
        <v>272988</v>
      </c>
      <c r="K224" s="6" t="inlineStr">
        <is>
          <t>toneladas</t>
        </is>
      </c>
      <c r="L224" s="5" t="inlineStr">
        <is>
          <t>Informe CAMIMEX 2023</t>
        </is>
      </c>
      <c r="M224" s="6" t="n">
        <v>58</v>
      </c>
      <c r="N224" s="5" t="n"/>
      <c r="O224" s="11">
        <f>IF(AND(ISNUMBER(G224),ISNUMBER(J224),J224&lt;&gt;0,H224=K224),G224/J224*100,"")</f>
        <v/>
      </c>
      <c r="P224" s="11">
        <f>IF(AND(ISNUMBER(O224),ISNUMBER(I224)),ROUND(O224-I224,2),"")</f>
        <v/>
      </c>
    </row>
    <row r="225">
      <c r="A225" s="9" t="inlineStr">
        <is>
          <t>Plomo</t>
        </is>
      </c>
      <c r="B225" s="9" t="n">
        <v>2022</v>
      </c>
      <c r="C225" s="9" t="inlineStr">
        <is>
          <t>mina</t>
        </is>
      </c>
      <c r="D225" s="9" t="inlineStr">
        <is>
          <t>San Francisco del Oro</t>
        </is>
      </c>
      <c r="E225" s="9" t="inlineStr">
        <is>
          <t>Minera Frisco</t>
        </is>
      </c>
      <c r="F225" s="9" t="inlineStr">
        <is>
          <t>Chih.</t>
        </is>
      </c>
      <c r="G225" s="9" t="n">
        <v>6982</v>
      </c>
      <c r="H225" s="9" t="inlineStr">
        <is>
          <t>toneladas</t>
        </is>
      </c>
      <c r="I225" s="9" t="n"/>
      <c r="J225" s="9" t="n">
        <v>272988</v>
      </c>
      <c r="K225" s="9" t="inlineStr">
        <is>
          <t>toneladas</t>
        </is>
      </c>
      <c r="L225" s="8" t="inlineStr">
        <is>
          <t>Informe CAMIMEX 2023</t>
        </is>
      </c>
      <c r="M225" s="9" t="n">
        <v>58</v>
      </c>
      <c r="N225" s="8" t="n"/>
      <c r="O225" s="11">
        <f>IF(AND(ISNUMBER(G225),ISNUMBER(J225),J225&lt;&gt;0,H225=K225),G225/J225*100,"")</f>
        <v/>
      </c>
      <c r="P225" s="11">
        <f>IF(AND(ISNUMBER(O225),ISNUMBER(I225)),ROUND(O225-I225,2),"")</f>
        <v/>
      </c>
    </row>
    <row r="226">
      <c r="A226" s="6" t="inlineStr">
        <is>
          <t>Plomo</t>
        </is>
      </c>
      <c r="B226" s="6" t="n">
        <v>2022</v>
      </c>
      <c r="C226" s="6" t="inlineStr">
        <is>
          <t>mina</t>
        </is>
      </c>
      <c r="D226" s="6" t="inlineStr">
        <is>
          <t>San Julian</t>
        </is>
      </c>
      <c r="E226" s="6" t="inlineStr">
        <is>
          <t>Fresnillo plc</t>
        </is>
      </c>
      <c r="F226" s="6" t="inlineStr">
        <is>
          <t>Chih.</t>
        </is>
      </c>
      <c r="G226" s="6" t="n">
        <v>7105</v>
      </c>
      <c r="H226" s="6" t="inlineStr">
        <is>
          <t>toneladas</t>
        </is>
      </c>
      <c r="I226" s="6" t="n"/>
      <c r="J226" s="6" t="n">
        <v>272988</v>
      </c>
      <c r="K226" s="6" t="inlineStr">
        <is>
          <t>toneladas</t>
        </is>
      </c>
      <c r="L226" s="5" t="inlineStr">
        <is>
          <t>Informe CAMIMEX 2023</t>
        </is>
      </c>
      <c r="M226" s="6" t="n">
        <v>58</v>
      </c>
      <c r="N226" s="5" t="n"/>
      <c r="O226" s="11">
        <f>IF(AND(ISNUMBER(G226),ISNUMBER(J226),J226&lt;&gt;0,H226=K226),G226/J226*100,"")</f>
        <v/>
      </c>
      <c r="P226" s="11">
        <f>IF(AND(ISNUMBER(O226),ISNUMBER(I226)),ROUND(O226-I226,2),"")</f>
        <v/>
      </c>
    </row>
    <row r="227">
      <c r="A227" s="9" t="inlineStr">
        <is>
          <t>Plomo</t>
        </is>
      </c>
      <c r="B227" s="9" t="n">
        <v>2022</v>
      </c>
      <c r="C227" s="9" t="inlineStr">
        <is>
          <t>mina</t>
        </is>
      </c>
      <c r="D227" s="9" t="inlineStr">
        <is>
          <t>Santa Barbara</t>
        </is>
      </c>
      <c r="E227" s="9" t="inlineStr">
        <is>
          <t>Grupo Mexico</t>
        </is>
      </c>
      <c r="F227" s="9" t="inlineStr">
        <is>
          <t>Chih.</t>
        </is>
      </c>
      <c r="G227" s="9" t="n">
        <v>14465</v>
      </c>
      <c r="H227" s="9" t="inlineStr">
        <is>
          <t>toneladas</t>
        </is>
      </c>
      <c r="I227" s="9" t="n"/>
      <c r="J227" s="9" t="n">
        <v>272988</v>
      </c>
      <c r="K227" s="9" t="inlineStr">
        <is>
          <t>toneladas</t>
        </is>
      </c>
      <c r="L227" s="8" t="inlineStr">
        <is>
          <t>Informe CAMIMEX 2023</t>
        </is>
      </c>
      <c r="M227" s="9" t="n">
        <v>58</v>
      </c>
      <c r="N227" s="8" t="n"/>
      <c r="O227" s="11">
        <f>IF(AND(ISNUMBER(G227),ISNUMBER(J227),J227&lt;&gt;0,H227=K227),G227/J227*100,"")</f>
        <v/>
      </c>
      <c r="P227" s="11">
        <f>IF(AND(ISNUMBER(O227),ISNUMBER(I227)),ROUND(O227-I227,2),"")</f>
        <v/>
      </c>
    </row>
    <row r="228">
      <c r="A228" s="6" t="inlineStr">
        <is>
          <t>Plomo</t>
        </is>
      </c>
      <c r="B228" s="6" t="n">
        <v>2022</v>
      </c>
      <c r="C228" s="6" t="inlineStr">
        <is>
          <t>mina</t>
        </is>
      </c>
      <c r="D228" s="6" t="inlineStr">
        <is>
          <t>Saucito</t>
        </is>
      </c>
      <c r="E228" s="6" t="inlineStr">
        <is>
          <t>Fresnillo plc</t>
        </is>
      </c>
      <c r="F228" s="6" t="inlineStr">
        <is>
          <t>Zac.</t>
        </is>
      </c>
      <c r="G228" s="6" t="n">
        <v>17816</v>
      </c>
      <c r="H228" s="6" t="inlineStr">
        <is>
          <t>toneladas</t>
        </is>
      </c>
      <c r="I228" s="6" t="n"/>
      <c r="J228" s="6" t="n">
        <v>272988</v>
      </c>
      <c r="K228" s="6" t="inlineStr">
        <is>
          <t>toneladas</t>
        </is>
      </c>
      <c r="L228" s="5" t="inlineStr">
        <is>
          <t>Informe CAMIMEX 2023</t>
        </is>
      </c>
      <c r="M228" s="6" t="n">
        <v>58</v>
      </c>
      <c r="N228" s="5" t="n"/>
      <c r="O228" s="11">
        <f>IF(AND(ISNUMBER(G228),ISNUMBER(J228),J228&lt;&gt;0,H228=K228),G228/J228*100,"")</f>
        <v/>
      </c>
      <c r="P228" s="11">
        <f>IF(AND(ISNUMBER(O228),ISNUMBER(I228)),ROUND(O228-I228,2),"")</f>
        <v/>
      </c>
    </row>
    <row r="229">
      <c r="A229" s="9" t="inlineStr">
        <is>
          <t>Plomo</t>
        </is>
      </c>
      <c r="B229" s="9" t="n">
        <v>2022</v>
      </c>
      <c r="C229" s="9" t="inlineStr">
        <is>
          <t>mina</t>
        </is>
      </c>
      <c r="D229" s="9" t="inlineStr">
        <is>
          <t>Tayahua</t>
        </is>
      </c>
      <c r="E229" s="9" t="inlineStr">
        <is>
          <t>Minera Frisco</t>
        </is>
      </c>
      <c r="F229" s="9" t="inlineStr">
        <is>
          <t>Zac.</t>
        </is>
      </c>
      <c r="G229" s="9" t="n">
        <v>8275</v>
      </c>
      <c r="H229" s="9" t="inlineStr">
        <is>
          <t>toneladas</t>
        </is>
      </c>
      <c r="I229" s="9" t="n"/>
      <c r="J229" s="9" t="n">
        <v>272988</v>
      </c>
      <c r="K229" s="9" t="inlineStr">
        <is>
          <t>toneladas</t>
        </is>
      </c>
      <c r="L229" s="8" t="inlineStr">
        <is>
          <t>Informe CAMIMEX 2023</t>
        </is>
      </c>
      <c r="M229" s="9" t="n">
        <v>58</v>
      </c>
      <c r="N229" s="8" t="n"/>
      <c r="O229" s="11">
        <f>IF(AND(ISNUMBER(G229),ISNUMBER(J229),J229&lt;&gt;0,H229=K229),G229/J229*100,"")</f>
        <v/>
      </c>
      <c r="P229" s="11">
        <f>IF(AND(ISNUMBER(O229),ISNUMBER(I229)),ROUND(O229-I229,2),"")</f>
        <v/>
      </c>
    </row>
    <row r="230">
      <c r="A230" s="6" t="inlineStr">
        <is>
          <t>Plomo</t>
        </is>
      </c>
      <c r="B230" s="6" t="n">
        <v>2022</v>
      </c>
      <c r="C230" s="6" t="inlineStr">
        <is>
          <t>mina</t>
        </is>
      </c>
      <c r="D230" s="6" t="inlineStr">
        <is>
          <t>Tizapa</t>
        </is>
      </c>
      <c r="E230" s="6" t="inlineStr">
        <is>
          <t>Industrias Penoles</t>
        </is>
      </c>
      <c r="F230" s="6" t="inlineStr">
        <is>
          <t>Edo. de Mex.</t>
        </is>
      </c>
      <c r="G230" s="6" t="n">
        <v>8514</v>
      </c>
      <c r="H230" s="6" t="inlineStr">
        <is>
          <t>toneladas</t>
        </is>
      </c>
      <c r="I230" s="6" t="n"/>
      <c r="J230" s="6" t="n">
        <v>272988</v>
      </c>
      <c r="K230" s="6" t="inlineStr">
        <is>
          <t>toneladas</t>
        </is>
      </c>
      <c r="L230" s="5" t="inlineStr">
        <is>
          <t>Informe CAMIMEX 2023</t>
        </is>
      </c>
      <c r="M230" s="6" t="n">
        <v>58</v>
      </c>
      <c r="N230" s="5" t="n"/>
      <c r="O230" s="11">
        <f>IF(AND(ISNUMBER(G230),ISNUMBER(J230),J230&lt;&gt;0,H230=K230),G230/J230*100,"")</f>
        <v/>
      </c>
      <c r="P230" s="11">
        <f>IF(AND(ISNUMBER(O230),ISNUMBER(I230)),ROUND(O230-I230,2),"")</f>
        <v/>
      </c>
    </row>
    <row r="231">
      <c r="A231" s="9" t="inlineStr">
        <is>
          <t>Plomo</t>
        </is>
      </c>
      <c r="B231" s="9" t="n">
        <v>2022</v>
      </c>
      <c r="C231" s="9" t="inlineStr">
        <is>
          <t>mina</t>
        </is>
      </c>
      <c r="D231" s="9" t="inlineStr">
        <is>
          <t>Velardena</t>
        </is>
      </c>
      <c r="E231" s="9" t="inlineStr">
        <is>
          <t>Industrias Penoles</t>
        </is>
      </c>
      <c r="F231" s="9" t="inlineStr">
        <is>
          <t>Dgo.</t>
        </is>
      </c>
      <c r="G231" s="9" t="n">
        <v>4665</v>
      </c>
      <c r="H231" s="9" t="inlineStr">
        <is>
          <t>toneladas</t>
        </is>
      </c>
      <c r="I231" s="9" t="n"/>
      <c r="J231" s="9" t="n">
        <v>272988</v>
      </c>
      <c r="K231" s="9" t="inlineStr">
        <is>
          <t>toneladas</t>
        </is>
      </c>
      <c r="L231" s="8" t="inlineStr">
        <is>
          <t>Informe CAMIMEX 2023</t>
        </is>
      </c>
      <c r="M231" s="9" t="n">
        <v>58</v>
      </c>
      <c r="N231" s="8" t="n"/>
      <c r="O231" s="11">
        <f>IF(AND(ISNUMBER(G231),ISNUMBER(J231),J231&lt;&gt;0,H231=K231),G231/J231*100,"")</f>
        <v/>
      </c>
      <c r="P231" s="11">
        <f>IF(AND(ISNUMBER(O231),ISNUMBER(I231)),ROUND(O231-I231,2),"")</f>
        <v/>
      </c>
    </row>
    <row r="232">
      <c r="A232" s="6" t="inlineStr">
        <is>
          <t>Plomo</t>
        </is>
      </c>
      <c r="B232" s="6" t="n">
        <v>2022</v>
      </c>
      <c r="C232" s="6" t="inlineStr">
        <is>
          <t>mina</t>
        </is>
      </c>
      <c r="D232" s="6" t="inlineStr">
        <is>
          <t>Zimapan</t>
        </is>
      </c>
      <c r="E232" s="6" t="inlineStr">
        <is>
          <t>Santacruz Silver</t>
        </is>
      </c>
      <c r="F232" s="6" t="inlineStr">
        <is>
          <t>Hgo.</t>
        </is>
      </c>
      <c r="G232" s="6" t="n">
        <v>4450</v>
      </c>
      <c r="H232" s="6" t="inlineStr">
        <is>
          <t>toneladas</t>
        </is>
      </c>
      <c r="I232" s="6" t="n"/>
      <c r="J232" s="6" t="n">
        <v>272988</v>
      </c>
      <c r="K232" s="6" t="inlineStr">
        <is>
          <t>toneladas</t>
        </is>
      </c>
      <c r="L232" s="5" t="inlineStr">
        <is>
          <t>Informe CAMIMEX 2023</t>
        </is>
      </c>
      <c r="M232" s="6" t="n">
        <v>58</v>
      </c>
      <c r="N232" s="5" t="inlineStr">
        <is>
          <t>Top-15 suma 207401</t>
        </is>
      </c>
      <c r="O232" s="11">
        <f>IF(AND(ISNUMBER(G232),ISNUMBER(J232),J232&lt;&gt;0,H232=K232),G232/J232*100,"")</f>
        <v/>
      </c>
      <c r="P232" s="11">
        <f>IF(AND(ISNUMBER(O232),ISNUMBER(I232)),ROUND(O232-I232,2),"")</f>
        <v/>
      </c>
    </row>
    <row r="233">
      <c r="A233" s="9" t="inlineStr">
        <is>
          <t>Plomo</t>
        </is>
      </c>
      <c r="B233" s="9" t="n">
        <v>2023</v>
      </c>
      <c r="C233" s="9" t="inlineStr">
        <is>
          <t>empresa</t>
        </is>
      </c>
      <c r="D233" s="9" t="n"/>
      <c r="E233" s="9" t="inlineStr">
        <is>
          <t>Newmont</t>
        </is>
      </c>
      <c r="F233" s="9" t="n"/>
      <c r="G233" s="9" t="n"/>
      <c r="H233" s="9" t="n"/>
      <c r="I233" s="9" t="n">
        <v>28</v>
      </c>
      <c r="J233" s="9" t="n">
        <v>182996</v>
      </c>
      <c r="K233" s="9" t="inlineStr">
        <is>
          <t>toneladas</t>
        </is>
      </c>
      <c r="L233" s="8" t="inlineStr">
        <is>
          <t>Informe CAMIMEX 2024</t>
        </is>
      </c>
      <c r="M233" s="9" t="n">
        <v>67</v>
      </c>
      <c r="N233" s="8" t="inlineStr">
        <is>
          <t>Narrativa: 1o Newmont 28% 2o Fresnillo; siguen Penoles GMexico Gatos Silver</t>
        </is>
      </c>
      <c r="O233" s="11">
        <f>IF(AND(ISNUMBER(G233),ISNUMBER(J233),J233&lt;&gt;0,H233=K233),G233/J233*100,"")</f>
        <v/>
      </c>
      <c r="P233" s="11">
        <f>IF(AND(ISNUMBER(O233),ISNUMBER(I233)),ROUND(O233-I233,2),"")</f>
        <v/>
      </c>
    </row>
    <row r="234">
      <c r="A234" s="6" t="inlineStr">
        <is>
          <t>Plomo</t>
        </is>
      </c>
      <c r="B234" s="6" t="n">
        <v>2023</v>
      </c>
      <c r="C234" s="6" t="inlineStr">
        <is>
          <t>mina</t>
        </is>
      </c>
      <c r="D234" s="6" t="inlineStr">
        <is>
          <t>Capela</t>
        </is>
      </c>
      <c r="E234" s="6" t="inlineStr">
        <is>
          <t>Industrias Penoles</t>
        </is>
      </c>
      <c r="F234" s="6" t="inlineStr">
        <is>
          <t>Gro.</t>
        </is>
      </c>
      <c r="G234" s="6" t="n">
        <v>3411</v>
      </c>
      <c r="H234" s="6" t="inlineStr">
        <is>
          <t>toneladas</t>
        </is>
      </c>
      <c r="I234" s="6" t="n"/>
      <c r="J234" s="6" t="n">
        <v>182996</v>
      </c>
      <c r="K234" s="6" t="inlineStr">
        <is>
          <t>toneladas</t>
        </is>
      </c>
      <c r="L234" s="5" t="inlineStr">
        <is>
          <t>Informe CAMIMEX 2024</t>
        </is>
      </c>
      <c r="M234" s="6" t="n">
        <v>67</v>
      </c>
      <c r="N234" s="5" t="inlineStr">
        <is>
          <t>Top-15 suma 182331</t>
        </is>
      </c>
      <c r="O234" s="11">
        <f>IF(AND(ISNUMBER(G234),ISNUMBER(J234),J234&lt;&gt;0,H234=K234),G234/J234*100,"")</f>
        <v/>
      </c>
      <c r="P234" s="11">
        <f>IF(AND(ISNUMBER(O234),ISNUMBER(I234)),ROUND(O234-I234,2),"")</f>
        <v/>
      </c>
    </row>
    <row r="235">
      <c r="A235" s="9" t="inlineStr">
        <is>
          <t>Plomo</t>
        </is>
      </c>
      <c r="B235" s="9" t="n">
        <v>2023</v>
      </c>
      <c r="C235" s="9" t="inlineStr">
        <is>
          <t>mina</t>
        </is>
      </c>
      <c r="D235" s="9" t="inlineStr">
        <is>
          <t>Cosala</t>
        </is>
      </c>
      <c r="E235" s="9" t="inlineStr">
        <is>
          <t>Americas Gold and Silver</t>
        </is>
      </c>
      <c r="F235" s="9" t="inlineStr">
        <is>
          <t>Sin.</t>
        </is>
      </c>
      <c r="G235" s="9" t="n">
        <v>5195</v>
      </c>
      <c r="H235" s="9" t="inlineStr">
        <is>
          <t>toneladas</t>
        </is>
      </c>
      <c r="I235" s="9" t="n"/>
      <c r="J235" s="9" t="n">
        <v>182996</v>
      </c>
      <c r="K235" s="9" t="inlineStr">
        <is>
          <t>toneladas</t>
        </is>
      </c>
      <c r="L235" s="8" t="inlineStr">
        <is>
          <t>Informe CAMIMEX 2024</t>
        </is>
      </c>
      <c r="M235" s="9" t="n">
        <v>67</v>
      </c>
      <c r="N235" s="8" t="n"/>
      <c r="O235" s="11">
        <f>IF(AND(ISNUMBER(G235),ISNUMBER(J235),J235&lt;&gt;0,H235=K235),G235/J235*100,"")</f>
        <v/>
      </c>
      <c r="P235" s="11">
        <f>IF(AND(ISNUMBER(O235),ISNUMBER(I235)),ROUND(O235-I235,2),"")</f>
        <v/>
      </c>
    </row>
    <row r="236">
      <c r="A236" s="6" t="inlineStr">
        <is>
          <t>Plomo</t>
        </is>
      </c>
      <c r="B236" s="6" t="n">
        <v>2023</v>
      </c>
      <c r="C236" s="6" t="inlineStr">
        <is>
          <t>mina</t>
        </is>
      </c>
      <c r="D236" s="6" t="inlineStr">
        <is>
          <t>El Aguila</t>
        </is>
      </c>
      <c r="E236" s="6" t="inlineStr">
        <is>
          <t>Gold Resource</t>
        </is>
      </c>
      <c r="F236" s="6" t="inlineStr">
        <is>
          <t>Oax.</t>
        </is>
      </c>
      <c r="G236" s="6" t="n">
        <v>5068</v>
      </c>
      <c r="H236" s="6" t="inlineStr">
        <is>
          <t>toneladas</t>
        </is>
      </c>
      <c r="I236" s="6" t="n"/>
      <c r="J236" s="6" t="n">
        <v>182996</v>
      </c>
      <c r="K236" s="6" t="inlineStr">
        <is>
          <t>toneladas</t>
        </is>
      </c>
      <c r="L236" s="5" t="inlineStr">
        <is>
          <t>Informe CAMIMEX 2024</t>
        </is>
      </c>
      <c r="M236" s="6" t="n">
        <v>67</v>
      </c>
      <c r="N236" s="5" t="n"/>
      <c r="O236" s="11">
        <f>IF(AND(ISNUMBER(G236),ISNUMBER(J236),J236&lt;&gt;0,H236=K236),G236/J236*100,"")</f>
        <v/>
      </c>
      <c r="P236" s="11">
        <f>IF(AND(ISNUMBER(O236),ISNUMBER(I236)),ROUND(O236-I236,2),"")</f>
        <v/>
      </c>
    </row>
    <row r="237">
      <c r="A237" s="9" t="inlineStr">
        <is>
          <t>Plomo</t>
        </is>
      </c>
      <c r="B237" s="9" t="n">
        <v>2023</v>
      </c>
      <c r="C237" s="9" t="inlineStr">
        <is>
          <t>mina</t>
        </is>
      </c>
      <c r="D237" s="9" t="inlineStr">
        <is>
          <t>Fresnillo</t>
        </is>
      </c>
      <c r="E237" s="9" t="inlineStr">
        <is>
          <t>Fresnillo plc</t>
        </is>
      </c>
      <c r="F237" s="9" t="inlineStr">
        <is>
          <t>Zac.</t>
        </is>
      </c>
      <c r="G237" s="9" t="n">
        <v>21373</v>
      </c>
      <c r="H237" s="9" t="inlineStr">
        <is>
          <t>toneladas</t>
        </is>
      </c>
      <c r="I237" s="9" t="n"/>
      <c r="J237" s="9" t="n">
        <v>182996</v>
      </c>
      <c r="K237" s="9" t="inlineStr">
        <is>
          <t>toneladas</t>
        </is>
      </c>
      <c r="L237" s="8" t="inlineStr">
        <is>
          <t>Informe CAMIMEX 2024</t>
        </is>
      </c>
      <c r="M237" s="9" t="n">
        <v>67</v>
      </c>
      <c r="N237" s="8" t="n"/>
      <c r="O237" s="11">
        <f>IF(AND(ISNUMBER(G237),ISNUMBER(J237),J237&lt;&gt;0,H237=K237),G237/J237*100,"")</f>
        <v/>
      </c>
      <c r="P237" s="11">
        <f>IF(AND(ISNUMBER(O237),ISNUMBER(I237)),ROUND(O237-I237,2),"")</f>
        <v/>
      </c>
    </row>
    <row r="238">
      <c r="A238" s="6" t="inlineStr">
        <is>
          <t>Plomo</t>
        </is>
      </c>
      <c r="B238" s="6" t="n">
        <v>2023</v>
      </c>
      <c r="C238" s="6" t="inlineStr">
        <is>
          <t>mina</t>
        </is>
      </c>
      <c r="D238" s="6" t="inlineStr">
        <is>
          <t>Juanicipio</t>
        </is>
      </c>
      <c r="E238" s="6" t="inlineStr">
        <is>
          <t>Fresnillo plc</t>
        </is>
      </c>
      <c r="F238" s="6" t="inlineStr">
        <is>
          <t>Zac.</t>
        </is>
      </c>
      <c r="G238" s="6" t="n">
        <v>7202</v>
      </c>
      <c r="H238" s="6" t="inlineStr">
        <is>
          <t>toneladas</t>
        </is>
      </c>
      <c r="I238" s="6" t="n"/>
      <c r="J238" s="6" t="n">
        <v>182996</v>
      </c>
      <c r="K238" s="6" t="inlineStr">
        <is>
          <t>toneladas</t>
        </is>
      </c>
      <c r="L238" s="5" t="inlineStr">
        <is>
          <t>Informe CAMIMEX 2024</t>
        </is>
      </c>
      <c r="M238" s="6" t="n">
        <v>67</v>
      </c>
      <c r="N238" s="5" t="n"/>
      <c r="O238" s="11">
        <f>IF(AND(ISNUMBER(G238),ISNUMBER(J238),J238&lt;&gt;0,H238=K238),G238/J238*100,"")</f>
        <v/>
      </c>
      <c r="P238" s="11">
        <f>IF(AND(ISNUMBER(O238),ISNUMBER(I238)),ROUND(O238-I238,2),"")</f>
        <v/>
      </c>
    </row>
    <row r="239">
      <c r="A239" s="9" t="inlineStr">
        <is>
          <t>Plomo</t>
        </is>
      </c>
      <c r="B239" s="9" t="n">
        <v>2023</v>
      </c>
      <c r="C239" s="9" t="inlineStr">
        <is>
          <t>mina</t>
        </is>
      </c>
      <c r="D239" s="9" t="inlineStr">
        <is>
          <t>La Colorada</t>
        </is>
      </c>
      <c r="E239" s="9" t="inlineStr">
        <is>
          <t>Pan American Silver</t>
        </is>
      </c>
      <c r="F239" s="9" t="inlineStr">
        <is>
          <t>Zac.</t>
        </is>
      </c>
      <c r="G239" s="9" t="n">
        <v>4200</v>
      </c>
      <c r="H239" s="9" t="inlineStr">
        <is>
          <t>toneladas</t>
        </is>
      </c>
      <c r="I239" s="9" t="n"/>
      <c r="J239" s="9" t="n">
        <v>182996</v>
      </c>
      <c r="K239" s="9" t="inlineStr">
        <is>
          <t>toneladas</t>
        </is>
      </c>
      <c r="L239" s="8" t="inlineStr">
        <is>
          <t>Informe CAMIMEX 2024</t>
        </is>
      </c>
      <c r="M239" s="9" t="n">
        <v>67</v>
      </c>
      <c r="N239" s="8" t="n"/>
      <c r="O239" s="11">
        <f>IF(AND(ISNUMBER(G239),ISNUMBER(J239),J239&lt;&gt;0,H239=K239),G239/J239*100,"")</f>
        <v/>
      </c>
      <c r="P239" s="11">
        <f>IF(AND(ISNUMBER(O239),ISNUMBER(I239)),ROUND(O239-I239,2),"")</f>
        <v/>
      </c>
    </row>
    <row r="240">
      <c r="A240" s="6" t="inlineStr">
        <is>
          <t>Plomo</t>
        </is>
      </c>
      <c r="B240" s="6" t="n">
        <v>2023</v>
      </c>
      <c r="C240" s="6" t="inlineStr">
        <is>
          <t>mina</t>
        </is>
      </c>
      <c r="D240" s="6" t="inlineStr">
        <is>
          <t>Los Gatos</t>
        </is>
      </c>
      <c r="E240" s="6" t="inlineStr">
        <is>
          <t>Gatos Silver</t>
        </is>
      </c>
      <c r="F240" s="6" t="inlineStr">
        <is>
          <t>Chih.</t>
        </is>
      </c>
      <c r="G240" s="6" t="n">
        <v>17645</v>
      </c>
      <c r="H240" s="6" t="inlineStr">
        <is>
          <t>toneladas</t>
        </is>
      </c>
      <c r="I240" s="6" t="n"/>
      <c r="J240" s="6" t="n">
        <v>182996</v>
      </c>
      <c r="K240" s="6" t="inlineStr">
        <is>
          <t>toneladas</t>
        </is>
      </c>
      <c r="L240" s="5" t="inlineStr">
        <is>
          <t>Informe CAMIMEX 2024</t>
        </is>
      </c>
      <c r="M240" s="6" t="n">
        <v>67</v>
      </c>
      <c r="N240" s="5" t="n"/>
      <c r="O240" s="11">
        <f>IF(AND(ISNUMBER(G240),ISNUMBER(J240),J240&lt;&gt;0,H240=K240),G240/J240*100,"")</f>
        <v/>
      </c>
      <c r="P240" s="11">
        <f>IF(AND(ISNUMBER(O240),ISNUMBER(I240)),ROUND(O240-I240,2),"")</f>
        <v/>
      </c>
    </row>
    <row r="241">
      <c r="A241" s="9" t="inlineStr">
        <is>
          <t>Plomo</t>
        </is>
      </c>
      <c r="B241" s="9" t="n">
        <v>2023</v>
      </c>
      <c r="C241" s="9" t="inlineStr">
        <is>
          <t>mina</t>
        </is>
      </c>
      <c r="D241" s="9" t="inlineStr">
        <is>
          <t>Penasquito</t>
        </is>
      </c>
      <c r="E241" s="9" t="inlineStr">
        <is>
          <t>Newmont</t>
        </is>
      </c>
      <c r="F241" s="9" t="inlineStr">
        <is>
          <t>Zac.</t>
        </is>
      </c>
      <c r="G241" s="9" t="n">
        <v>51256</v>
      </c>
      <c r="H241" s="9" t="inlineStr">
        <is>
          <t>toneladas</t>
        </is>
      </c>
      <c r="I241" s="9" t="n"/>
      <c r="J241" s="9" t="n">
        <v>182996</v>
      </c>
      <c r="K241" s="9" t="inlineStr">
        <is>
          <t>toneladas</t>
        </is>
      </c>
      <c r="L241" s="8" t="inlineStr">
        <is>
          <t>Informe CAMIMEX 2024</t>
        </is>
      </c>
      <c r="M241" s="9" t="n">
        <v>67</v>
      </c>
      <c r="N241" s="8" t="inlineStr">
        <is>
          <t>Tabla top-15 verificada en imagen</t>
        </is>
      </c>
      <c r="O241" s="11">
        <f>IF(AND(ISNUMBER(G241),ISNUMBER(J241),J241&lt;&gt;0,H241=K241),G241/J241*100,"")</f>
        <v/>
      </c>
      <c r="P241" s="11">
        <f>IF(AND(ISNUMBER(O241),ISNUMBER(I241)),ROUND(O241-I241,2),"")</f>
        <v/>
      </c>
    </row>
    <row r="242">
      <c r="A242" s="6" t="inlineStr">
        <is>
          <t>Plomo</t>
        </is>
      </c>
      <c r="B242" s="6" t="n">
        <v>2023</v>
      </c>
      <c r="C242" s="6" t="inlineStr">
        <is>
          <t>mina</t>
        </is>
      </c>
      <c r="D242" s="6" t="inlineStr">
        <is>
          <t>Sabinas</t>
        </is>
      </c>
      <c r="E242" s="6" t="inlineStr">
        <is>
          <t>Industrias Penoles</t>
        </is>
      </c>
      <c r="F242" s="6" t="inlineStr">
        <is>
          <t>Zac.</t>
        </is>
      </c>
      <c r="G242" s="6" t="n">
        <v>7110</v>
      </c>
      <c r="H242" s="6" t="inlineStr">
        <is>
          <t>toneladas</t>
        </is>
      </c>
      <c r="I242" s="6" t="n"/>
      <c r="J242" s="6" t="n">
        <v>182996</v>
      </c>
      <c r="K242" s="6" t="inlineStr">
        <is>
          <t>toneladas</t>
        </is>
      </c>
      <c r="L242" s="5" t="inlineStr">
        <is>
          <t>Informe CAMIMEX 2024</t>
        </is>
      </c>
      <c r="M242" s="6" t="n">
        <v>67</v>
      </c>
      <c r="N242" s="5" t="n"/>
      <c r="O242" s="11">
        <f>IF(AND(ISNUMBER(G242),ISNUMBER(J242),J242&lt;&gt;0,H242=K242),G242/J242*100,"")</f>
        <v/>
      </c>
      <c r="P242" s="11">
        <f>IF(AND(ISNUMBER(O242),ISNUMBER(I242)),ROUND(O242-I242,2),"")</f>
        <v/>
      </c>
    </row>
    <row r="243">
      <c r="A243" s="9" t="inlineStr">
        <is>
          <t>Plomo</t>
        </is>
      </c>
      <c r="B243" s="9" t="n">
        <v>2023</v>
      </c>
      <c r="C243" s="9" t="inlineStr">
        <is>
          <t>mina</t>
        </is>
      </c>
      <c r="D243" s="9" t="inlineStr">
        <is>
          <t>San Francisco del Oro</t>
        </is>
      </c>
      <c r="E243" s="9" t="inlineStr">
        <is>
          <t>Minera Frisco</t>
        </is>
      </c>
      <c r="F243" s="9" t="inlineStr">
        <is>
          <t>Chih.</t>
        </is>
      </c>
      <c r="G243" s="9" t="n">
        <v>3737</v>
      </c>
      <c r="H243" s="9" t="inlineStr">
        <is>
          <t>toneladas</t>
        </is>
      </c>
      <c r="I243" s="9" t="n"/>
      <c r="J243" s="9" t="n">
        <v>182996</v>
      </c>
      <c r="K243" s="9" t="inlineStr">
        <is>
          <t>toneladas</t>
        </is>
      </c>
      <c r="L243" s="8" t="inlineStr">
        <is>
          <t>Informe CAMIMEX 2024</t>
        </is>
      </c>
      <c r="M243" s="9" t="n">
        <v>67</v>
      </c>
      <c r="N243" s="8" t="n"/>
      <c r="O243" s="11">
        <f>IF(AND(ISNUMBER(G243),ISNUMBER(J243),J243&lt;&gt;0,H243=K243),G243/J243*100,"")</f>
        <v/>
      </c>
      <c r="P243" s="11">
        <f>IF(AND(ISNUMBER(O243),ISNUMBER(I243)),ROUND(O243-I243,2),"")</f>
        <v/>
      </c>
    </row>
    <row r="244">
      <c r="A244" s="6" t="inlineStr">
        <is>
          <t>Plomo</t>
        </is>
      </c>
      <c r="B244" s="6" t="n">
        <v>2023</v>
      </c>
      <c r="C244" s="6" t="inlineStr">
        <is>
          <t>mina</t>
        </is>
      </c>
      <c r="D244" s="6" t="inlineStr">
        <is>
          <t>Santa Barbara</t>
        </is>
      </c>
      <c r="E244" s="6" t="inlineStr">
        <is>
          <t>Grupo Mexico</t>
        </is>
      </c>
      <c r="F244" s="6" t="inlineStr">
        <is>
          <t>Chih.</t>
        </is>
      </c>
      <c r="G244" s="6" t="n">
        <v>16992</v>
      </c>
      <c r="H244" s="6" t="inlineStr">
        <is>
          <t>toneladas</t>
        </is>
      </c>
      <c r="I244" s="6" t="n"/>
      <c r="J244" s="6" t="n">
        <v>182996</v>
      </c>
      <c r="K244" s="6" t="inlineStr">
        <is>
          <t>toneladas</t>
        </is>
      </c>
      <c r="L244" s="5" t="inlineStr">
        <is>
          <t>Informe CAMIMEX 2024</t>
        </is>
      </c>
      <c r="M244" s="6" t="n">
        <v>67</v>
      </c>
      <c r="N244" s="5" t="n"/>
      <c r="O244" s="11">
        <f>IF(AND(ISNUMBER(G244),ISNUMBER(J244),J244&lt;&gt;0,H244=K244),G244/J244*100,"")</f>
        <v/>
      </c>
      <c r="P244" s="11">
        <f>IF(AND(ISNUMBER(O244),ISNUMBER(I244)),ROUND(O244-I244,2),"")</f>
        <v/>
      </c>
    </row>
    <row r="245">
      <c r="A245" s="9" t="inlineStr">
        <is>
          <t>Plomo</t>
        </is>
      </c>
      <c r="B245" s="9" t="n">
        <v>2023</v>
      </c>
      <c r="C245" s="9" t="inlineStr">
        <is>
          <t>mina</t>
        </is>
      </c>
      <c r="D245" s="9" t="inlineStr">
        <is>
          <t>Saucito</t>
        </is>
      </c>
      <c r="E245" s="9" t="inlineStr">
        <is>
          <t>Fresnillo plc</t>
        </is>
      </c>
      <c r="F245" s="9" t="inlineStr">
        <is>
          <t>Zac.</t>
        </is>
      </c>
      <c r="G245" s="9" t="n">
        <v>19535</v>
      </c>
      <c r="H245" s="9" t="inlineStr">
        <is>
          <t>toneladas</t>
        </is>
      </c>
      <c r="I245" s="9" t="n"/>
      <c r="J245" s="9" t="n">
        <v>182996</v>
      </c>
      <c r="K245" s="9" t="inlineStr">
        <is>
          <t>toneladas</t>
        </is>
      </c>
      <c r="L245" s="8" t="inlineStr">
        <is>
          <t>Informe CAMIMEX 2024</t>
        </is>
      </c>
      <c r="M245" s="9" t="n">
        <v>67</v>
      </c>
      <c r="N245" s="8" t="n"/>
      <c r="O245" s="11">
        <f>IF(AND(ISNUMBER(G245),ISNUMBER(J245),J245&lt;&gt;0,H245=K245),G245/J245*100,"")</f>
        <v/>
      </c>
      <c r="P245" s="11">
        <f>IF(AND(ISNUMBER(O245),ISNUMBER(I245)),ROUND(O245-I245,2),"")</f>
        <v/>
      </c>
    </row>
    <row r="246">
      <c r="A246" s="6" t="inlineStr">
        <is>
          <t>Plomo</t>
        </is>
      </c>
      <c r="B246" s="6" t="n">
        <v>2023</v>
      </c>
      <c r="C246" s="6" t="inlineStr">
        <is>
          <t>mina</t>
        </is>
      </c>
      <c r="D246" s="6" t="inlineStr">
        <is>
          <t>Tayahua</t>
        </is>
      </c>
      <c r="E246" s="6" t="inlineStr">
        <is>
          <t>Minera Frisco</t>
        </is>
      </c>
      <c r="F246" s="6" t="inlineStr">
        <is>
          <t>Zac.</t>
        </is>
      </c>
      <c r="G246" s="6" t="n">
        <v>6072</v>
      </c>
      <c r="H246" s="6" t="inlineStr">
        <is>
          <t>toneladas</t>
        </is>
      </c>
      <c r="I246" s="6" t="n"/>
      <c r="J246" s="6" t="n">
        <v>182996</v>
      </c>
      <c r="K246" s="6" t="inlineStr">
        <is>
          <t>toneladas</t>
        </is>
      </c>
      <c r="L246" s="5" t="inlineStr">
        <is>
          <t>Informe CAMIMEX 2024</t>
        </is>
      </c>
      <c r="M246" s="6" t="n">
        <v>67</v>
      </c>
      <c r="N246" s="5" t="n"/>
      <c r="O246" s="11">
        <f>IF(AND(ISNUMBER(G246),ISNUMBER(J246),J246&lt;&gt;0,H246=K246),G246/J246*100,"")</f>
        <v/>
      </c>
      <c r="P246" s="11">
        <f>IF(AND(ISNUMBER(O246),ISNUMBER(I246)),ROUND(O246-I246,2),"")</f>
        <v/>
      </c>
    </row>
    <row r="247">
      <c r="A247" s="9" t="inlineStr">
        <is>
          <t>Plomo</t>
        </is>
      </c>
      <c r="B247" s="9" t="n">
        <v>2023</v>
      </c>
      <c r="C247" s="9" t="inlineStr">
        <is>
          <t>mina</t>
        </is>
      </c>
      <c r="D247" s="9" t="inlineStr">
        <is>
          <t>Tizapa</t>
        </is>
      </c>
      <c r="E247" s="9" t="inlineStr">
        <is>
          <t>Industrias Penoles</t>
        </is>
      </c>
      <c r="F247" s="9" t="inlineStr">
        <is>
          <t>Edo. de Mex.</t>
        </is>
      </c>
      <c r="G247" s="9" t="n">
        <v>8821</v>
      </c>
      <c r="H247" s="9" t="inlineStr">
        <is>
          <t>toneladas</t>
        </is>
      </c>
      <c r="I247" s="9" t="n"/>
      <c r="J247" s="9" t="n">
        <v>182996</v>
      </c>
      <c r="K247" s="9" t="inlineStr">
        <is>
          <t>toneladas</t>
        </is>
      </c>
      <c r="L247" s="8" t="inlineStr">
        <is>
          <t>Informe CAMIMEX 2024</t>
        </is>
      </c>
      <c r="M247" s="9" t="n">
        <v>67</v>
      </c>
      <c r="N247" s="8" t="n"/>
      <c r="O247" s="11">
        <f>IF(AND(ISNUMBER(G247),ISNUMBER(J247),J247&lt;&gt;0,H247=K247),G247/J247*100,"")</f>
        <v/>
      </c>
      <c r="P247" s="11">
        <f>IF(AND(ISNUMBER(O247),ISNUMBER(I247)),ROUND(O247-I247,2),"")</f>
        <v/>
      </c>
    </row>
    <row r="248">
      <c r="A248" s="6" t="inlineStr">
        <is>
          <t>Plomo</t>
        </is>
      </c>
      <c r="B248" s="6" t="n">
        <v>2023</v>
      </c>
      <c r="C248" s="6" t="inlineStr">
        <is>
          <t>mina</t>
        </is>
      </c>
      <c r="D248" s="6" t="inlineStr">
        <is>
          <t>Zimapan</t>
        </is>
      </c>
      <c r="E248" s="6" t="inlineStr">
        <is>
          <t>Santacruz Silver</t>
        </is>
      </c>
      <c r="F248" s="6" t="inlineStr">
        <is>
          <t>Hgo.</t>
        </is>
      </c>
      <c r="G248" s="6" t="n">
        <v>4714</v>
      </c>
      <c r="H248" s="6" t="inlineStr">
        <is>
          <t>toneladas</t>
        </is>
      </c>
      <c r="I248" s="6" t="n"/>
      <c r="J248" s="6" t="n">
        <v>182996</v>
      </c>
      <c r="K248" s="6" t="inlineStr">
        <is>
          <t>toneladas</t>
        </is>
      </c>
      <c r="L248" s="5" t="inlineStr">
        <is>
          <t>Informe CAMIMEX 2024</t>
        </is>
      </c>
      <c r="M248" s="6" t="n">
        <v>67</v>
      </c>
      <c r="N248" s="5" t="n"/>
      <c r="O248" s="11">
        <f>IF(AND(ISNUMBER(G248),ISNUMBER(J248),J248&lt;&gt;0,H248=K248),G248/J248*100,"")</f>
        <v/>
      </c>
      <c r="P248" s="11">
        <f>IF(AND(ISNUMBER(O248),ISNUMBER(I248)),ROUND(O248-I248,2),"")</f>
        <v/>
      </c>
    </row>
    <row r="249">
      <c r="A249" s="9" t="inlineStr">
        <is>
          <t>Plomo</t>
        </is>
      </c>
      <c r="B249" s="9" t="n">
        <v>2024</v>
      </c>
      <c r="C249" s="9" t="inlineStr">
        <is>
          <t>empresa</t>
        </is>
      </c>
      <c r="D249" s="9" t="n"/>
      <c r="E249" s="9" t="inlineStr">
        <is>
          <t>Newmont</t>
        </is>
      </c>
      <c r="F249" s="9" t="n"/>
      <c r="G249" s="9" t="n"/>
      <c r="H249" s="9" t="n"/>
      <c r="I249" s="9" t="n">
        <v>40.7</v>
      </c>
      <c r="J249" s="9" t="n">
        <v>236771</v>
      </c>
      <c r="K249" s="9" t="inlineStr">
        <is>
          <t>toneladas</t>
        </is>
      </c>
      <c r="L249" s="8" t="inlineStr">
        <is>
          <t>Informe CAMIMEX 2025</t>
        </is>
      </c>
      <c r="M249" s="9" t="n">
        <v>55</v>
      </c>
      <c r="N249" s="8" t="inlineStr">
        <is>
          <t>Narrativa: 1o Newmont 40.7% 2o Fresnillo; siguen GMexico First Majestic Penoles</t>
        </is>
      </c>
      <c r="O249" s="11">
        <f>IF(AND(ISNUMBER(G249),ISNUMBER(J249),J249&lt;&gt;0,H249=K249),G249/J249*100,"")</f>
        <v/>
      </c>
      <c r="P249" s="11">
        <f>IF(AND(ISNUMBER(O249),ISNUMBER(I249)),ROUND(O249-I249,2),"")</f>
        <v/>
      </c>
    </row>
    <row r="250">
      <c r="A250" s="6" t="inlineStr">
        <is>
          <t>Plomo</t>
        </is>
      </c>
      <c r="B250" s="6" t="n">
        <v>2024</v>
      </c>
      <c r="C250" s="6" t="inlineStr">
        <is>
          <t>mina</t>
        </is>
      </c>
      <c r="D250" s="6" t="inlineStr">
        <is>
          <t>Fresnillo</t>
        </is>
      </c>
      <c r="E250" s="6" t="inlineStr">
        <is>
          <t>Fresnillo plc</t>
        </is>
      </c>
      <c r="F250" s="6" t="inlineStr">
        <is>
          <t>Zac.</t>
        </is>
      </c>
      <c r="G250" s="6" t="n">
        <v>27088</v>
      </c>
      <c r="H250" s="6" t="inlineStr">
        <is>
          <t>toneladas</t>
        </is>
      </c>
      <c r="I250" s="6" t="n"/>
      <c r="J250" s="6" t="n">
        <v>236771</v>
      </c>
      <c r="K250" s="6" t="inlineStr">
        <is>
          <t>toneladas</t>
        </is>
      </c>
      <c r="L250" s="5" t="inlineStr">
        <is>
          <t>Informe CAMIMEX 2025</t>
        </is>
      </c>
      <c r="M250" s="6" t="n">
        <v>55</v>
      </c>
      <c r="N250" s="5" t="n"/>
      <c r="O250" s="11">
        <f>IF(AND(ISNUMBER(G250),ISNUMBER(J250),J250&lt;&gt;0,H250=K250),G250/J250*100,"")</f>
        <v/>
      </c>
      <c r="P250" s="11">
        <f>IF(AND(ISNUMBER(O250),ISNUMBER(I250)),ROUND(O250-I250,2),"")</f>
        <v/>
      </c>
    </row>
    <row r="251">
      <c r="A251" s="9" t="inlineStr">
        <is>
          <t>Plomo</t>
        </is>
      </c>
      <c r="B251" s="9" t="n">
        <v>2024</v>
      </c>
      <c r="C251" s="9" t="inlineStr">
        <is>
          <t>mina</t>
        </is>
      </c>
      <c r="D251" s="9" t="inlineStr">
        <is>
          <t>Juanicipio</t>
        </is>
      </c>
      <c r="E251" s="9" t="inlineStr">
        <is>
          <t>Fresnillo plc</t>
        </is>
      </c>
      <c r="F251" s="9" t="inlineStr">
        <is>
          <t>Zac.</t>
        </is>
      </c>
      <c r="G251" s="9" t="n">
        <v>9957</v>
      </c>
      <c r="H251" s="9" t="inlineStr">
        <is>
          <t>toneladas</t>
        </is>
      </c>
      <c r="I251" s="9" t="n"/>
      <c r="J251" s="9" t="n">
        <v>236771</v>
      </c>
      <c r="K251" s="9" t="inlineStr">
        <is>
          <t>toneladas</t>
        </is>
      </c>
      <c r="L251" s="8" t="inlineStr">
        <is>
          <t>Informe CAMIMEX 2025</t>
        </is>
      </c>
      <c r="M251" s="9" t="n">
        <v>55</v>
      </c>
      <c r="N251" s="8" t="n"/>
      <c r="O251" s="11">
        <f>IF(AND(ISNUMBER(G251),ISNUMBER(J251),J251&lt;&gt;0,H251=K251),G251/J251*100,"")</f>
        <v/>
      </c>
      <c r="P251" s="11">
        <f>IF(AND(ISNUMBER(O251),ISNUMBER(I251)),ROUND(O251-I251,2),"")</f>
        <v/>
      </c>
    </row>
    <row r="252">
      <c r="A252" s="6" t="inlineStr">
        <is>
          <t>Plomo</t>
        </is>
      </c>
      <c r="B252" s="6" t="n">
        <v>2024</v>
      </c>
      <c r="C252" s="6" t="inlineStr">
        <is>
          <t>mina</t>
        </is>
      </c>
      <c r="D252" s="6" t="inlineStr">
        <is>
          <t>La Colorada</t>
        </is>
      </c>
      <c r="E252" s="6" t="inlineStr">
        <is>
          <t>Pan American Silver</t>
        </is>
      </c>
      <c r="F252" s="6" t="inlineStr">
        <is>
          <t>Zac.</t>
        </is>
      </c>
      <c r="G252" s="6" t="n">
        <v>7043</v>
      </c>
      <c r="H252" s="6" t="inlineStr">
        <is>
          <t>toneladas</t>
        </is>
      </c>
      <c r="I252" s="6" t="n"/>
      <c r="J252" s="6" t="n">
        <v>236771</v>
      </c>
      <c r="K252" s="6" t="inlineStr">
        <is>
          <t>toneladas</t>
        </is>
      </c>
      <c r="L252" s="5" t="inlineStr">
        <is>
          <t>Informe CAMIMEX 2025</t>
        </is>
      </c>
      <c r="M252" s="6" t="n">
        <v>55</v>
      </c>
      <c r="N252" s="5" t="n"/>
      <c r="O252" s="11">
        <f>IF(AND(ISNUMBER(G252),ISNUMBER(J252),J252&lt;&gt;0,H252=K252),G252/J252*100,"")</f>
        <v/>
      </c>
      <c r="P252" s="11">
        <f>IF(AND(ISNUMBER(O252),ISNUMBER(I252)),ROUND(O252-I252,2),"")</f>
        <v/>
      </c>
    </row>
    <row r="253">
      <c r="A253" s="9" t="inlineStr">
        <is>
          <t>Plomo</t>
        </is>
      </c>
      <c r="B253" s="9" t="n">
        <v>2024</v>
      </c>
      <c r="C253" s="9" t="inlineStr">
        <is>
          <t>mina</t>
        </is>
      </c>
      <c r="D253" s="9" t="inlineStr">
        <is>
          <t>Los Gatos</t>
        </is>
      </c>
      <c r="E253" s="9" t="inlineStr">
        <is>
          <t>First Majestic Silver</t>
        </is>
      </c>
      <c r="F253" s="9" t="inlineStr">
        <is>
          <t>Chih.</t>
        </is>
      </c>
      <c r="G253" s="9" t="n">
        <v>21061</v>
      </c>
      <c r="H253" s="9" t="inlineStr">
        <is>
          <t>toneladas</t>
        </is>
      </c>
      <c r="I253" s="9" t="n"/>
      <c r="J253" s="9" t="n">
        <v>236771</v>
      </c>
      <c r="K253" s="9" t="inlineStr">
        <is>
          <t>toneladas</t>
        </is>
      </c>
      <c r="L253" s="8" t="inlineStr">
        <is>
          <t>Informe CAMIMEX 2025</t>
        </is>
      </c>
      <c r="M253" s="9" t="n">
        <v>55</v>
      </c>
      <c r="N253" s="8" t="n"/>
      <c r="O253" s="11">
        <f>IF(AND(ISNUMBER(G253),ISNUMBER(J253),J253&lt;&gt;0,H253=K253),G253/J253*100,"")</f>
        <v/>
      </c>
      <c r="P253" s="11">
        <f>IF(AND(ISNUMBER(O253),ISNUMBER(I253)),ROUND(O253-I253,2),"")</f>
        <v/>
      </c>
    </row>
    <row r="254">
      <c r="A254" s="6" t="inlineStr">
        <is>
          <t>Plomo</t>
        </is>
      </c>
      <c r="B254" s="6" t="n">
        <v>2024</v>
      </c>
      <c r="C254" s="6" t="inlineStr">
        <is>
          <t>mina</t>
        </is>
      </c>
      <c r="D254" s="6" t="inlineStr">
        <is>
          <t>Penasquito</t>
        </is>
      </c>
      <c r="E254" s="6" t="inlineStr">
        <is>
          <t>Newmont</t>
        </is>
      </c>
      <c r="F254" s="6" t="inlineStr">
        <is>
          <t>Zac.</t>
        </is>
      </c>
      <c r="G254" s="6" t="n">
        <v>96313</v>
      </c>
      <c r="H254" s="6" t="inlineStr">
        <is>
          <t>toneladas</t>
        </is>
      </c>
      <c r="I254" s="6" t="n"/>
      <c r="J254" s="6" t="n">
        <v>236771</v>
      </c>
      <c r="K254" s="6" t="inlineStr">
        <is>
          <t>toneladas</t>
        </is>
      </c>
      <c r="L254" s="5" t="inlineStr">
        <is>
          <t>Informe CAMIMEX 2025</t>
        </is>
      </c>
      <c r="M254" s="6" t="n">
        <v>55</v>
      </c>
      <c r="N254" s="5" t="inlineStr">
        <is>
          <t>Tabla top-10 verificada en imagen</t>
        </is>
      </c>
      <c r="O254" s="11">
        <f>IF(AND(ISNUMBER(G254),ISNUMBER(J254),J254&lt;&gt;0,H254=K254),G254/J254*100,"")</f>
        <v/>
      </c>
      <c r="P254" s="11">
        <f>IF(AND(ISNUMBER(O254),ISNUMBER(I254)),ROUND(O254-I254,2),"")</f>
        <v/>
      </c>
    </row>
    <row r="255">
      <c r="A255" s="9" t="inlineStr">
        <is>
          <t>Plomo</t>
        </is>
      </c>
      <c r="B255" s="9" t="n">
        <v>2024</v>
      </c>
      <c r="C255" s="9" t="inlineStr">
        <is>
          <t>mina</t>
        </is>
      </c>
      <c r="D255" s="9" t="inlineStr">
        <is>
          <t>Sabinas</t>
        </is>
      </c>
      <c r="E255" s="9" t="inlineStr">
        <is>
          <t>Industrias Penoles</t>
        </is>
      </c>
      <c r="F255" s="9" t="inlineStr">
        <is>
          <t>Zac.</t>
        </is>
      </c>
      <c r="G255" s="9" t="n">
        <v>6296</v>
      </c>
      <c r="H255" s="9" t="inlineStr">
        <is>
          <t>toneladas</t>
        </is>
      </c>
      <c r="I255" s="9" t="n"/>
      <c r="J255" s="9" t="n">
        <v>236771</v>
      </c>
      <c r="K255" s="9" t="inlineStr">
        <is>
          <t>toneladas</t>
        </is>
      </c>
      <c r="L255" s="8" t="inlineStr">
        <is>
          <t>Informe CAMIMEX 2025</t>
        </is>
      </c>
      <c r="M255" s="9" t="n">
        <v>55</v>
      </c>
      <c r="N255" s="8" t="n"/>
      <c r="O255" s="11">
        <f>IF(AND(ISNUMBER(G255),ISNUMBER(J255),J255&lt;&gt;0,H255=K255),G255/J255*100,"")</f>
        <v/>
      </c>
      <c r="P255" s="11">
        <f>IF(AND(ISNUMBER(O255),ISNUMBER(I255)),ROUND(O255-I255,2),"")</f>
        <v/>
      </c>
    </row>
    <row r="256">
      <c r="A256" s="6" t="inlineStr">
        <is>
          <t>Plomo</t>
        </is>
      </c>
      <c r="B256" s="6" t="n">
        <v>2024</v>
      </c>
      <c r="C256" s="6" t="inlineStr">
        <is>
          <t>mina</t>
        </is>
      </c>
      <c r="D256" s="6" t="inlineStr">
        <is>
          <t>Santa Barbara</t>
        </is>
      </c>
      <c r="E256" s="6" t="inlineStr">
        <is>
          <t>Grupo Mexico</t>
        </is>
      </c>
      <c r="F256" s="6" t="inlineStr">
        <is>
          <t>Chih.</t>
        </is>
      </c>
      <c r="G256" s="6" t="n">
        <v>19195</v>
      </c>
      <c r="H256" s="6" t="inlineStr">
        <is>
          <t>toneladas</t>
        </is>
      </c>
      <c r="I256" s="6" t="n"/>
      <c r="J256" s="6" t="n">
        <v>236771</v>
      </c>
      <c r="K256" s="6" t="inlineStr">
        <is>
          <t>toneladas</t>
        </is>
      </c>
      <c r="L256" s="5" t="inlineStr">
        <is>
          <t>Informe CAMIMEX 2025</t>
        </is>
      </c>
      <c r="M256" s="6" t="n">
        <v>55</v>
      </c>
      <c r="N256" s="5" t="n"/>
      <c r="O256" s="11">
        <f>IF(AND(ISNUMBER(G256),ISNUMBER(J256),J256&lt;&gt;0,H256=K256),G256/J256*100,"")</f>
        <v/>
      </c>
      <c r="P256" s="11">
        <f>IF(AND(ISNUMBER(O256),ISNUMBER(I256)),ROUND(O256-I256,2),"")</f>
        <v/>
      </c>
    </row>
    <row r="257">
      <c r="A257" s="9" t="inlineStr">
        <is>
          <t>Plomo</t>
        </is>
      </c>
      <c r="B257" s="9" t="n">
        <v>2024</v>
      </c>
      <c r="C257" s="9" t="inlineStr">
        <is>
          <t>mina</t>
        </is>
      </c>
      <c r="D257" s="9" t="inlineStr">
        <is>
          <t>Saucito</t>
        </is>
      </c>
      <c r="E257" s="9" t="inlineStr">
        <is>
          <t>Fresnillo plc</t>
        </is>
      </c>
      <c r="F257" s="9" t="inlineStr">
        <is>
          <t>Zac.</t>
        </is>
      </c>
      <c r="G257" s="9" t="n">
        <v>22729</v>
      </c>
      <c r="H257" s="9" t="inlineStr">
        <is>
          <t>toneladas</t>
        </is>
      </c>
      <c r="I257" s="9" t="n"/>
      <c r="J257" s="9" t="n">
        <v>236771</v>
      </c>
      <c r="K257" s="9" t="inlineStr">
        <is>
          <t>toneladas</t>
        </is>
      </c>
      <c r="L257" s="8" t="inlineStr">
        <is>
          <t>Informe CAMIMEX 2025</t>
        </is>
      </c>
      <c r="M257" s="9" t="n">
        <v>55</v>
      </c>
      <c r="N257" s="8" t="n"/>
      <c r="O257" s="11">
        <f>IF(AND(ISNUMBER(G257),ISNUMBER(J257),J257&lt;&gt;0,H257=K257),G257/J257*100,"")</f>
        <v/>
      </c>
      <c r="P257" s="11">
        <f>IF(AND(ISNUMBER(O257),ISNUMBER(I257)),ROUND(O257-I257,2),"")</f>
        <v/>
      </c>
    </row>
    <row r="258">
      <c r="A258" s="6" t="inlineStr">
        <is>
          <t>Plomo</t>
        </is>
      </c>
      <c r="B258" s="6" t="n">
        <v>2024</v>
      </c>
      <c r="C258" s="6" t="inlineStr">
        <is>
          <t>mina</t>
        </is>
      </c>
      <c r="D258" s="6" t="inlineStr">
        <is>
          <t>Tayahua</t>
        </is>
      </c>
      <c r="E258" s="6" t="inlineStr">
        <is>
          <t>Minera Frisco</t>
        </is>
      </c>
      <c r="F258" s="6" t="inlineStr">
        <is>
          <t>Zac.</t>
        </is>
      </c>
      <c r="G258" s="6" t="n">
        <v>6383</v>
      </c>
      <c r="H258" s="6" t="inlineStr">
        <is>
          <t>toneladas</t>
        </is>
      </c>
      <c r="I258" s="6" t="n"/>
      <c r="J258" s="6" t="n">
        <v>236771</v>
      </c>
      <c r="K258" s="6" t="inlineStr">
        <is>
          <t>toneladas</t>
        </is>
      </c>
      <c r="L258" s="5" t="inlineStr">
        <is>
          <t>Informe CAMIMEX 2025</t>
        </is>
      </c>
      <c r="M258" s="6" t="n">
        <v>55</v>
      </c>
      <c r="N258" s="5" t="n"/>
      <c r="O258" s="11">
        <f>IF(AND(ISNUMBER(G258),ISNUMBER(J258),J258&lt;&gt;0,H258=K258),G258/J258*100,"")</f>
        <v/>
      </c>
      <c r="P258" s="11">
        <f>IF(AND(ISNUMBER(O258),ISNUMBER(I258)),ROUND(O258-I258,2),"")</f>
        <v/>
      </c>
    </row>
    <row r="259">
      <c r="A259" s="9" t="inlineStr">
        <is>
          <t>Plomo</t>
        </is>
      </c>
      <c r="B259" s="9" t="n">
        <v>2024</v>
      </c>
      <c r="C259" s="9" t="inlineStr">
        <is>
          <t>mina</t>
        </is>
      </c>
      <c r="D259" s="9" t="inlineStr">
        <is>
          <t>Zimapan</t>
        </is>
      </c>
      <c r="E259" s="9" t="inlineStr">
        <is>
          <t>Santacruz Silver</t>
        </is>
      </c>
      <c r="F259" s="9" t="inlineStr">
        <is>
          <t>Hgo.</t>
        </is>
      </c>
      <c r="G259" s="9" t="n">
        <v>5459</v>
      </c>
      <c r="H259" s="9" t="inlineStr">
        <is>
          <t>toneladas</t>
        </is>
      </c>
      <c r="I259" s="9" t="n"/>
      <c r="J259" s="9" t="n">
        <v>236771</v>
      </c>
      <c r="K259" s="9" t="inlineStr">
        <is>
          <t>toneladas</t>
        </is>
      </c>
      <c r="L259" s="8" t="inlineStr">
        <is>
          <t>Informe CAMIMEX 2025</t>
        </is>
      </c>
      <c r="M259" s="9" t="n">
        <v>55</v>
      </c>
      <c r="N259" s="8" t="inlineStr">
        <is>
          <t>Top-10 suma 221524</t>
        </is>
      </c>
      <c r="O259" s="11">
        <f>IF(AND(ISNUMBER(G259),ISNUMBER(J259),J259&lt;&gt;0,H259=K259),G259/J259*100,"")</f>
        <v/>
      </c>
      <c r="P259" s="11">
        <f>IF(AND(ISNUMBER(O259),ISNUMBER(I259)),ROUND(O259-I259,2),"")</f>
        <v/>
      </c>
    </row>
    <row r="260">
      <c r="A260" s="6" t="inlineStr">
        <is>
          <t>Silice</t>
        </is>
      </c>
      <c r="B260" s="6" t="n">
        <v>2020</v>
      </c>
      <c r="C260" s="6" t="inlineStr">
        <is>
          <t>empresa</t>
        </is>
      </c>
      <c r="D260" s="6" t="n"/>
      <c r="E260" s="6" t="inlineStr">
        <is>
          <t>Grupo Materias Primas (Covia)</t>
        </is>
      </c>
      <c r="F260" s="6" t="n"/>
      <c r="G260" s="6" t="n">
        <v>2320000</v>
      </c>
      <c r="H260" s="6" t="inlineStr">
        <is>
          <t>toneladas</t>
        </is>
      </c>
      <c r="I260" s="6" t="n">
        <v>92.3</v>
      </c>
      <c r="J260" s="6" t="n">
        <v>2514378</v>
      </c>
      <c r="K260" s="6" t="inlineStr">
        <is>
          <t>toneladas</t>
        </is>
      </c>
      <c r="L260" s="5" t="inlineStr">
        <is>
          <t>Informe CAMIMEX 2021</t>
        </is>
      </c>
      <c r="M260" s="6" t="n"/>
      <c r="N260" s="5" t="inlineStr">
        <is>
          <t>GMP 2.32Mt de 2.514Mt = 92.3pct</t>
        </is>
      </c>
      <c r="O260" s="11">
        <f>IF(AND(ISNUMBER(G260),ISNUMBER(J260),J260&lt;&gt;0,H260=K260),G260/J260*100,"")</f>
        <v/>
      </c>
      <c r="P260" s="11">
        <f>IF(AND(ISNUMBER(O260),ISNUMBER(I260)),ROUND(O260-I260,2),"")</f>
        <v/>
      </c>
    </row>
    <row r="261">
      <c r="A261" s="9" t="inlineStr">
        <is>
          <t>Silice</t>
        </is>
      </c>
      <c r="B261" s="9" t="n">
        <v>2021</v>
      </c>
      <c r="C261" s="9" t="inlineStr">
        <is>
          <t>empresa</t>
        </is>
      </c>
      <c r="D261" s="9" t="n"/>
      <c r="E261" s="9" t="inlineStr">
        <is>
          <t>Grupo Materias Primas (Covia)</t>
        </is>
      </c>
      <c r="F261" s="9" t="n"/>
      <c r="G261" s="9" t="n">
        <v>2630000</v>
      </c>
      <c r="H261" s="9" t="inlineStr">
        <is>
          <t>toneladas</t>
        </is>
      </c>
      <c r="I261" s="9" t="n">
        <v>98.7</v>
      </c>
      <c r="J261" s="9" t="n">
        <v>2664642</v>
      </c>
      <c r="K261" s="9" t="inlineStr">
        <is>
          <t>toneladas</t>
        </is>
      </c>
      <c r="L261" s="8" t="inlineStr">
        <is>
          <t>Informe CAMIMEX 2022 p75</t>
        </is>
      </c>
      <c r="M261" s="9" t="n"/>
      <c r="N261" s="8" t="inlineStr">
        <is>
          <t>GMP 2.63Mt de 2.665Mt = 98.7pct</t>
        </is>
      </c>
      <c r="O261" s="11">
        <f>IF(AND(ISNUMBER(G261),ISNUMBER(J261),J261&lt;&gt;0,H261=K261),G261/J261*100,"")</f>
        <v/>
      </c>
      <c r="P261" s="11">
        <f>IF(AND(ISNUMBER(O261),ISNUMBER(I261)),ROUND(O261-I261,2),"")</f>
        <v/>
      </c>
    </row>
    <row r="262">
      <c r="A262" s="6" t="inlineStr">
        <is>
          <t>Silice</t>
        </is>
      </c>
      <c r="B262" s="6" t="n">
        <v>2022</v>
      </c>
      <c r="C262" s="6" t="inlineStr">
        <is>
          <t>empresa</t>
        </is>
      </c>
      <c r="D262" s="6" t="n"/>
      <c r="E262" s="6" t="inlineStr">
        <is>
          <t>Grupo Materias Primas (Covia)</t>
        </is>
      </c>
      <c r="F262" s="6" t="n"/>
      <c r="G262" s="6" t="n">
        <v>3000000</v>
      </c>
      <c r="H262" s="6" t="inlineStr">
        <is>
          <t>toneladas</t>
        </is>
      </c>
      <c r="I262" s="6" t="n">
        <v>74.3</v>
      </c>
      <c r="J262" s="6" t="n">
        <v>4038190</v>
      </c>
      <c r="K262" s="6" t="inlineStr">
        <is>
          <t>toneladas</t>
        </is>
      </c>
      <c r="L262" s="5" t="inlineStr">
        <is>
          <t>Informe CAMIMEX 2023 p75</t>
        </is>
      </c>
      <c r="M262" s="6" t="n"/>
      <c r="N262" s="5" t="inlineStr">
        <is>
          <t>GMP 3.0Mt (+14pct vs 2021) de 4.038Mt = 74.3pct</t>
        </is>
      </c>
      <c r="O262" s="11">
        <f>IF(AND(ISNUMBER(G262),ISNUMBER(J262),J262&lt;&gt;0,H262=K262),G262/J262*100,"")</f>
        <v/>
      </c>
      <c r="P262" s="11">
        <f>IF(AND(ISNUMBER(O262),ISNUMBER(I262)),ROUND(O262-I262,2),"")</f>
        <v/>
      </c>
    </row>
    <row r="263">
      <c r="A263" s="9" t="inlineStr">
        <is>
          <t>Silice</t>
        </is>
      </c>
      <c r="B263" s="9" t="n">
        <v>2023</v>
      </c>
      <c r="C263" s="9" t="inlineStr">
        <is>
          <t>empresa</t>
        </is>
      </c>
      <c r="D263" s="9" t="n"/>
      <c r="E263" s="9" t="inlineStr">
        <is>
          <t>Grupo Materias Primas (Covia)</t>
        </is>
      </c>
      <c r="F263" s="9" t="n"/>
      <c r="G263" s="9" t="n">
        <v>3002000</v>
      </c>
      <c r="H263" s="9" t="inlineStr">
        <is>
          <t>toneladas</t>
        </is>
      </c>
      <c r="I263" s="9" t="n">
        <v>81.7</v>
      </c>
      <c r="J263" s="9" t="n">
        <v>3675666</v>
      </c>
      <c r="K263" s="9" t="inlineStr">
        <is>
          <t>toneladas</t>
        </is>
      </c>
      <c r="L263" s="8" t="inlineStr">
        <is>
          <t>Informe CAMIMEX 2024 p87</t>
        </is>
      </c>
      <c r="M263" s="9" t="n"/>
      <c r="N263" s="8" t="inlineStr">
        <is>
          <t>GMP 3.002Mt de 3.6757Mt = 81.7pct</t>
        </is>
      </c>
      <c r="O263" s="11">
        <f>IF(AND(ISNUMBER(G263),ISNUMBER(J263),J263&lt;&gt;0,H263=K263),G263/J263*100,"")</f>
        <v/>
      </c>
      <c r="P263" s="11">
        <f>IF(AND(ISNUMBER(O263),ISNUMBER(I263)),ROUND(O263-I263,2),"")</f>
        <v/>
      </c>
    </row>
    <row r="264">
      <c r="A264" s="6" t="inlineStr">
        <is>
          <t>Silice</t>
        </is>
      </c>
      <c r="B264" s="6" t="n">
        <v>2024</v>
      </c>
      <c r="C264" s="6" t="inlineStr">
        <is>
          <t>empresa</t>
        </is>
      </c>
      <c r="D264" s="6" t="n"/>
      <c r="E264" s="6" t="inlineStr">
        <is>
          <t>Grupo Materias Primas (Covia)</t>
        </is>
      </c>
      <c r="F264" s="6" t="n"/>
      <c r="G264" s="6" t="n"/>
      <c r="H264" s="6" t="inlineStr">
        <is>
          <t>toneladas</t>
        </is>
      </c>
      <c r="I264" s="6" t="n"/>
      <c r="J264" s="6" t="n">
        <v>3051507</v>
      </c>
      <c r="K264" s="6" t="inlineStr">
        <is>
          <t>toneladas</t>
        </is>
      </c>
      <c r="L264" s="5" t="inlineStr">
        <is>
          <t>Informe CAMIMEX 2025</t>
        </is>
      </c>
      <c r="M264" s="6" t="n"/>
      <c r="N264" s="5" t="inlineStr">
        <is>
          <t>Numerador GMP 2024 no reportado explicitamente en informe 2025; total INEGI 3.05Mt</t>
        </is>
      </c>
      <c r="O264" s="11">
        <f>IF(AND(ISNUMBER(G264),ISNUMBER(J264),J264&lt;&gt;0,H264=K264),G264/J264*100,"")</f>
        <v/>
      </c>
      <c r="P264" s="11">
        <f>IF(AND(ISNUMBER(O264),ISNUMBER(I264)),ROUND(O264-I264,2),"")</f>
        <v/>
      </c>
    </row>
    <row r="265">
      <c r="A265" s="9" t="inlineStr">
        <is>
          <t>Zinc</t>
        </is>
      </c>
      <c r="B265" s="9" t="n">
        <v>2021</v>
      </c>
      <c r="C265" s="9" t="inlineStr">
        <is>
          <t>empresa</t>
        </is>
      </c>
      <c r="D265" s="9" t="n"/>
      <c r="E265" s="9" t="inlineStr">
        <is>
          <t>Newmont</t>
        </is>
      </c>
      <c r="F265" s="9" t="n"/>
      <c r="G265" s="9" t="n"/>
      <c r="H265" s="9" t="n"/>
      <c r="I265" s="9" t="n"/>
      <c r="J265" s="9" t="n">
        <v>742926</v>
      </c>
      <c r="K265" s="9" t="inlineStr">
        <is>
          <t>toneladas</t>
        </is>
      </c>
      <c r="L265" s="8" t="inlineStr">
        <is>
          <t>Informe CAMIMEX 2022</t>
        </is>
      </c>
      <c r="M265" s="9" t="n">
        <v>49</v>
      </c>
      <c r="N265" s="8" t="inlineStr">
        <is>
          <t>Narrativa: Newmont principal; top-5 (Newmont Penoles Fresnillo GMexico Frisco) ~80%</t>
        </is>
      </c>
      <c r="O265" s="11">
        <f>IF(AND(ISNUMBER(G265),ISNUMBER(J265),J265&lt;&gt;0,H265=K265),G265/J265*100,"")</f>
        <v/>
      </c>
      <c r="P265" s="11">
        <f>IF(AND(ISNUMBER(O265),ISNUMBER(I265)),ROUND(O265-I265,2),"")</f>
        <v/>
      </c>
    </row>
    <row r="266">
      <c r="A266" s="6" t="inlineStr">
        <is>
          <t>Zinc</t>
        </is>
      </c>
      <c r="B266" s="6" t="n">
        <v>2021</v>
      </c>
      <c r="C266" s="6" t="inlineStr">
        <is>
          <t>mina</t>
        </is>
      </c>
      <c r="D266" s="6" t="inlineStr">
        <is>
          <t>Capela</t>
        </is>
      </c>
      <c r="E266" s="6" t="inlineStr">
        <is>
          <t>Industrias Penoles</t>
        </is>
      </c>
      <c r="F266" s="6" t="inlineStr">
        <is>
          <t>Gro.</t>
        </is>
      </c>
      <c r="G266" s="6" t="n">
        <v>28580</v>
      </c>
      <c r="H266" s="6" t="inlineStr">
        <is>
          <t>toneladas</t>
        </is>
      </c>
      <c r="I266" s="6" t="n"/>
      <c r="J266" s="6" t="n">
        <v>742926</v>
      </c>
      <c r="K266" s="6" t="inlineStr">
        <is>
          <t>toneladas</t>
        </is>
      </c>
      <c r="L266" s="5" t="inlineStr">
        <is>
          <t>Informe CAMIMEX 2022</t>
        </is>
      </c>
      <c r="M266" s="6" t="n">
        <v>49</v>
      </c>
      <c r="N266" s="5" t="inlineStr">
        <is>
          <t>28.58 miles t</t>
        </is>
      </c>
      <c r="O266" s="11">
        <f>IF(AND(ISNUMBER(G266),ISNUMBER(J266),J266&lt;&gt;0,H266=K266),G266/J266*100,"")</f>
        <v/>
      </c>
      <c r="P266" s="11">
        <f>IF(AND(ISNUMBER(O266),ISNUMBER(I266)),ROUND(O266-I266,2),"")</f>
        <v/>
      </c>
    </row>
    <row r="267">
      <c r="A267" s="9" t="inlineStr">
        <is>
          <t>Zinc</t>
        </is>
      </c>
      <c r="B267" s="9" t="n">
        <v>2021</v>
      </c>
      <c r="C267" s="9" t="inlineStr">
        <is>
          <t>mina</t>
        </is>
      </c>
      <c r="D267" s="9" t="inlineStr">
        <is>
          <t>Cerro Los Gatos</t>
        </is>
      </c>
      <c r="E267" s="9" t="inlineStr">
        <is>
          <t>Gatos Silver</t>
        </is>
      </c>
      <c r="F267" s="9" t="inlineStr">
        <is>
          <t>Chih.</t>
        </is>
      </c>
      <c r="G267" s="9" t="n">
        <v>22500</v>
      </c>
      <c r="H267" s="9" t="inlineStr">
        <is>
          <t>toneladas</t>
        </is>
      </c>
      <c r="I267" s="9" t="n"/>
      <c r="J267" s="9" t="n">
        <v>742926</v>
      </c>
      <c r="K267" s="9" t="inlineStr">
        <is>
          <t>toneladas</t>
        </is>
      </c>
      <c r="L267" s="8" t="inlineStr">
        <is>
          <t>Informe CAMIMEX 2022</t>
        </is>
      </c>
      <c r="M267" s="9" t="n">
        <v>49</v>
      </c>
      <c r="N267" s="8" t="inlineStr">
        <is>
          <t>22.50 miles t</t>
        </is>
      </c>
      <c r="O267" s="11">
        <f>IF(AND(ISNUMBER(G267),ISNUMBER(J267),J267&lt;&gt;0,H267=K267),G267/J267*100,"")</f>
        <v/>
      </c>
      <c r="P267" s="11">
        <f>IF(AND(ISNUMBER(O267),ISNUMBER(I267)),ROUND(O267-I267,2),"")</f>
        <v/>
      </c>
    </row>
    <row r="268">
      <c r="A268" s="6" t="inlineStr">
        <is>
          <t>Zinc</t>
        </is>
      </c>
      <c r="B268" s="6" t="n">
        <v>2021</v>
      </c>
      <c r="C268" s="6" t="inlineStr">
        <is>
          <t>mina</t>
        </is>
      </c>
      <c r="D268" s="6" t="inlineStr">
        <is>
          <t>Charcas</t>
        </is>
      </c>
      <c r="E268" s="6" t="inlineStr">
        <is>
          <t>Grupo Mexico</t>
        </is>
      </c>
      <c r="F268" s="6" t="inlineStr">
        <is>
          <t>S.L.P.</t>
        </is>
      </c>
      <c r="G268" s="6" t="n">
        <v>26470</v>
      </c>
      <c r="H268" s="6" t="inlineStr">
        <is>
          <t>toneladas</t>
        </is>
      </c>
      <c r="I268" s="6" t="n"/>
      <c r="J268" s="6" t="n">
        <v>742926</v>
      </c>
      <c r="K268" s="6" t="inlineStr">
        <is>
          <t>toneladas</t>
        </is>
      </c>
      <c r="L268" s="5" t="inlineStr">
        <is>
          <t>Informe CAMIMEX 2022</t>
        </is>
      </c>
      <c r="M268" s="6" t="n">
        <v>49</v>
      </c>
      <c r="N268" s="5" t="inlineStr">
        <is>
          <t>26.47 miles t</t>
        </is>
      </c>
      <c r="O268" s="11">
        <f>IF(AND(ISNUMBER(G268),ISNUMBER(J268),J268&lt;&gt;0,H268=K268),G268/J268*100,"")</f>
        <v/>
      </c>
      <c r="P268" s="11">
        <f>IF(AND(ISNUMBER(O268),ISNUMBER(I268)),ROUND(O268-I268,2),"")</f>
        <v/>
      </c>
    </row>
    <row r="269">
      <c r="A269" s="9" t="inlineStr">
        <is>
          <t>Zinc</t>
        </is>
      </c>
      <c r="B269" s="9" t="n">
        <v>2021</v>
      </c>
      <c r="C269" s="9" t="inlineStr">
        <is>
          <t>mina</t>
        </is>
      </c>
      <c r="D269" s="9" t="inlineStr">
        <is>
          <t>El Aguila</t>
        </is>
      </c>
      <c r="E269" s="9" t="inlineStr">
        <is>
          <t>Gold Resource</t>
        </is>
      </c>
      <c r="F269" s="9" t="inlineStr">
        <is>
          <t>Oax.</t>
        </is>
      </c>
      <c r="G269" s="9" t="n">
        <v>17330</v>
      </c>
      <c r="H269" s="9" t="inlineStr">
        <is>
          <t>toneladas</t>
        </is>
      </c>
      <c r="I269" s="9" t="n"/>
      <c r="J269" s="9" t="n">
        <v>742926</v>
      </c>
      <c r="K269" s="9" t="inlineStr">
        <is>
          <t>toneladas</t>
        </is>
      </c>
      <c r="L269" s="8" t="inlineStr">
        <is>
          <t>Informe CAMIMEX 2022</t>
        </is>
      </c>
      <c r="M269" s="9" t="n">
        <v>49</v>
      </c>
      <c r="N269" s="8" t="inlineStr">
        <is>
          <t>17.33 miles t</t>
        </is>
      </c>
      <c r="O269" s="11">
        <f>IF(AND(ISNUMBER(G269),ISNUMBER(J269),J269&lt;&gt;0,H269=K269),G269/J269*100,"")</f>
        <v/>
      </c>
      <c r="P269" s="11">
        <f>IF(AND(ISNUMBER(O269),ISNUMBER(I269)),ROUND(O269-I269,2),"")</f>
        <v/>
      </c>
    </row>
    <row r="270">
      <c r="A270" s="6" t="inlineStr">
        <is>
          <t>Zinc</t>
        </is>
      </c>
      <c r="B270" s="6" t="n">
        <v>2021</v>
      </c>
      <c r="C270" s="6" t="inlineStr">
        <is>
          <t>mina</t>
        </is>
      </c>
      <c r="D270" s="6" t="inlineStr">
        <is>
          <t>Fresnillo</t>
        </is>
      </c>
      <c r="E270" s="6" t="inlineStr">
        <is>
          <t>Fresnillo plc</t>
        </is>
      </c>
      <c r="F270" s="6" t="inlineStr">
        <is>
          <t>Zac.</t>
        </is>
      </c>
      <c r="G270" s="6" t="n">
        <v>34530</v>
      </c>
      <c r="H270" s="6" t="inlineStr">
        <is>
          <t>toneladas</t>
        </is>
      </c>
      <c r="I270" s="6" t="n"/>
      <c r="J270" s="6" t="n">
        <v>742926</v>
      </c>
      <c r="K270" s="6" t="inlineStr">
        <is>
          <t>toneladas</t>
        </is>
      </c>
      <c r="L270" s="5" t="inlineStr">
        <is>
          <t>Informe CAMIMEX 2022</t>
        </is>
      </c>
      <c r="M270" s="6" t="n">
        <v>49</v>
      </c>
      <c r="N270" s="5" t="inlineStr">
        <is>
          <t>34.53 miles t</t>
        </is>
      </c>
      <c r="O270" s="11">
        <f>IF(AND(ISNUMBER(G270),ISNUMBER(J270),J270&lt;&gt;0,H270=K270),G270/J270*100,"")</f>
        <v/>
      </c>
      <c r="P270" s="11">
        <f>IF(AND(ISNUMBER(O270),ISNUMBER(I270)),ROUND(O270-I270,2),"")</f>
        <v/>
      </c>
    </row>
    <row r="271">
      <c r="A271" s="9" t="inlineStr">
        <is>
          <t>Zinc</t>
        </is>
      </c>
      <c r="B271" s="9" t="n">
        <v>2021</v>
      </c>
      <c r="C271" s="9" t="inlineStr">
        <is>
          <t>mina</t>
        </is>
      </c>
      <c r="D271" s="9" t="inlineStr">
        <is>
          <t>Penasquito</t>
        </is>
      </c>
      <c r="E271" s="9" t="inlineStr">
        <is>
          <t>Newmont</t>
        </is>
      </c>
      <c r="F271" s="9" t="inlineStr">
        <is>
          <t>Zac.</t>
        </is>
      </c>
      <c r="G271" s="9" t="n">
        <v>205480</v>
      </c>
      <c r="H271" s="9" t="inlineStr">
        <is>
          <t>toneladas</t>
        </is>
      </c>
      <c r="I271" s="9" t="n"/>
      <c r="J271" s="9" t="n">
        <v>742926</v>
      </c>
      <c r="K271" s="9" t="inlineStr">
        <is>
          <t>toneladas</t>
        </is>
      </c>
      <c r="L271" s="8" t="inlineStr">
        <is>
          <t>Informe CAMIMEX 2022</t>
        </is>
      </c>
      <c r="M271" s="9" t="n">
        <v>49</v>
      </c>
      <c r="N271" s="8" t="inlineStr">
        <is>
          <t>Tabla top-15 en miles de t verificada en imagen (205.48)</t>
        </is>
      </c>
      <c r="O271" s="11">
        <f>IF(AND(ISNUMBER(G271),ISNUMBER(J271),J271&lt;&gt;0,H271=K271),G271/J271*100,"")</f>
        <v/>
      </c>
      <c r="P271" s="11">
        <f>IF(AND(ISNUMBER(O271),ISNUMBER(I271)),ROUND(O271-I271,2),"")</f>
        <v/>
      </c>
    </row>
    <row r="272">
      <c r="A272" s="6" t="inlineStr">
        <is>
          <t>Zinc</t>
        </is>
      </c>
      <c r="B272" s="6" t="n">
        <v>2021</v>
      </c>
      <c r="C272" s="6" t="inlineStr">
        <is>
          <t>mina</t>
        </is>
      </c>
      <c r="D272" s="6" t="inlineStr">
        <is>
          <t>Sabinas</t>
        </is>
      </c>
      <c r="E272" s="6" t="inlineStr">
        <is>
          <t>Industrias Penoles</t>
        </is>
      </c>
      <c r="F272" s="6" t="inlineStr">
        <is>
          <t>Zac.</t>
        </is>
      </c>
      <c r="G272" s="6" t="n">
        <v>14450</v>
      </c>
      <c r="H272" s="6" t="inlineStr">
        <is>
          <t>toneladas</t>
        </is>
      </c>
      <c r="I272" s="6" t="n"/>
      <c r="J272" s="6" t="n">
        <v>742926</v>
      </c>
      <c r="K272" s="6" t="inlineStr">
        <is>
          <t>toneladas</t>
        </is>
      </c>
      <c r="L272" s="5" t="inlineStr">
        <is>
          <t>Informe CAMIMEX 2022</t>
        </is>
      </c>
      <c r="M272" s="6" t="n">
        <v>49</v>
      </c>
      <c r="N272" s="5" t="inlineStr">
        <is>
          <t>14.45 miles t; Top-15 suma 618.58 miles t</t>
        </is>
      </c>
      <c r="O272" s="11">
        <f>IF(AND(ISNUMBER(G272),ISNUMBER(J272),J272&lt;&gt;0,H272=K272),G272/J272*100,"")</f>
        <v/>
      </c>
      <c r="P272" s="11">
        <f>IF(AND(ISNUMBER(O272),ISNUMBER(I272)),ROUND(O272-I272,2),"")</f>
        <v/>
      </c>
    </row>
    <row r="273">
      <c r="A273" s="9" t="inlineStr">
        <is>
          <t>Zinc</t>
        </is>
      </c>
      <c r="B273" s="9" t="n">
        <v>2021</v>
      </c>
      <c r="C273" s="9" t="inlineStr">
        <is>
          <t>mina</t>
        </is>
      </c>
      <c r="D273" s="9" t="inlineStr">
        <is>
          <t>San Francisco del Oro</t>
        </is>
      </c>
      <c r="E273" s="9" t="inlineStr">
        <is>
          <t>Minera Frisco</t>
        </is>
      </c>
      <c r="F273" s="9" t="inlineStr">
        <is>
          <t>Chih.</t>
        </is>
      </c>
      <c r="G273" s="9" t="n">
        <v>18720</v>
      </c>
      <c r="H273" s="9" t="inlineStr">
        <is>
          <t>toneladas</t>
        </is>
      </c>
      <c r="I273" s="9" t="n"/>
      <c r="J273" s="9" t="n">
        <v>742926</v>
      </c>
      <c r="K273" s="9" t="inlineStr">
        <is>
          <t>toneladas</t>
        </is>
      </c>
      <c r="L273" s="8" t="inlineStr">
        <is>
          <t>Informe CAMIMEX 2022</t>
        </is>
      </c>
      <c r="M273" s="9" t="n">
        <v>49</v>
      </c>
      <c r="N273" s="8" t="inlineStr">
        <is>
          <t>18.72 miles t</t>
        </is>
      </c>
      <c r="O273" s="11">
        <f>IF(AND(ISNUMBER(G273),ISNUMBER(J273),J273&lt;&gt;0,H273=K273),G273/J273*100,"")</f>
        <v/>
      </c>
      <c r="P273" s="11">
        <f>IF(AND(ISNUMBER(O273),ISNUMBER(I273)),ROUND(O273-I273,2),"")</f>
        <v/>
      </c>
    </row>
    <row r="274">
      <c r="A274" s="6" t="inlineStr">
        <is>
          <t>Zinc</t>
        </is>
      </c>
      <c r="B274" s="6" t="n">
        <v>2021</v>
      </c>
      <c r="C274" s="6" t="inlineStr">
        <is>
          <t>mina</t>
        </is>
      </c>
      <c r="D274" s="6" t="inlineStr">
        <is>
          <t>San Julian</t>
        </is>
      </c>
      <c r="E274" s="6" t="inlineStr">
        <is>
          <t>Fresnillo plc</t>
        </is>
      </c>
      <c r="F274" s="6" t="inlineStr">
        <is>
          <t>Chih.</t>
        </is>
      </c>
      <c r="G274" s="6" t="n">
        <v>19990</v>
      </c>
      <c r="H274" s="6" t="inlineStr">
        <is>
          <t>toneladas</t>
        </is>
      </c>
      <c r="I274" s="6" t="n"/>
      <c r="J274" s="6" t="n">
        <v>742926</v>
      </c>
      <c r="K274" s="6" t="inlineStr">
        <is>
          <t>toneladas</t>
        </is>
      </c>
      <c r="L274" s="5" t="inlineStr">
        <is>
          <t>Informe CAMIMEX 2022</t>
        </is>
      </c>
      <c r="M274" s="6" t="n">
        <v>49</v>
      </c>
      <c r="N274" s="5" t="inlineStr">
        <is>
          <t>19.99 miles t</t>
        </is>
      </c>
      <c r="O274" s="11">
        <f>IF(AND(ISNUMBER(G274),ISNUMBER(J274),J274&lt;&gt;0,H274=K274),G274/J274*100,"")</f>
        <v/>
      </c>
      <c r="P274" s="11">
        <f>IF(AND(ISNUMBER(O274),ISNUMBER(I274)),ROUND(O274-I274,2),"")</f>
        <v/>
      </c>
    </row>
    <row r="275">
      <c r="A275" s="9" t="inlineStr">
        <is>
          <t>Zinc</t>
        </is>
      </c>
      <c r="B275" s="9" t="n">
        <v>2021</v>
      </c>
      <c r="C275" s="9" t="inlineStr">
        <is>
          <t>mina</t>
        </is>
      </c>
      <c r="D275" s="9" t="inlineStr">
        <is>
          <t>San Martin</t>
        </is>
      </c>
      <c r="E275" s="9" t="inlineStr">
        <is>
          <t>Grupo Mexico</t>
        </is>
      </c>
      <c r="F275" s="9" t="inlineStr">
        <is>
          <t>Zac.</t>
        </is>
      </c>
      <c r="G275" s="9" t="n">
        <v>17110</v>
      </c>
      <c r="H275" s="9" t="inlineStr">
        <is>
          <t>toneladas</t>
        </is>
      </c>
      <c r="I275" s="9" t="n"/>
      <c r="J275" s="9" t="n">
        <v>742926</v>
      </c>
      <c r="K275" s="9" t="inlineStr">
        <is>
          <t>toneladas</t>
        </is>
      </c>
      <c r="L275" s="8" t="inlineStr">
        <is>
          <t>Informe CAMIMEX 2022</t>
        </is>
      </c>
      <c r="M275" s="9" t="n">
        <v>49</v>
      </c>
      <c r="N275" s="8" t="inlineStr">
        <is>
          <t>17.11 miles t</t>
        </is>
      </c>
      <c r="O275" s="11">
        <f>IF(AND(ISNUMBER(G275),ISNUMBER(J275),J275&lt;&gt;0,H275=K275),G275/J275*100,"")</f>
        <v/>
      </c>
      <c r="P275" s="11">
        <f>IF(AND(ISNUMBER(O275),ISNUMBER(I275)),ROUND(O275-I275,2),"")</f>
        <v/>
      </c>
    </row>
    <row r="276">
      <c r="A276" s="6" t="inlineStr">
        <is>
          <t>Zinc</t>
        </is>
      </c>
      <c r="B276" s="6" t="n">
        <v>2021</v>
      </c>
      <c r="C276" s="6" t="inlineStr">
        <is>
          <t>mina</t>
        </is>
      </c>
      <c r="D276" s="6" t="inlineStr">
        <is>
          <t>Santa Barbara</t>
        </is>
      </c>
      <c r="E276" s="6" t="inlineStr">
        <is>
          <t>Grupo Mexico</t>
        </is>
      </c>
      <c r="F276" s="6" t="inlineStr">
        <is>
          <t>Chih.</t>
        </is>
      </c>
      <c r="G276" s="6" t="n">
        <v>23370</v>
      </c>
      <c r="H276" s="6" t="inlineStr">
        <is>
          <t>toneladas</t>
        </is>
      </c>
      <c r="I276" s="6" t="n"/>
      <c r="J276" s="6" t="n">
        <v>742926</v>
      </c>
      <c r="K276" s="6" t="inlineStr">
        <is>
          <t>toneladas</t>
        </is>
      </c>
      <c r="L276" s="5" t="inlineStr">
        <is>
          <t>Informe CAMIMEX 2022</t>
        </is>
      </c>
      <c r="M276" s="6" t="n">
        <v>49</v>
      </c>
      <c r="N276" s="5" t="inlineStr">
        <is>
          <t>23.37 miles t</t>
        </is>
      </c>
      <c r="O276" s="11">
        <f>IF(AND(ISNUMBER(G276),ISNUMBER(J276),J276&lt;&gt;0,H276=K276),G276/J276*100,"")</f>
        <v/>
      </c>
      <c r="P276" s="11">
        <f>IF(AND(ISNUMBER(O276),ISNUMBER(I276)),ROUND(O276-I276,2),"")</f>
        <v/>
      </c>
    </row>
    <row r="277">
      <c r="A277" s="9" t="inlineStr">
        <is>
          <t>Zinc</t>
        </is>
      </c>
      <c r="B277" s="9" t="n">
        <v>2021</v>
      </c>
      <c r="C277" s="9" t="inlineStr">
        <is>
          <t>mina</t>
        </is>
      </c>
      <c r="D277" s="9" t="inlineStr">
        <is>
          <t>Saucito</t>
        </is>
      </c>
      <c r="E277" s="9" t="inlineStr">
        <is>
          <t>Fresnillo plc</t>
        </is>
      </c>
      <c r="F277" s="9" t="inlineStr">
        <is>
          <t>Zac.</t>
        </is>
      </c>
      <c r="G277" s="9" t="n">
        <v>37470</v>
      </c>
      <c r="H277" s="9" t="inlineStr">
        <is>
          <t>toneladas</t>
        </is>
      </c>
      <c r="I277" s="9" t="n"/>
      <c r="J277" s="9" t="n">
        <v>742926</v>
      </c>
      <c r="K277" s="9" t="inlineStr">
        <is>
          <t>toneladas</t>
        </is>
      </c>
      <c r="L277" s="8" t="inlineStr">
        <is>
          <t>Informe CAMIMEX 2022</t>
        </is>
      </c>
      <c r="M277" s="9" t="n">
        <v>49</v>
      </c>
      <c r="N277" s="8" t="inlineStr">
        <is>
          <t>37.47 miles t</t>
        </is>
      </c>
      <c r="O277" s="11">
        <f>IF(AND(ISNUMBER(G277),ISNUMBER(J277),J277&lt;&gt;0,H277=K277),G277/J277*100,"")</f>
        <v/>
      </c>
      <c r="P277" s="11">
        <f>IF(AND(ISNUMBER(O277),ISNUMBER(I277)),ROUND(O277-I277,2),"")</f>
        <v/>
      </c>
    </row>
    <row r="278">
      <c r="A278" s="6" t="inlineStr">
        <is>
          <t>Zinc</t>
        </is>
      </c>
      <c r="B278" s="6" t="n">
        <v>2021</v>
      </c>
      <c r="C278" s="6" t="inlineStr">
        <is>
          <t>mina</t>
        </is>
      </c>
      <c r="D278" s="6" t="inlineStr">
        <is>
          <t>Tayahua</t>
        </is>
      </c>
      <c r="E278" s="6" t="inlineStr">
        <is>
          <t>Minera Frisco</t>
        </is>
      </c>
      <c r="F278" s="6" t="inlineStr">
        <is>
          <t>Zac.</t>
        </is>
      </c>
      <c r="G278" s="6" t="n">
        <v>21770</v>
      </c>
      <c r="H278" s="6" t="inlineStr">
        <is>
          <t>toneladas</t>
        </is>
      </c>
      <c r="I278" s="6" t="n"/>
      <c r="J278" s="6" t="n">
        <v>742926</v>
      </c>
      <c r="K278" s="6" t="inlineStr">
        <is>
          <t>toneladas</t>
        </is>
      </c>
      <c r="L278" s="5" t="inlineStr">
        <is>
          <t>Informe CAMIMEX 2022</t>
        </is>
      </c>
      <c r="M278" s="6" t="n">
        <v>49</v>
      </c>
      <c r="N278" s="5" t="inlineStr">
        <is>
          <t>21.77 miles t</t>
        </is>
      </c>
      <c r="O278" s="11">
        <f>IF(AND(ISNUMBER(G278),ISNUMBER(J278),J278&lt;&gt;0,H278=K278),G278/J278*100,"")</f>
        <v/>
      </c>
      <c r="P278" s="11">
        <f>IF(AND(ISNUMBER(O278),ISNUMBER(I278)),ROUND(O278-I278,2),"")</f>
        <v/>
      </c>
    </row>
    <row r="279">
      <c r="A279" s="9" t="inlineStr">
        <is>
          <t>Zinc</t>
        </is>
      </c>
      <c r="B279" s="9" t="n">
        <v>2021</v>
      </c>
      <c r="C279" s="9" t="inlineStr">
        <is>
          <t>mina</t>
        </is>
      </c>
      <c r="D279" s="9" t="inlineStr">
        <is>
          <t>Tizapa</t>
        </is>
      </c>
      <c r="E279" s="9" t="inlineStr">
        <is>
          <t>Industrias Penoles</t>
        </is>
      </c>
      <c r="F279" s="9" t="inlineStr">
        <is>
          <t>Edo. de Mex.</t>
        </is>
      </c>
      <c r="G279" s="9" t="n">
        <v>40130</v>
      </c>
      <c r="H279" s="9" t="inlineStr">
        <is>
          <t>toneladas</t>
        </is>
      </c>
      <c r="I279" s="9" t="n"/>
      <c r="J279" s="9" t="n">
        <v>742926</v>
      </c>
      <c r="K279" s="9" t="inlineStr">
        <is>
          <t>toneladas</t>
        </is>
      </c>
      <c r="L279" s="8" t="inlineStr">
        <is>
          <t>Informe CAMIMEX 2022</t>
        </is>
      </c>
      <c r="M279" s="9" t="n">
        <v>49</v>
      </c>
      <c r="N279" s="8" t="inlineStr">
        <is>
          <t>40.13 miles t</t>
        </is>
      </c>
      <c r="O279" s="11">
        <f>IF(AND(ISNUMBER(G279),ISNUMBER(J279),J279&lt;&gt;0,H279=K279),G279/J279*100,"")</f>
        <v/>
      </c>
      <c r="P279" s="11">
        <f>IF(AND(ISNUMBER(O279),ISNUMBER(I279)),ROUND(O279-I279,2),"")</f>
        <v/>
      </c>
    </row>
    <row r="280">
      <c r="A280" s="6" t="inlineStr">
        <is>
          <t>Zinc</t>
        </is>
      </c>
      <c r="B280" s="6" t="n">
        <v>2021</v>
      </c>
      <c r="C280" s="6" t="inlineStr">
        <is>
          <t>mina</t>
        </is>
      </c>
      <c r="D280" s="6" t="inlineStr">
        <is>
          <t>Velardena</t>
        </is>
      </c>
      <c r="E280" s="6" t="inlineStr">
        <is>
          <t>Industrias Penoles</t>
        </is>
      </c>
      <c r="F280" s="6" t="inlineStr">
        <is>
          <t>Dgo.</t>
        </is>
      </c>
      <c r="G280" s="6" t="n">
        <v>90680</v>
      </c>
      <c r="H280" s="6" t="inlineStr">
        <is>
          <t>toneladas</t>
        </is>
      </c>
      <c r="I280" s="6" t="n"/>
      <c r="J280" s="6" t="n">
        <v>742926</v>
      </c>
      <c r="K280" s="6" t="inlineStr">
        <is>
          <t>toneladas</t>
        </is>
      </c>
      <c r="L280" s="5" t="inlineStr">
        <is>
          <t>Informe CAMIMEX 2022</t>
        </is>
      </c>
      <c r="M280" s="6" t="n">
        <v>49</v>
      </c>
      <c r="N280" s="5" t="inlineStr">
        <is>
          <t>90.68 miles t</t>
        </is>
      </c>
      <c r="O280" s="11">
        <f>IF(AND(ISNUMBER(G280),ISNUMBER(J280),J280&lt;&gt;0,H280=K280),G280/J280*100,"")</f>
        <v/>
      </c>
      <c r="P280" s="11">
        <f>IF(AND(ISNUMBER(O280),ISNUMBER(I280)),ROUND(O280-I280,2),"")</f>
        <v/>
      </c>
    </row>
    <row r="281">
      <c r="A281" s="9" t="inlineStr">
        <is>
          <t>Zinc</t>
        </is>
      </c>
      <c r="B281" s="9" t="n">
        <v>2022</v>
      </c>
      <c r="C281" s="9" t="inlineStr">
        <is>
          <t>empresa</t>
        </is>
      </c>
      <c r="D281" s="9" t="n"/>
      <c r="E281" s="9" t="inlineStr">
        <is>
          <t>Newmont</t>
        </is>
      </c>
      <c r="F281" s="9" t="n"/>
      <c r="G281" s="9" t="n"/>
      <c r="H281" s="9" t="n"/>
      <c r="I281" s="9" t="n">
        <v>23</v>
      </c>
      <c r="J281" s="9" t="n">
        <v>744341</v>
      </c>
      <c r="K281" s="9" t="inlineStr">
        <is>
          <t>toneladas</t>
        </is>
      </c>
      <c r="L281" s="8" t="inlineStr">
        <is>
          <t>Informe CAMIMEX 2023</t>
        </is>
      </c>
      <c r="M281" s="9" t="n">
        <v>54</v>
      </c>
      <c r="N281" s="8" t="inlineStr">
        <is>
          <t>Narrativa: mayor productor 23%; top-4 nacionales Penoles Fresnillo GMexico Frisco</t>
        </is>
      </c>
      <c r="O281" s="11">
        <f>IF(AND(ISNUMBER(G281),ISNUMBER(J281),J281&lt;&gt;0,H281=K281),G281/J281*100,"")</f>
        <v/>
      </c>
      <c r="P281" s="11">
        <f>IF(AND(ISNUMBER(O281),ISNUMBER(I281)),ROUND(O281-I281,2),"")</f>
        <v/>
      </c>
    </row>
    <row r="282">
      <c r="A282" s="6" t="inlineStr">
        <is>
          <t>Zinc</t>
        </is>
      </c>
      <c r="B282" s="6" t="n">
        <v>2022</v>
      </c>
      <c r="C282" s="6" t="inlineStr">
        <is>
          <t>mina</t>
        </is>
      </c>
      <c r="D282" s="6" t="inlineStr">
        <is>
          <t>Campo Morado</t>
        </is>
      </c>
      <c r="E282" s="6" t="inlineStr">
        <is>
          <t>Luca Mining</t>
        </is>
      </c>
      <c r="F282" s="6" t="inlineStr">
        <is>
          <t>Gro.</t>
        </is>
      </c>
      <c r="G282" s="6" t="n">
        <v>35152</v>
      </c>
      <c r="H282" s="6" t="inlineStr">
        <is>
          <t>toneladas</t>
        </is>
      </c>
      <c r="I282" s="6" t="n"/>
      <c r="J282" s="6" t="n">
        <v>744341</v>
      </c>
      <c r="K282" s="6" t="inlineStr">
        <is>
          <t>toneladas</t>
        </is>
      </c>
      <c r="L282" s="5" t="inlineStr">
        <is>
          <t>Informe CAMIMEX 2023</t>
        </is>
      </c>
      <c r="M282" s="6" t="n">
        <v>54</v>
      </c>
      <c r="N282" s="5" t="n"/>
      <c r="O282" s="11">
        <f>IF(AND(ISNUMBER(G282),ISNUMBER(J282),J282&lt;&gt;0,H282=K282),G282/J282*100,"")</f>
        <v/>
      </c>
      <c r="P282" s="11">
        <f>IF(AND(ISNUMBER(O282),ISNUMBER(I282)),ROUND(O282-I282,2),"")</f>
        <v/>
      </c>
    </row>
    <row r="283">
      <c r="A283" s="9" t="inlineStr">
        <is>
          <t>Zinc</t>
        </is>
      </c>
      <c r="B283" s="9" t="n">
        <v>2022</v>
      </c>
      <c r="C283" s="9" t="inlineStr">
        <is>
          <t>mina</t>
        </is>
      </c>
      <c r="D283" s="9" t="inlineStr">
        <is>
          <t>Capela</t>
        </is>
      </c>
      <c r="E283" s="9" t="inlineStr">
        <is>
          <t>Industrias Penoles</t>
        </is>
      </c>
      <c r="F283" s="9" t="inlineStr">
        <is>
          <t>Gro.</t>
        </is>
      </c>
      <c r="G283" s="9" t="n">
        <v>27042</v>
      </c>
      <c r="H283" s="9" t="inlineStr">
        <is>
          <t>toneladas</t>
        </is>
      </c>
      <c r="I283" s="9" t="n"/>
      <c r="J283" s="9" t="n">
        <v>744341</v>
      </c>
      <c r="K283" s="9" t="inlineStr">
        <is>
          <t>toneladas</t>
        </is>
      </c>
      <c r="L283" s="8" t="inlineStr">
        <is>
          <t>Informe CAMIMEX 2023</t>
        </is>
      </c>
      <c r="M283" s="9" t="n">
        <v>54</v>
      </c>
      <c r="N283" s="8" t="n"/>
      <c r="O283" s="11">
        <f>IF(AND(ISNUMBER(G283),ISNUMBER(J283),J283&lt;&gt;0,H283=K283),G283/J283*100,"")</f>
        <v/>
      </c>
      <c r="P283" s="11">
        <f>IF(AND(ISNUMBER(O283),ISNUMBER(I283)),ROUND(O283-I283,2),"")</f>
        <v/>
      </c>
    </row>
    <row r="284">
      <c r="A284" s="6" t="inlineStr">
        <is>
          <t>Zinc</t>
        </is>
      </c>
      <c r="B284" s="6" t="n">
        <v>2022</v>
      </c>
      <c r="C284" s="6" t="inlineStr">
        <is>
          <t>mina</t>
        </is>
      </c>
      <c r="D284" s="6" t="inlineStr">
        <is>
          <t>Cerro Los Gatos</t>
        </is>
      </c>
      <c r="E284" s="6" t="inlineStr">
        <is>
          <t>Gatos Silver</t>
        </is>
      </c>
      <c r="F284" s="6" t="inlineStr">
        <is>
          <t>Chih.</t>
        </is>
      </c>
      <c r="G284" s="6" t="n">
        <v>27533</v>
      </c>
      <c r="H284" s="6" t="inlineStr">
        <is>
          <t>toneladas</t>
        </is>
      </c>
      <c r="I284" s="6" t="n"/>
      <c r="J284" s="6" t="n">
        <v>744341</v>
      </c>
      <c r="K284" s="6" t="inlineStr">
        <is>
          <t>toneladas</t>
        </is>
      </c>
      <c r="L284" s="5" t="inlineStr">
        <is>
          <t>Informe CAMIMEX 2023</t>
        </is>
      </c>
      <c r="M284" s="6" t="n">
        <v>54</v>
      </c>
      <c r="N284" s="5" t="n"/>
      <c r="O284" s="11">
        <f>IF(AND(ISNUMBER(G284),ISNUMBER(J284),J284&lt;&gt;0,H284=K284),G284/J284*100,"")</f>
        <v/>
      </c>
      <c r="P284" s="11">
        <f>IF(AND(ISNUMBER(O284),ISNUMBER(I284)),ROUND(O284-I284,2),"")</f>
        <v/>
      </c>
    </row>
    <row r="285">
      <c r="A285" s="9" t="inlineStr">
        <is>
          <t>Zinc</t>
        </is>
      </c>
      <c r="B285" s="9" t="n">
        <v>2022</v>
      </c>
      <c r="C285" s="9" t="inlineStr">
        <is>
          <t>mina</t>
        </is>
      </c>
      <c r="D285" s="9" t="inlineStr">
        <is>
          <t>Charcas</t>
        </is>
      </c>
      <c r="E285" s="9" t="inlineStr">
        <is>
          <t>Grupo Mexico</t>
        </is>
      </c>
      <c r="F285" s="9" t="inlineStr">
        <is>
          <t>S.L.P.</t>
        </is>
      </c>
      <c r="G285" s="9" t="n">
        <v>22115</v>
      </c>
      <c r="H285" s="9" t="inlineStr">
        <is>
          <t>toneladas</t>
        </is>
      </c>
      <c r="I285" s="9" t="n"/>
      <c r="J285" s="9" t="n">
        <v>744341</v>
      </c>
      <c r="K285" s="9" t="inlineStr">
        <is>
          <t>toneladas</t>
        </is>
      </c>
      <c r="L285" s="8" t="inlineStr">
        <is>
          <t>Informe CAMIMEX 2023</t>
        </is>
      </c>
      <c r="M285" s="9" t="n">
        <v>54</v>
      </c>
      <c r="N285" s="8" t="n"/>
      <c r="O285" s="11">
        <f>IF(AND(ISNUMBER(G285),ISNUMBER(J285),J285&lt;&gt;0,H285=K285),G285/J285*100,"")</f>
        <v/>
      </c>
      <c r="P285" s="11">
        <f>IF(AND(ISNUMBER(O285),ISNUMBER(I285)),ROUND(O285-I285,2),"")</f>
        <v/>
      </c>
    </row>
    <row r="286">
      <c r="A286" s="6" t="inlineStr">
        <is>
          <t>Zinc</t>
        </is>
      </c>
      <c r="B286" s="6" t="n">
        <v>2022</v>
      </c>
      <c r="C286" s="6" t="inlineStr">
        <is>
          <t>mina</t>
        </is>
      </c>
      <c r="D286" s="6" t="inlineStr">
        <is>
          <t>Cosala</t>
        </is>
      </c>
      <c r="E286" s="6" t="inlineStr">
        <is>
          <t>Americas Gold and Silver</t>
        </is>
      </c>
      <c r="F286" s="6" t="inlineStr">
        <is>
          <t>Sin.</t>
        </is>
      </c>
      <c r="G286" s="6" t="n">
        <v>17835</v>
      </c>
      <c r="H286" s="6" t="inlineStr">
        <is>
          <t>toneladas</t>
        </is>
      </c>
      <c r="I286" s="6" t="n"/>
      <c r="J286" s="6" t="n">
        <v>744341</v>
      </c>
      <c r="K286" s="6" t="inlineStr">
        <is>
          <t>toneladas</t>
        </is>
      </c>
      <c r="L286" s="5" t="inlineStr">
        <is>
          <t>Informe CAMIMEX 2023</t>
        </is>
      </c>
      <c r="M286" s="6" t="n">
        <v>54</v>
      </c>
      <c r="N286" s="5" t="n"/>
      <c r="O286" s="11">
        <f>IF(AND(ISNUMBER(G286),ISNUMBER(J286),J286&lt;&gt;0,H286=K286),G286/J286*100,"")</f>
        <v/>
      </c>
      <c r="P286" s="11">
        <f>IF(AND(ISNUMBER(O286),ISNUMBER(I286)),ROUND(O286-I286,2),"")</f>
        <v/>
      </c>
    </row>
    <row r="287">
      <c r="A287" s="9" t="inlineStr">
        <is>
          <t>Zinc</t>
        </is>
      </c>
      <c r="B287" s="9" t="n">
        <v>2022</v>
      </c>
      <c r="C287" s="9" t="inlineStr">
        <is>
          <t>mina</t>
        </is>
      </c>
      <c r="D287" s="9" t="inlineStr">
        <is>
          <t>El Aguila</t>
        </is>
      </c>
      <c r="E287" s="9" t="inlineStr">
        <is>
          <t>Gold Resource</t>
        </is>
      </c>
      <c r="F287" s="9" t="inlineStr">
        <is>
          <t>Oax.</t>
        </is>
      </c>
      <c r="G287" s="9" t="n">
        <v>17943</v>
      </c>
      <c r="H287" s="9" t="inlineStr">
        <is>
          <t>toneladas</t>
        </is>
      </c>
      <c r="I287" s="9" t="n"/>
      <c r="J287" s="9" t="n">
        <v>744341</v>
      </c>
      <c r="K287" s="9" t="inlineStr">
        <is>
          <t>toneladas</t>
        </is>
      </c>
      <c r="L287" s="8" t="inlineStr">
        <is>
          <t>Informe CAMIMEX 2023</t>
        </is>
      </c>
      <c r="M287" s="9" t="n">
        <v>54</v>
      </c>
      <c r="N287" s="8" t="n"/>
      <c r="O287" s="11">
        <f>IF(AND(ISNUMBER(G287),ISNUMBER(J287),J287&lt;&gt;0,H287=K287),G287/J287*100,"")</f>
        <v/>
      </c>
      <c r="P287" s="11">
        <f>IF(AND(ISNUMBER(O287),ISNUMBER(I287)),ROUND(O287-I287,2),"")</f>
        <v/>
      </c>
    </row>
    <row r="288">
      <c r="A288" s="6" t="inlineStr">
        <is>
          <t>Zinc</t>
        </is>
      </c>
      <c r="B288" s="6" t="n">
        <v>2022</v>
      </c>
      <c r="C288" s="6" t="inlineStr">
        <is>
          <t>mina</t>
        </is>
      </c>
      <c r="D288" s="6" t="inlineStr">
        <is>
          <t>Fresnillo</t>
        </is>
      </c>
      <c r="E288" s="6" t="inlineStr">
        <is>
          <t>Fresnillo plc</t>
        </is>
      </c>
      <c r="F288" s="6" t="inlineStr">
        <is>
          <t>Zac.</t>
        </is>
      </c>
      <c r="G288" s="6" t="n">
        <v>43343</v>
      </c>
      <c r="H288" s="6" t="inlineStr">
        <is>
          <t>toneladas</t>
        </is>
      </c>
      <c r="I288" s="6" t="n"/>
      <c r="J288" s="6" t="n">
        <v>744341</v>
      </c>
      <c r="K288" s="6" t="inlineStr">
        <is>
          <t>toneladas</t>
        </is>
      </c>
      <c r="L288" s="5" t="inlineStr">
        <is>
          <t>Informe CAMIMEX 2023</t>
        </is>
      </c>
      <c r="M288" s="6" t="n">
        <v>54</v>
      </c>
      <c r="N288" s="5" t="n"/>
      <c r="O288" s="11">
        <f>IF(AND(ISNUMBER(G288),ISNUMBER(J288),J288&lt;&gt;0,H288=K288),G288/J288*100,"")</f>
        <v/>
      </c>
      <c r="P288" s="11">
        <f>IF(AND(ISNUMBER(O288),ISNUMBER(I288)),ROUND(O288-I288,2),"")</f>
        <v/>
      </c>
    </row>
    <row r="289">
      <c r="A289" s="9" t="inlineStr">
        <is>
          <t>Zinc</t>
        </is>
      </c>
      <c r="B289" s="9" t="n">
        <v>2022</v>
      </c>
      <c r="C289" s="9" t="inlineStr">
        <is>
          <t>mina</t>
        </is>
      </c>
      <c r="D289" s="9" t="inlineStr">
        <is>
          <t>Penasquito</t>
        </is>
      </c>
      <c r="E289" s="9" t="inlineStr">
        <is>
          <t>Newmont</t>
        </is>
      </c>
      <c r="F289" s="9" t="inlineStr">
        <is>
          <t>Zac.</t>
        </is>
      </c>
      <c r="G289" s="9" t="n">
        <v>171004</v>
      </c>
      <c r="H289" s="9" t="inlineStr">
        <is>
          <t>toneladas</t>
        </is>
      </c>
      <c r="I289" s="9" t="n"/>
      <c r="J289" s="9" t="n">
        <v>744341</v>
      </c>
      <c r="K289" s="9" t="inlineStr">
        <is>
          <t>toneladas</t>
        </is>
      </c>
      <c r="L289" s="8" t="inlineStr">
        <is>
          <t>Informe CAMIMEX 2023</t>
        </is>
      </c>
      <c r="M289" s="9" t="n">
        <v>54</v>
      </c>
      <c r="N289" s="8" t="inlineStr">
        <is>
          <t>Tabla top-15 verificada en imagen</t>
        </is>
      </c>
      <c r="O289" s="11">
        <f>IF(AND(ISNUMBER(G289),ISNUMBER(J289),J289&lt;&gt;0,H289=K289),G289/J289*100,"")</f>
        <v/>
      </c>
      <c r="P289" s="11">
        <f>IF(AND(ISNUMBER(O289),ISNUMBER(I289)),ROUND(O289-I289,2),"")</f>
        <v/>
      </c>
    </row>
    <row r="290">
      <c r="A290" s="6" t="inlineStr">
        <is>
          <t>Zinc</t>
        </is>
      </c>
      <c r="B290" s="6" t="n">
        <v>2022</v>
      </c>
      <c r="C290" s="6" t="inlineStr">
        <is>
          <t>mina</t>
        </is>
      </c>
      <c r="D290" s="6" t="inlineStr">
        <is>
          <t>San Francisco del Oro</t>
        </is>
      </c>
      <c r="E290" s="6" t="inlineStr">
        <is>
          <t>Minera Frisco</t>
        </is>
      </c>
      <c r="F290" s="6" t="inlineStr">
        <is>
          <t>Chih.</t>
        </is>
      </c>
      <c r="G290" s="6" t="n">
        <v>17923</v>
      </c>
      <c r="H290" s="6" t="inlineStr">
        <is>
          <t>toneladas</t>
        </is>
      </c>
      <c r="I290" s="6" t="n"/>
      <c r="J290" s="6" t="n">
        <v>744341</v>
      </c>
      <c r="K290" s="6" t="inlineStr">
        <is>
          <t>toneladas</t>
        </is>
      </c>
      <c r="L290" s="5" t="inlineStr">
        <is>
          <t>Informe CAMIMEX 2023</t>
        </is>
      </c>
      <c r="M290" s="6" t="n">
        <v>54</v>
      </c>
      <c r="N290" s="5" t="n"/>
      <c r="O290" s="11">
        <f>IF(AND(ISNUMBER(G290),ISNUMBER(J290),J290&lt;&gt;0,H290=K290),G290/J290*100,"")</f>
        <v/>
      </c>
      <c r="P290" s="11">
        <f>IF(AND(ISNUMBER(O290),ISNUMBER(I290)),ROUND(O290-I290,2),"")</f>
        <v/>
      </c>
    </row>
    <row r="291">
      <c r="A291" s="9" t="inlineStr">
        <is>
          <t>Zinc</t>
        </is>
      </c>
      <c r="B291" s="9" t="n">
        <v>2022</v>
      </c>
      <c r="C291" s="9" t="inlineStr">
        <is>
          <t>mina</t>
        </is>
      </c>
      <c r="D291" s="9" t="inlineStr">
        <is>
          <t>San Julian</t>
        </is>
      </c>
      <c r="E291" s="9" t="inlineStr">
        <is>
          <t>Fresnillo plc</t>
        </is>
      </c>
      <c r="F291" s="9" t="inlineStr">
        <is>
          <t>Chih.</t>
        </is>
      </c>
      <c r="G291" s="9" t="n">
        <v>17487</v>
      </c>
      <c r="H291" s="9" t="inlineStr">
        <is>
          <t>toneladas</t>
        </is>
      </c>
      <c r="I291" s="9" t="n"/>
      <c r="J291" s="9" t="n">
        <v>744341</v>
      </c>
      <c r="K291" s="9" t="inlineStr">
        <is>
          <t>toneladas</t>
        </is>
      </c>
      <c r="L291" s="8" t="inlineStr">
        <is>
          <t>Informe CAMIMEX 2023</t>
        </is>
      </c>
      <c r="M291" s="9" t="n">
        <v>54</v>
      </c>
      <c r="N291" s="8" t="inlineStr">
        <is>
          <t>Top-15 suma 595774</t>
        </is>
      </c>
      <c r="O291" s="11">
        <f>IF(AND(ISNUMBER(G291),ISNUMBER(J291),J291&lt;&gt;0,H291=K291),G291/J291*100,"")</f>
        <v/>
      </c>
      <c r="P291" s="11">
        <f>IF(AND(ISNUMBER(O291),ISNUMBER(I291)),ROUND(O291-I291,2),"")</f>
        <v/>
      </c>
    </row>
    <row r="292">
      <c r="A292" s="6" t="inlineStr">
        <is>
          <t>Zinc</t>
        </is>
      </c>
      <c r="B292" s="6" t="n">
        <v>2022</v>
      </c>
      <c r="C292" s="6" t="inlineStr">
        <is>
          <t>mina</t>
        </is>
      </c>
      <c r="D292" s="6" t="inlineStr">
        <is>
          <t>Santa Barbara</t>
        </is>
      </c>
      <c r="E292" s="6" t="inlineStr">
        <is>
          <t>Grupo Mexico</t>
        </is>
      </c>
      <c r="F292" s="6" t="inlineStr">
        <is>
          <t>Chih.</t>
        </is>
      </c>
      <c r="G292" s="6" t="n">
        <v>20696</v>
      </c>
      <c r="H292" s="6" t="inlineStr">
        <is>
          <t>toneladas</t>
        </is>
      </c>
      <c r="I292" s="6" t="n"/>
      <c r="J292" s="6" t="n">
        <v>744341</v>
      </c>
      <c r="K292" s="6" t="inlineStr">
        <is>
          <t>toneladas</t>
        </is>
      </c>
      <c r="L292" s="5" t="inlineStr">
        <is>
          <t>Informe CAMIMEX 2023</t>
        </is>
      </c>
      <c r="M292" s="6" t="n">
        <v>54</v>
      </c>
      <c r="N292" s="5" t="n"/>
      <c r="O292" s="11">
        <f>IF(AND(ISNUMBER(G292),ISNUMBER(J292),J292&lt;&gt;0,H292=K292),G292/J292*100,"")</f>
        <v/>
      </c>
      <c r="P292" s="11">
        <f>IF(AND(ISNUMBER(O292),ISNUMBER(I292)),ROUND(O292-I292,2),"")</f>
        <v/>
      </c>
    </row>
    <row r="293">
      <c r="A293" s="9" t="inlineStr">
        <is>
          <t>Zinc</t>
        </is>
      </c>
      <c r="B293" s="9" t="n">
        <v>2022</v>
      </c>
      <c r="C293" s="9" t="inlineStr">
        <is>
          <t>mina</t>
        </is>
      </c>
      <c r="D293" s="9" t="inlineStr">
        <is>
          <t>Saucito</t>
        </is>
      </c>
      <c r="E293" s="9" t="inlineStr">
        <is>
          <t>Fresnillo plc</t>
        </is>
      </c>
      <c r="F293" s="9" t="inlineStr">
        <is>
          <t>Zac.</t>
        </is>
      </c>
      <c r="G293" s="9" t="n">
        <v>28415</v>
      </c>
      <c r="H293" s="9" t="inlineStr">
        <is>
          <t>toneladas</t>
        </is>
      </c>
      <c r="I293" s="9" t="n"/>
      <c r="J293" s="9" t="n">
        <v>744341</v>
      </c>
      <c r="K293" s="9" t="inlineStr">
        <is>
          <t>toneladas</t>
        </is>
      </c>
      <c r="L293" s="8" t="inlineStr">
        <is>
          <t>Informe CAMIMEX 2023</t>
        </is>
      </c>
      <c r="M293" s="9" t="n">
        <v>54</v>
      </c>
      <c r="N293" s="8" t="n"/>
      <c r="O293" s="11">
        <f>IF(AND(ISNUMBER(G293),ISNUMBER(J293),J293&lt;&gt;0,H293=K293),G293/J293*100,"")</f>
        <v/>
      </c>
      <c r="P293" s="11">
        <f>IF(AND(ISNUMBER(O293),ISNUMBER(I293)),ROUND(O293-I293,2),"")</f>
        <v/>
      </c>
    </row>
    <row r="294">
      <c r="A294" s="6" t="inlineStr">
        <is>
          <t>Zinc</t>
        </is>
      </c>
      <c r="B294" s="6" t="n">
        <v>2022</v>
      </c>
      <c r="C294" s="6" t="inlineStr">
        <is>
          <t>mina</t>
        </is>
      </c>
      <c r="D294" s="6" t="inlineStr">
        <is>
          <t>Tayahua</t>
        </is>
      </c>
      <c r="E294" s="6" t="inlineStr">
        <is>
          <t>Minera Frisco</t>
        </is>
      </c>
      <c r="F294" s="6" t="inlineStr">
        <is>
          <t>Zac.</t>
        </is>
      </c>
      <c r="G294" s="6" t="n">
        <v>24990</v>
      </c>
      <c r="H294" s="6" t="inlineStr">
        <is>
          <t>toneladas</t>
        </is>
      </c>
      <c r="I294" s="6" t="n"/>
      <c r="J294" s="6" t="n">
        <v>744341</v>
      </c>
      <c r="K294" s="6" t="inlineStr">
        <is>
          <t>toneladas</t>
        </is>
      </c>
      <c r="L294" s="5" t="inlineStr">
        <is>
          <t>Informe CAMIMEX 2023</t>
        </is>
      </c>
      <c r="M294" s="6" t="n">
        <v>54</v>
      </c>
      <c r="N294" s="5" t="n"/>
      <c r="O294" s="11">
        <f>IF(AND(ISNUMBER(G294),ISNUMBER(J294),J294&lt;&gt;0,H294=K294),G294/J294*100,"")</f>
        <v/>
      </c>
      <c r="P294" s="11">
        <f>IF(AND(ISNUMBER(O294),ISNUMBER(I294)),ROUND(O294-I294,2),"")</f>
        <v/>
      </c>
    </row>
    <row r="295">
      <c r="A295" s="9" t="inlineStr">
        <is>
          <t>Zinc</t>
        </is>
      </c>
      <c r="B295" s="9" t="n">
        <v>2022</v>
      </c>
      <c r="C295" s="9" t="inlineStr">
        <is>
          <t>mina</t>
        </is>
      </c>
      <c r="D295" s="9" t="inlineStr">
        <is>
          <t>Tizapa</t>
        </is>
      </c>
      <c r="E295" s="9" t="inlineStr">
        <is>
          <t>Industrias Penoles</t>
        </is>
      </c>
      <c r="F295" s="9" t="inlineStr">
        <is>
          <t>Edo. de Mex.</t>
        </is>
      </c>
      <c r="G295" s="9" t="n">
        <v>37770</v>
      </c>
      <c r="H295" s="9" t="inlineStr">
        <is>
          <t>toneladas</t>
        </is>
      </c>
      <c r="I295" s="9" t="n"/>
      <c r="J295" s="9" t="n">
        <v>744341</v>
      </c>
      <c r="K295" s="9" t="inlineStr">
        <is>
          <t>toneladas</t>
        </is>
      </c>
      <c r="L295" s="8" t="inlineStr">
        <is>
          <t>Informe CAMIMEX 2023</t>
        </is>
      </c>
      <c r="M295" s="9" t="n">
        <v>54</v>
      </c>
      <c r="N295" s="8" t="n"/>
      <c r="O295" s="11">
        <f>IF(AND(ISNUMBER(G295),ISNUMBER(J295),J295&lt;&gt;0,H295=K295),G295/J295*100,"")</f>
        <v/>
      </c>
      <c r="P295" s="11">
        <f>IF(AND(ISNUMBER(O295),ISNUMBER(I295)),ROUND(O295-I295,2),"")</f>
        <v/>
      </c>
    </row>
    <row r="296">
      <c r="A296" s="6" t="inlineStr">
        <is>
          <t>Zinc</t>
        </is>
      </c>
      <c r="B296" s="6" t="n">
        <v>2022</v>
      </c>
      <c r="C296" s="6" t="inlineStr">
        <is>
          <t>mina</t>
        </is>
      </c>
      <c r="D296" s="6" t="inlineStr">
        <is>
          <t>Velardena</t>
        </is>
      </c>
      <c r="E296" s="6" t="inlineStr">
        <is>
          <t>Industrias Penoles</t>
        </is>
      </c>
      <c r="F296" s="6" t="inlineStr">
        <is>
          <t>Dgo.</t>
        </is>
      </c>
      <c r="G296" s="6" t="n">
        <v>86525</v>
      </c>
      <c r="H296" s="6" t="inlineStr">
        <is>
          <t>toneladas</t>
        </is>
      </c>
      <c r="I296" s="6" t="n"/>
      <c r="J296" s="6" t="n">
        <v>744341</v>
      </c>
      <c r="K296" s="6" t="inlineStr">
        <is>
          <t>toneladas</t>
        </is>
      </c>
      <c r="L296" s="5" t="inlineStr">
        <is>
          <t>Informe CAMIMEX 2023</t>
        </is>
      </c>
      <c r="M296" s="6" t="n">
        <v>54</v>
      </c>
      <c r="N296" s="5" t="n"/>
      <c r="O296" s="11">
        <f>IF(AND(ISNUMBER(G296),ISNUMBER(J296),J296&lt;&gt;0,H296=K296),G296/J296*100,"")</f>
        <v/>
      </c>
      <c r="P296" s="11">
        <f>IF(AND(ISNUMBER(O296),ISNUMBER(I296)),ROUND(O296-I296,2),"")</f>
        <v/>
      </c>
    </row>
    <row r="297">
      <c r="A297" s="9" t="inlineStr">
        <is>
          <t>Zinc</t>
        </is>
      </c>
      <c r="B297" s="9" t="n">
        <v>2023</v>
      </c>
      <c r="C297" s="9" t="inlineStr">
        <is>
          <t>empresa</t>
        </is>
      </c>
      <c r="D297" s="9" t="n"/>
      <c r="E297" s="9" t="inlineStr">
        <is>
          <t>Industrias Penoles</t>
        </is>
      </c>
      <c r="F297" s="9" t="n"/>
      <c r="G297" s="9" t="n"/>
      <c r="H297" s="9" t="n"/>
      <c r="I297" s="9" t="n">
        <v>28.4</v>
      </c>
      <c r="J297" s="9" t="n">
        <v>583562</v>
      </c>
      <c r="K297" s="9" t="inlineStr">
        <is>
          <t>toneladas</t>
        </is>
      </c>
      <c r="L297" s="8" t="inlineStr">
        <is>
          <t>Informe CAMIMEX 2024</t>
        </is>
      </c>
      <c r="M297" s="9" t="n">
        <v>62</v>
      </c>
      <c r="N297" s="8" t="inlineStr">
        <is>
          <t>Narrativa: mayor productor 28.4%; siguen Newmont Fresnillo GMexico Frisco</t>
        </is>
      </c>
      <c r="O297" s="11">
        <f>IF(AND(ISNUMBER(G297),ISNUMBER(J297),J297&lt;&gt;0,H297=K297),G297/J297*100,"")</f>
        <v/>
      </c>
      <c r="P297" s="11">
        <f>IF(AND(ISNUMBER(O297),ISNUMBER(I297)),ROUND(O297-I297,2),"")</f>
        <v/>
      </c>
    </row>
    <row r="298">
      <c r="A298" s="6" t="inlineStr">
        <is>
          <t>Zinc</t>
        </is>
      </c>
      <c r="B298" s="6" t="n">
        <v>2023</v>
      </c>
      <c r="C298" s="6" t="inlineStr">
        <is>
          <t>mina</t>
        </is>
      </c>
      <c r="D298" s="6" t="inlineStr">
        <is>
          <t>Capela</t>
        </is>
      </c>
      <c r="E298" s="6" t="inlineStr">
        <is>
          <t>Industrias Penoles</t>
        </is>
      </c>
      <c r="F298" s="6" t="inlineStr">
        <is>
          <t>Gro.</t>
        </is>
      </c>
      <c r="G298" s="6" t="n">
        <v>26691</v>
      </c>
      <c r="H298" s="6" t="inlineStr">
        <is>
          <t>toneladas</t>
        </is>
      </c>
      <c r="I298" s="6" t="n"/>
      <c r="J298" s="6" t="n">
        <v>583562</v>
      </c>
      <c r="K298" s="6" t="inlineStr">
        <is>
          <t>toneladas</t>
        </is>
      </c>
      <c r="L298" s="5" t="inlineStr">
        <is>
          <t>Informe CAMIMEX 2024</t>
        </is>
      </c>
      <c r="M298" s="6" t="n">
        <v>63</v>
      </c>
      <c r="N298" s="5" t="n"/>
      <c r="O298" s="11">
        <f>IF(AND(ISNUMBER(G298),ISNUMBER(J298),J298&lt;&gt;0,H298=K298),G298/J298*100,"")</f>
        <v/>
      </c>
      <c r="P298" s="11">
        <f>IF(AND(ISNUMBER(O298),ISNUMBER(I298)),ROUND(O298-I298,2),"")</f>
        <v/>
      </c>
    </row>
    <row r="299">
      <c r="A299" s="9" t="inlineStr">
        <is>
          <t>Zinc</t>
        </is>
      </c>
      <c r="B299" s="9" t="n">
        <v>2023</v>
      </c>
      <c r="C299" s="9" t="inlineStr">
        <is>
          <t>mina</t>
        </is>
      </c>
      <c r="D299" s="9" t="inlineStr">
        <is>
          <t>Charcas</t>
        </is>
      </c>
      <c r="E299" s="9" t="inlineStr">
        <is>
          <t>Grupo Mexico</t>
        </is>
      </c>
      <c r="F299" s="9" t="inlineStr">
        <is>
          <t>S.L.P.</t>
        </is>
      </c>
      <c r="G299" s="9" t="n">
        <v>24040</v>
      </c>
      <c r="H299" s="9" t="inlineStr">
        <is>
          <t>toneladas</t>
        </is>
      </c>
      <c r="I299" s="9" t="n"/>
      <c r="J299" s="9" t="n">
        <v>583562</v>
      </c>
      <c r="K299" s="9" t="inlineStr">
        <is>
          <t>toneladas</t>
        </is>
      </c>
      <c r="L299" s="8" t="inlineStr">
        <is>
          <t>Informe CAMIMEX 2024</t>
        </is>
      </c>
      <c r="M299" s="9" t="n">
        <v>63</v>
      </c>
      <c r="N299" s="8" t="n"/>
      <c r="O299" s="11">
        <f>IF(AND(ISNUMBER(G299),ISNUMBER(J299),J299&lt;&gt;0,H299=K299),G299/J299*100,"")</f>
        <v/>
      </c>
      <c r="P299" s="11">
        <f>IF(AND(ISNUMBER(O299),ISNUMBER(I299)),ROUND(O299-I299,2),"")</f>
        <v/>
      </c>
    </row>
    <row r="300">
      <c r="A300" s="6" t="inlineStr">
        <is>
          <t>Zinc</t>
        </is>
      </c>
      <c r="B300" s="6" t="n">
        <v>2023</v>
      </c>
      <c r="C300" s="6" t="inlineStr">
        <is>
          <t>mina</t>
        </is>
      </c>
      <c r="D300" s="6" t="inlineStr">
        <is>
          <t>Cosala</t>
        </is>
      </c>
      <c r="E300" s="6" t="inlineStr">
        <is>
          <t>Americas Gold and Silver</t>
        </is>
      </c>
      <c r="F300" s="6" t="inlineStr">
        <is>
          <t>Sin.</t>
        </is>
      </c>
      <c r="G300" s="6" t="n">
        <v>15460</v>
      </c>
      <c r="H300" s="6" t="inlineStr">
        <is>
          <t>toneladas</t>
        </is>
      </c>
      <c r="I300" s="6" t="n"/>
      <c r="J300" s="6" t="n">
        <v>583562</v>
      </c>
      <c r="K300" s="6" t="inlineStr">
        <is>
          <t>toneladas</t>
        </is>
      </c>
      <c r="L300" s="5" t="inlineStr">
        <is>
          <t>Informe CAMIMEX 2024</t>
        </is>
      </c>
      <c r="M300" s="6" t="n">
        <v>63</v>
      </c>
      <c r="N300" s="5" t="n"/>
      <c r="O300" s="11">
        <f>IF(AND(ISNUMBER(G300),ISNUMBER(J300),J300&lt;&gt;0,H300=K300),G300/J300*100,"")</f>
        <v/>
      </c>
      <c r="P300" s="11">
        <f>IF(AND(ISNUMBER(O300),ISNUMBER(I300)),ROUND(O300-I300,2),"")</f>
        <v/>
      </c>
    </row>
    <row r="301">
      <c r="A301" s="9" t="inlineStr">
        <is>
          <t>Zinc</t>
        </is>
      </c>
      <c r="B301" s="9" t="n">
        <v>2023</v>
      </c>
      <c r="C301" s="9" t="inlineStr">
        <is>
          <t>mina</t>
        </is>
      </c>
      <c r="D301" s="9" t="inlineStr">
        <is>
          <t>El Aguila</t>
        </is>
      </c>
      <c r="E301" s="9" t="inlineStr">
        <is>
          <t>Gold Resource</t>
        </is>
      </c>
      <c r="F301" s="9" t="inlineStr">
        <is>
          <t>Oax.</t>
        </is>
      </c>
      <c r="G301" s="9" t="n">
        <v>13513</v>
      </c>
      <c r="H301" s="9" t="inlineStr">
        <is>
          <t>toneladas</t>
        </is>
      </c>
      <c r="I301" s="9" t="n"/>
      <c r="J301" s="9" t="n">
        <v>583562</v>
      </c>
      <c r="K301" s="9" t="inlineStr">
        <is>
          <t>toneladas</t>
        </is>
      </c>
      <c r="L301" s="8" t="inlineStr">
        <is>
          <t>Informe CAMIMEX 2024</t>
        </is>
      </c>
      <c r="M301" s="9" t="n">
        <v>63</v>
      </c>
      <c r="N301" s="8" t="inlineStr">
        <is>
          <t>Top-15 suma 506745</t>
        </is>
      </c>
      <c r="O301" s="11">
        <f>IF(AND(ISNUMBER(G301),ISNUMBER(J301),J301&lt;&gt;0,H301=K301),G301/J301*100,"")</f>
        <v/>
      </c>
      <c r="P301" s="11">
        <f>IF(AND(ISNUMBER(O301),ISNUMBER(I301)),ROUND(O301-I301,2),"")</f>
        <v/>
      </c>
    </row>
    <row r="302">
      <c r="A302" s="6" t="inlineStr">
        <is>
          <t>Zinc</t>
        </is>
      </c>
      <c r="B302" s="6" t="n">
        <v>2023</v>
      </c>
      <c r="C302" s="6" t="inlineStr">
        <is>
          <t>mina</t>
        </is>
      </c>
      <c r="D302" s="6" t="inlineStr">
        <is>
          <t>Fresnillo</t>
        </is>
      </c>
      <c r="E302" s="6" t="inlineStr">
        <is>
          <t>Fresnillo plc</t>
        </is>
      </c>
      <c r="F302" s="6" t="inlineStr">
        <is>
          <t>Zac.</t>
        </is>
      </c>
      <c r="G302" s="6" t="n">
        <v>45386</v>
      </c>
      <c r="H302" s="6" t="inlineStr">
        <is>
          <t>toneladas</t>
        </is>
      </c>
      <c r="I302" s="6" t="n"/>
      <c r="J302" s="6" t="n">
        <v>583562</v>
      </c>
      <c r="K302" s="6" t="inlineStr">
        <is>
          <t>toneladas</t>
        </is>
      </c>
      <c r="L302" s="5" t="inlineStr">
        <is>
          <t>Informe CAMIMEX 2024</t>
        </is>
      </c>
      <c r="M302" s="6" t="n">
        <v>63</v>
      </c>
      <c r="N302" s="5" t="n"/>
      <c r="O302" s="11">
        <f>IF(AND(ISNUMBER(G302),ISNUMBER(J302),J302&lt;&gt;0,H302=K302),G302/J302*100,"")</f>
        <v/>
      </c>
      <c r="P302" s="11">
        <f>IF(AND(ISNUMBER(O302),ISNUMBER(I302)),ROUND(O302-I302,2),"")</f>
        <v/>
      </c>
    </row>
    <row r="303">
      <c r="A303" s="9" t="inlineStr">
        <is>
          <t>Zinc</t>
        </is>
      </c>
      <c r="B303" s="9" t="n">
        <v>2023</v>
      </c>
      <c r="C303" s="9" t="inlineStr">
        <is>
          <t>mina</t>
        </is>
      </c>
      <c r="D303" s="9" t="inlineStr">
        <is>
          <t>Los Gatos</t>
        </is>
      </c>
      <c r="E303" s="9" t="inlineStr">
        <is>
          <t>Gatos Silver</t>
        </is>
      </c>
      <c r="F303" s="9" t="inlineStr">
        <is>
          <t>Chih.</t>
        </is>
      </c>
      <c r="G303" s="9" t="n">
        <v>25991</v>
      </c>
      <c r="H303" s="9" t="inlineStr">
        <is>
          <t>toneladas</t>
        </is>
      </c>
      <c r="I303" s="9" t="n"/>
      <c r="J303" s="9" t="n">
        <v>583562</v>
      </c>
      <c r="K303" s="9" t="inlineStr">
        <is>
          <t>toneladas</t>
        </is>
      </c>
      <c r="L303" s="8" t="inlineStr">
        <is>
          <t>Informe CAMIMEX 2024</t>
        </is>
      </c>
      <c r="M303" s="9" t="n">
        <v>63</v>
      </c>
      <c r="N303" s="8" t="n"/>
      <c r="O303" s="11">
        <f>IF(AND(ISNUMBER(G303),ISNUMBER(J303),J303&lt;&gt;0,H303=K303),G303/J303*100,"")</f>
        <v/>
      </c>
      <c r="P303" s="11">
        <f>IF(AND(ISNUMBER(O303),ISNUMBER(I303)),ROUND(O303-I303,2),"")</f>
        <v/>
      </c>
    </row>
    <row r="304">
      <c r="A304" s="6" t="inlineStr">
        <is>
          <t>Zinc</t>
        </is>
      </c>
      <c r="B304" s="6" t="n">
        <v>2023</v>
      </c>
      <c r="C304" s="6" t="inlineStr">
        <is>
          <t>mina</t>
        </is>
      </c>
      <c r="D304" s="6" t="inlineStr">
        <is>
          <t>Penasquito</t>
        </is>
      </c>
      <c r="E304" s="6" t="inlineStr">
        <is>
          <t>Newmont</t>
        </is>
      </c>
      <c r="F304" s="6" t="inlineStr">
        <is>
          <t>Zac.</t>
        </is>
      </c>
      <c r="G304" s="6" t="n">
        <v>104326</v>
      </c>
      <c r="H304" s="6" t="inlineStr">
        <is>
          <t>toneladas</t>
        </is>
      </c>
      <c r="I304" s="6" t="n"/>
      <c r="J304" s="6" t="n">
        <v>583562</v>
      </c>
      <c r="K304" s="6" t="inlineStr">
        <is>
          <t>toneladas</t>
        </is>
      </c>
      <c r="L304" s="5" t="inlineStr">
        <is>
          <t>Informe CAMIMEX 2024</t>
        </is>
      </c>
      <c r="M304" s="6" t="n">
        <v>63</v>
      </c>
      <c r="N304" s="5" t="inlineStr">
        <is>
          <t>Tabla top-15 verificada en imagen; -39% por huelga</t>
        </is>
      </c>
      <c r="O304" s="11">
        <f>IF(AND(ISNUMBER(G304),ISNUMBER(J304),J304&lt;&gt;0,H304=K304),G304/J304*100,"")</f>
        <v/>
      </c>
      <c r="P304" s="11">
        <f>IF(AND(ISNUMBER(O304),ISNUMBER(I304)),ROUND(O304-I304,2),"")</f>
        <v/>
      </c>
    </row>
    <row r="305">
      <c r="A305" s="9" t="inlineStr">
        <is>
          <t>Zinc</t>
        </is>
      </c>
      <c r="B305" s="9" t="n">
        <v>2023</v>
      </c>
      <c r="C305" s="9" t="inlineStr">
        <is>
          <t>mina</t>
        </is>
      </c>
      <c r="D305" s="9" t="inlineStr">
        <is>
          <t>Sabinas</t>
        </is>
      </c>
      <c r="E305" s="9" t="inlineStr">
        <is>
          <t>Industrias Penoles</t>
        </is>
      </c>
      <c r="F305" s="9" t="inlineStr">
        <is>
          <t>Zac.</t>
        </is>
      </c>
      <c r="G305" s="9" t="n">
        <v>16236</v>
      </c>
      <c r="H305" s="9" t="inlineStr">
        <is>
          <t>toneladas</t>
        </is>
      </c>
      <c r="I305" s="9" t="n"/>
      <c r="J305" s="9" t="n">
        <v>583562</v>
      </c>
      <c r="K305" s="9" t="inlineStr">
        <is>
          <t>toneladas</t>
        </is>
      </c>
      <c r="L305" s="8" t="inlineStr">
        <is>
          <t>Informe CAMIMEX 2024</t>
        </is>
      </c>
      <c r="M305" s="9" t="n">
        <v>63</v>
      </c>
      <c r="N305" s="8" t="n"/>
      <c r="O305" s="11">
        <f>IF(AND(ISNUMBER(G305),ISNUMBER(J305),J305&lt;&gt;0,H305=K305),G305/J305*100,"")</f>
        <v/>
      </c>
      <c r="P305" s="11">
        <f>IF(AND(ISNUMBER(O305),ISNUMBER(I305)),ROUND(O305-I305,2),"")</f>
        <v/>
      </c>
    </row>
    <row r="306">
      <c r="A306" s="6" t="inlineStr">
        <is>
          <t>Zinc</t>
        </is>
      </c>
      <c r="B306" s="6" t="n">
        <v>2023</v>
      </c>
      <c r="C306" s="6" t="inlineStr">
        <is>
          <t>mina</t>
        </is>
      </c>
      <c r="D306" s="6" t="inlineStr">
        <is>
          <t>San Julian</t>
        </is>
      </c>
      <c r="E306" s="6" t="inlineStr">
        <is>
          <t>Fresnillo plc</t>
        </is>
      </c>
      <c r="F306" s="6" t="inlineStr">
        <is>
          <t>Chih.</t>
        </is>
      </c>
      <c r="G306" s="6" t="n">
        <v>14410</v>
      </c>
      <c r="H306" s="6" t="inlineStr">
        <is>
          <t>toneladas</t>
        </is>
      </c>
      <c r="I306" s="6" t="n"/>
      <c r="J306" s="6" t="n">
        <v>583562</v>
      </c>
      <c r="K306" s="6" t="inlineStr">
        <is>
          <t>toneladas</t>
        </is>
      </c>
      <c r="L306" s="5" t="inlineStr">
        <is>
          <t>Informe CAMIMEX 2024</t>
        </is>
      </c>
      <c r="M306" s="6" t="n">
        <v>63</v>
      </c>
      <c r="N306" s="5" t="n"/>
      <c r="O306" s="11">
        <f>IF(AND(ISNUMBER(G306),ISNUMBER(J306),J306&lt;&gt;0,H306=K306),G306/J306*100,"")</f>
        <v/>
      </c>
      <c r="P306" s="11">
        <f>IF(AND(ISNUMBER(O306),ISNUMBER(I306)),ROUND(O306-I306,2),"")</f>
        <v/>
      </c>
    </row>
    <row r="307">
      <c r="A307" s="9" t="inlineStr">
        <is>
          <t>Zinc</t>
        </is>
      </c>
      <c r="B307" s="9" t="n">
        <v>2023</v>
      </c>
      <c r="C307" s="9" t="inlineStr">
        <is>
          <t>mina</t>
        </is>
      </c>
      <c r="D307" s="9" t="inlineStr">
        <is>
          <t>San Martin</t>
        </is>
      </c>
      <c r="E307" s="9" t="inlineStr">
        <is>
          <t>Grupo Mexico</t>
        </is>
      </c>
      <c r="F307" s="9" t="inlineStr">
        <is>
          <t>Zac.</t>
        </is>
      </c>
      <c r="G307" s="9" t="n">
        <v>14865</v>
      </c>
      <c r="H307" s="9" t="inlineStr">
        <is>
          <t>toneladas</t>
        </is>
      </c>
      <c r="I307" s="9" t="n"/>
      <c r="J307" s="9" t="n">
        <v>583562</v>
      </c>
      <c r="K307" s="9" t="inlineStr">
        <is>
          <t>toneladas</t>
        </is>
      </c>
      <c r="L307" s="8" t="inlineStr">
        <is>
          <t>Informe CAMIMEX 2024</t>
        </is>
      </c>
      <c r="M307" s="9" t="n">
        <v>63</v>
      </c>
      <c r="N307" s="8" t="n"/>
      <c r="O307" s="11">
        <f>IF(AND(ISNUMBER(G307),ISNUMBER(J307),J307&lt;&gt;0,H307=K307),G307/J307*100,"")</f>
        <v/>
      </c>
      <c r="P307" s="11">
        <f>IF(AND(ISNUMBER(O307),ISNUMBER(I307)),ROUND(O307-I307,2),"")</f>
        <v/>
      </c>
    </row>
    <row r="308">
      <c r="A308" s="6" t="inlineStr">
        <is>
          <t>Zinc</t>
        </is>
      </c>
      <c r="B308" s="6" t="n">
        <v>2023</v>
      </c>
      <c r="C308" s="6" t="inlineStr">
        <is>
          <t>mina</t>
        </is>
      </c>
      <c r="D308" s="6" t="inlineStr">
        <is>
          <t>Santa Barbara</t>
        </is>
      </c>
      <c r="E308" s="6" t="inlineStr">
        <is>
          <t>Grupo Mexico</t>
        </is>
      </c>
      <c r="F308" s="6" t="inlineStr">
        <is>
          <t>Chih.</t>
        </is>
      </c>
      <c r="G308" s="6" t="n">
        <v>26604</v>
      </c>
      <c r="H308" s="6" t="inlineStr">
        <is>
          <t>toneladas</t>
        </is>
      </c>
      <c r="I308" s="6" t="n"/>
      <c r="J308" s="6" t="n">
        <v>583562</v>
      </c>
      <c r="K308" s="6" t="inlineStr">
        <is>
          <t>toneladas</t>
        </is>
      </c>
      <c r="L308" s="5" t="inlineStr">
        <is>
          <t>Informe CAMIMEX 2024</t>
        </is>
      </c>
      <c r="M308" s="6" t="n">
        <v>63</v>
      </c>
      <c r="N308" s="5" t="n"/>
      <c r="O308" s="11">
        <f>IF(AND(ISNUMBER(G308),ISNUMBER(J308),J308&lt;&gt;0,H308=K308),G308/J308*100,"")</f>
        <v/>
      </c>
      <c r="P308" s="11">
        <f>IF(AND(ISNUMBER(O308),ISNUMBER(I308)),ROUND(O308-I308,2),"")</f>
        <v/>
      </c>
    </row>
    <row r="309">
      <c r="A309" s="9" t="inlineStr">
        <is>
          <t>Zinc</t>
        </is>
      </c>
      <c r="B309" s="9" t="n">
        <v>2023</v>
      </c>
      <c r="C309" s="9" t="inlineStr">
        <is>
          <t>mina</t>
        </is>
      </c>
      <c r="D309" s="9" t="inlineStr">
        <is>
          <t>Saucito</t>
        </is>
      </c>
      <c r="E309" s="9" t="inlineStr">
        <is>
          <t>Fresnillo plc</t>
        </is>
      </c>
      <c r="F309" s="9" t="inlineStr">
        <is>
          <t>Zac.</t>
        </is>
      </c>
      <c r="G309" s="9" t="n">
        <v>32991</v>
      </c>
      <c r="H309" s="9" t="inlineStr">
        <is>
          <t>toneladas</t>
        </is>
      </c>
      <c r="I309" s="9" t="n"/>
      <c r="J309" s="9" t="n">
        <v>583562</v>
      </c>
      <c r="K309" s="9" t="inlineStr">
        <is>
          <t>toneladas</t>
        </is>
      </c>
      <c r="L309" s="8" t="inlineStr">
        <is>
          <t>Informe CAMIMEX 2024</t>
        </is>
      </c>
      <c r="M309" s="9" t="n">
        <v>63</v>
      </c>
      <c r="N309" s="8" t="n"/>
      <c r="O309" s="11">
        <f>IF(AND(ISNUMBER(G309),ISNUMBER(J309),J309&lt;&gt;0,H309=K309),G309/J309*100,"")</f>
        <v/>
      </c>
      <c r="P309" s="11">
        <f>IF(AND(ISNUMBER(O309),ISNUMBER(I309)),ROUND(O309-I309,2),"")</f>
        <v/>
      </c>
    </row>
    <row r="310">
      <c r="A310" s="6" t="inlineStr">
        <is>
          <t>Zinc</t>
        </is>
      </c>
      <c r="B310" s="6" t="n">
        <v>2023</v>
      </c>
      <c r="C310" s="6" t="inlineStr">
        <is>
          <t>mina</t>
        </is>
      </c>
      <c r="D310" s="6" t="inlineStr">
        <is>
          <t>Tayahua</t>
        </is>
      </c>
      <c r="E310" s="6" t="inlineStr">
        <is>
          <t>Minera Frisco</t>
        </is>
      </c>
      <c r="F310" s="6" t="inlineStr">
        <is>
          <t>Zac.</t>
        </is>
      </c>
      <c r="G310" s="6" t="n">
        <v>23703</v>
      </c>
      <c r="H310" s="6" t="inlineStr">
        <is>
          <t>toneladas</t>
        </is>
      </c>
      <c r="I310" s="6" t="n"/>
      <c r="J310" s="6" t="n">
        <v>583562</v>
      </c>
      <c r="K310" s="6" t="inlineStr">
        <is>
          <t>toneladas</t>
        </is>
      </c>
      <c r="L310" s="5" t="inlineStr">
        <is>
          <t>Informe CAMIMEX 2024</t>
        </is>
      </c>
      <c r="M310" s="6" t="n">
        <v>63</v>
      </c>
      <c r="N310" s="5" t="n"/>
      <c r="O310" s="11">
        <f>IF(AND(ISNUMBER(G310),ISNUMBER(J310),J310&lt;&gt;0,H310=K310),G310/J310*100,"")</f>
        <v/>
      </c>
      <c r="P310" s="11">
        <f>IF(AND(ISNUMBER(O310),ISNUMBER(I310)),ROUND(O310-I310,2),"")</f>
        <v/>
      </c>
    </row>
    <row r="311">
      <c r="A311" s="9" t="inlineStr">
        <is>
          <t>Zinc</t>
        </is>
      </c>
      <c r="B311" s="9" t="n">
        <v>2023</v>
      </c>
      <c r="C311" s="9" t="inlineStr">
        <is>
          <t>mina</t>
        </is>
      </c>
      <c r="D311" s="9" t="inlineStr">
        <is>
          <t>Tizapa</t>
        </is>
      </c>
      <c r="E311" s="9" t="inlineStr">
        <is>
          <t>Industrias Penoles</t>
        </is>
      </c>
      <c r="F311" s="9" t="inlineStr">
        <is>
          <t>Edo. de Mex.</t>
        </is>
      </c>
      <c r="G311" s="9" t="n">
        <v>41463</v>
      </c>
      <c r="H311" s="9" t="inlineStr">
        <is>
          <t>toneladas</t>
        </is>
      </c>
      <c r="I311" s="9" t="n"/>
      <c r="J311" s="9" t="n">
        <v>583562</v>
      </c>
      <c r="K311" s="9" t="inlineStr">
        <is>
          <t>toneladas</t>
        </is>
      </c>
      <c r="L311" s="8" t="inlineStr">
        <is>
          <t>Informe CAMIMEX 2024</t>
        </is>
      </c>
      <c r="M311" s="9" t="n">
        <v>63</v>
      </c>
      <c r="N311" s="8" t="n"/>
      <c r="O311" s="11">
        <f>IF(AND(ISNUMBER(G311),ISNUMBER(J311),J311&lt;&gt;0,H311=K311),G311/J311*100,"")</f>
        <v/>
      </c>
      <c r="P311" s="11">
        <f>IF(AND(ISNUMBER(O311),ISNUMBER(I311)),ROUND(O311-I311,2),"")</f>
        <v/>
      </c>
    </row>
    <row r="312">
      <c r="A312" s="6" t="inlineStr">
        <is>
          <t>Zinc</t>
        </is>
      </c>
      <c r="B312" s="6" t="n">
        <v>2023</v>
      </c>
      <c r="C312" s="6" t="inlineStr">
        <is>
          <t>mina</t>
        </is>
      </c>
      <c r="D312" s="6" t="inlineStr">
        <is>
          <t>Velardena</t>
        </is>
      </c>
      <c r="E312" s="6" t="inlineStr">
        <is>
          <t>Industrias Penoles</t>
        </is>
      </c>
      <c r="F312" s="6" t="inlineStr">
        <is>
          <t>Dgo.</t>
        </is>
      </c>
      <c r="G312" s="6" t="n">
        <v>81066</v>
      </c>
      <c r="H312" s="6" t="inlineStr">
        <is>
          <t>toneladas</t>
        </is>
      </c>
      <c r="I312" s="6" t="n"/>
      <c r="J312" s="6" t="n">
        <v>583562</v>
      </c>
      <c r="K312" s="6" t="inlineStr">
        <is>
          <t>toneladas</t>
        </is>
      </c>
      <c r="L312" s="5" t="inlineStr">
        <is>
          <t>Informe CAMIMEX 2024</t>
        </is>
      </c>
      <c r="M312" s="6" t="n">
        <v>63</v>
      </c>
      <c r="N312" s="5" t="n"/>
      <c r="O312" s="11">
        <f>IF(AND(ISNUMBER(G312),ISNUMBER(J312),J312&lt;&gt;0,H312=K312),G312/J312*100,"")</f>
        <v/>
      </c>
      <c r="P312" s="11">
        <f>IF(AND(ISNUMBER(O312),ISNUMBER(I312)),ROUND(O312-I312,2),"")</f>
        <v/>
      </c>
    </row>
    <row r="313">
      <c r="A313" s="9" t="inlineStr">
        <is>
          <t>Zinc</t>
        </is>
      </c>
      <c r="B313" s="9" t="n">
        <v>2024</v>
      </c>
      <c r="C313" s="9" t="inlineStr">
        <is>
          <t>empresa</t>
        </is>
      </c>
      <c r="D313" s="9" t="n"/>
      <c r="E313" s="9" t="inlineStr">
        <is>
          <t>Newmont</t>
        </is>
      </c>
      <c r="F313" s="9" t="n"/>
      <c r="G313" s="9" t="n"/>
      <c r="H313" s="9" t="n"/>
      <c r="I313" s="9" t="n">
        <v>33.4</v>
      </c>
      <c r="J313" s="9" t="n">
        <v>773189</v>
      </c>
      <c r="K313" s="9" t="inlineStr">
        <is>
          <t>toneladas</t>
        </is>
      </c>
      <c r="L313" s="8" t="inlineStr">
        <is>
          <t>Informe CAMIMEX 2025</t>
        </is>
      </c>
      <c r="M313" s="9" t="n">
        <v>52</v>
      </c>
      <c r="N313" s="8" t="inlineStr">
        <is>
          <t>Narrativa: mayor productor; top-5 (Newmont Penoles GMexico Fresnillo Frisco) = 89% nacional</t>
        </is>
      </c>
      <c r="O313" s="11">
        <f>IF(AND(ISNUMBER(G313),ISNUMBER(J313),J313&lt;&gt;0,H313=K313),G313/J313*100,"")</f>
        <v/>
      </c>
      <c r="P313" s="11">
        <f>IF(AND(ISNUMBER(O313),ISNUMBER(I313)),ROUND(O313-I313,2),"")</f>
        <v/>
      </c>
    </row>
    <row r="314">
      <c r="A314" s="6" t="inlineStr">
        <is>
          <t>Zinc</t>
        </is>
      </c>
      <c r="B314" s="6" t="n">
        <v>2024</v>
      </c>
      <c r="C314" s="6" t="inlineStr">
        <is>
          <t>mina</t>
        </is>
      </c>
      <c r="D314" s="6" t="inlineStr">
        <is>
          <t>Buenavista del Cobre</t>
        </is>
      </c>
      <c r="E314" s="6" t="inlineStr">
        <is>
          <t>Grupo Mexico</t>
        </is>
      </c>
      <c r="F314" s="6" t="inlineStr">
        <is>
          <t>Son.</t>
        </is>
      </c>
      <c r="G314" s="6" t="n">
        <v>64297</v>
      </c>
      <c r="H314" s="6" t="inlineStr">
        <is>
          <t>toneladas</t>
        </is>
      </c>
      <c r="I314" s="6" t="n"/>
      <c r="J314" s="6" t="n">
        <v>773189</v>
      </c>
      <c r="K314" s="6" t="inlineStr">
        <is>
          <t>toneladas</t>
        </is>
      </c>
      <c r="L314" s="5" t="inlineStr">
        <is>
          <t>Informe CAMIMEX 2025</t>
        </is>
      </c>
      <c r="M314" s="6" t="n">
        <v>52</v>
      </c>
      <c r="N314" s="5" t="n"/>
      <c r="O314" s="11">
        <f>IF(AND(ISNUMBER(G314),ISNUMBER(J314),J314&lt;&gt;0,H314=K314),G314/J314*100,"")</f>
        <v/>
      </c>
      <c r="P314" s="11">
        <f>IF(AND(ISNUMBER(O314),ISNUMBER(I314)),ROUND(O314-I314,2),"")</f>
        <v/>
      </c>
    </row>
    <row r="315">
      <c r="A315" s="9" t="inlineStr">
        <is>
          <t>Zinc</t>
        </is>
      </c>
      <c r="B315" s="9" t="n">
        <v>2024</v>
      </c>
      <c r="C315" s="9" t="inlineStr">
        <is>
          <t>mina</t>
        </is>
      </c>
      <c r="D315" s="9" t="inlineStr">
        <is>
          <t>Charcas</t>
        </is>
      </c>
      <c r="E315" s="9" t="inlineStr">
        <is>
          <t>Grupo Mexico</t>
        </is>
      </c>
      <c r="F315" s="9" t="inlineStr">
        <is>
          <t>S.L.P.</t>
        </is>
      </c>
      <c r="G315" s="9" t="n">
        <v>23437</v>
      </c>
      <c r="H315" s="9" t="inlineStr">
        <is>
          <t>toneladas</t>
        </is>
      </c>
      <c r="I315" s="9" t="n"/>
      <c r="J315" s="9" t="n">
        <v>773189</v>
      </c>
      <c r="K315" s="9" t="inlineStr">
        <is>
          <t>toneladas</t>
        </is>
      </c>
      <c r="L315" s="8" t="inlineStr">
        <is>
          <t>Informe CAMIMEX 2025</t>
        </is>
      </c>
      <c r="M315" s="9" t="n">
        <v>52</v>
      </c>
      <c r="N315" s="8" t="inlineStr">
        <is>
          <t>Top-10 suma 624305</t>
        </is>
      </c>
      <c r="O315" s="11">
        <f>IF(AND(ISNUMBER(G315),ISNUMBER(J315),J315&lt;&gt;0,H315=K315),G315/J315*100,"")</f>
        <v/>
      </c>
      <c r="P315" s="11">
        <f>IF(AND(ISNUMBER(O315),ISNUMBER(I315)),ROUND(O315-I315,2),"")</f>
        <v/>
      </c>
    </row>
    <row r="316">
      <c r="A316" s="6" t="inlineStr">
        <is>
          <t>Zinc</t>
        </is>
      </c>
      <c r="B316" s="6" t="n">
        <v>2024</v>
      </c>
      <c r="C316" s="6" t="inlineStr">
        <is>
          <t>mina</t>
        </is>
      </c>
      <c r="D316" s="6" t="inlineStr">
        <is>
          <t>Fresnillo</t>
        </is>
      </c>
      <c r="E316" s="6" t="inlineStr">
        <is>
          <t>Fresnillo plc</t>
        </is>
      </c>
      <c r="F316" s="6" t="inlineStr">
        <is>
          <t>Zac.</t>
        </is>
      </c>
      <c r="G316" s="6" t="n">
        <v>50702</v>
      </c>
      <c r="H316" s="6" t="inlineStr">
        <is>
          <t>toneladas</t>
        </is>
      </c>
      <c r="I316" s="6" t="n"/>
      <c r="J316" s="6" t="n">
        <v>773189</v>
      </c>
      <c r="K316" s="6" t="inlineStr">
        <is>
          <t>toneladas</t>
        </is>
      </c>
      <c r="L316" s="5" t="inlineStr">
        <is>
          <t>Informe CAMIMEX 2025</t>
        </is>
      </c>
      <c r="M316" s="6" t="n">
        <v>52</v>
      </c>
      <c r="N316" s="5" t="n"/>
      <c r="O316" s="11">
        <f>IF(AND(ISNUMBER(G316),ISNUMBER(J316),J316&lt;&gt;0,H316=K316),G316/J316*100,"")</f>
        <v/>
      </c>
      <c r="P316" s="11">
        <f>IF(AND(ISNUMBER(O316),ISNUMBER(I316)),ROUND(O316-I316,2),"")</f>
        <v/>
      </c>
    </row>
    <row r="317">
      <c r="A317" s="9" t="inlineStr">
        <is>
          <t>Zinc</t>
        </is>
      </c>
      <c r="B317" s="9" t="n">
        <v>2024</v>
      </c>
      <c r="C317" s="9" t="inlineStr">
        <is>
          <t>mina</t>
        </is>
      </c>
      <c r="D317" s="9" t="inlineStr">
        <is>
          <t>Los Gatos</t>
        </is>
      </c>
      <c r="E317" s="9" t="inlineStr">
        <is>
          <t>First Majestic Silver</t>
        </is>
      </c>
      <c r="F317" s="9" t="inlineStr">
        <is>
          <t>Chih.</t>
        </is>
      </c>
      <c r="G317" s="9" t="n">
        <v>31626</v>
      </c>
      <c r="H317" s="9" t="inlineStr">
        <is>
          <t>toneladas</t>
        </is>
      </c>
      <c r="I317" s="9" t="n"/>
      <c r="J317" s="9" t="n">
        <v>773189</v>
      </c>
      <c r="K317" s="9" t="inlineStr">
        <is>
          <t>toneladas</t>
        </is>
      </c>
      <c r="L317" s="8" t="inlineStr">
        <is>
          <t>Informe CAMIMEX 2025</t>
        </is>
      </c>
      <c r="M317" s="9" t="n">
        <v>52</v>
      </c>
      <c r="N317" s="8" t="n"/>
      <c r="O317" s="11">
        <f>IF(AND(ISNUMBER(G317),ISNUMBER(J317),J317&lt;&gt;0,H317=K317),G317/J317*100,"")</f>
        <v/>
      </c>
      <c r="P317" s="11">
        <f>IF(AND(ISNUMBER(O317),ISNUMBER(I317)),ROUND(O317-I317,2),"")</f>
        <v/>
      </c>
    </row>
    <row r="318">
      <c r="A318" s="6" t="inlineStr">
        <is>
          <t>Zinc</t>
        </is>
      </c>
      <c r="B318" s="6" t="n">
        <v>2024</v>
      </c>
      <c r="C318" s="6" t="inlineStr">
        <is>
          <t>mina</t>
        </is>
      </c>
      <c r="D318" s="6" t="inlineStr">
        <is>
          <t>Penasquito</t>
        </is>
      </c>
      <c r="E318" s="6" t="inlineStr">
        <is>
          <t>Newmont</t>
        </is>
      </c>
      <c r="F318" s="6" t="inlineStr">
        <is>
          <t>Zac.</t>
        </is>
      </c>
      <c r="G318" s="6" t="n">
        <v>258090</v>
      </c>
      <c r="H318" s="6" t="inlineStr">
        <is>
          <t>toneladas</t>
        </is>
      </c>
      <c r="I318" s="6" t="n"/>
      <c r="J318" s="6" t="n">
        <v>773189</v>
      </c>
      <c r="K318" s="6" t="inlineStr">
        <is>
          <t>toneladas</t>
        </is>
      </c>
      <c r="L318" s="5" t="inlineStr">
        <is>
          <t>Informe CAMIMEX 2025</t>
        </is>
      </c>
      <c r="M318" s="6" t="n">
        <v>52</v>
      </c>
      <c r="N318" s="5" t="inlineStr">
        <is>
          <t>Tabla top-10 verificada en imagen</t>
        </is>
      </c>
      <c r="O318" s="11">
        <f>IF(AND(ISNUMBER(G318),ISNUMBER(J318),J318&lt;&gt;0,H318=K318),G318/J318*100,"")</f>
        <v/>
      </c>
      <c r="P318" s="11">
        <f>IF(AND(ISNUMBER(O318),ISNUMBER(I318)),ROUND(O318-I318,2),"")</f>
        <v/>
      </c>
    </row>
    <row r="319">
      <c r="A319" s="9" t="inlineStr">
        <is>
          <t>Zinc</t>
        </is>
      </c>
      <c r="B319" s="9" t="n">
        <v>2024</v>
      </c>
      <c r="C319" s="9" t="inlineStr">
        <is>
          <t>mina</t>
        </is>
      </c>
      <c r="D319" s="9" t="inlineStr">
        <is>
          <t>Santa Barbara</t>
        </is>
      </c>
      <c r="E319" s="9" t="inlineStr">
        <is>
          <t>Grupo Mexico</t>
        </is>
      </c>
      <c r="F319" s="9" t="inlineStr">
        <is>
          <t>Chih.</t>
        </is>
      </c>
      <c r="G319" s="9" t="n">
        <v>28456</v>
      </c>
      <c r="H319" s="9" t="inlineStr">
        <is>
          <t>toneladas</t>
        </is>
      </c>
      <c r="I319" s="9" t="n"/>
      <c r="J319" s="9" t="n">
        <v>773189</v>
      </c>
      <c r="K319" s="9" t="inlineStr">
        <is>
          <t>toneladas</t>
        </is>
      </c>
      <c r="L319" s="8" t="inlineStr">
        <is>
          <t>Informe CAMIMEX 2025</t>
        </is>
      </c>
      <c r="M319" s="9" t="n">
        <v>52</v>
      </c>
      <c r="N319" s="8" t="n"/>
      <c r="O319" s="11">
        <f>IF(AND(ISNUMBER(G319),ISNUMBER(J319),J319&lt;&gt;0,H319=K319),G319/J319*100,"")</f>
        <v/>
      </c>
      <c r="P319" s="11">
        <f>IF(AND(ISNUMBER(O319),ISNUMBER(I319)),ROUND(O319-I319,2),"")</f>
        <v/>
      </c>
    </row>
    <row r="320">
      <c r="A320" s="6" t="inlineStr">
        <is>
          <t>Zinc</t>
        </is>
      </c>
      <c r="B320" s="6" t="n">
        <v>2024</v>
      </c>
      <c r="C320" s="6" t="inlineStr">
        <is>
          <t>mina</t>
        </is>
      </c>
      <c r="D320" s="6" t="inlineStr">
        <is>
          <t>Saucito</t>
        </is>
      </c>
      <c r="E320" s="6" t="inlineStr">
        <is>
          <t>Fresnillo plc</t>
        </is>
      </c>
      <c r="F320" s="6" t="inlineStr">
        <is>
          <t>Zac.</t>
        </is>
      </c>
      <c r="G320" s="6" t="n">
        <v>34097</v>
      </c>
      <c r="H320" s="6" t="inlineStr">
        <is>
          <t>toneladas</t>
        </is>
      </c>
      <c r="I320" s="6" t="n"/>
      <c r="J320" s="6" t="n">
        <v>773189</v>
      </c>
      <c r="K320" s="6" t="inlineStr">
        <is>
          <t>toneladas</t>
        </is>
      </c>
      <c r="L320" s="5" t="inlineStr">
        <is>
          <t>Informe CAMIMEX 2025</t>
        </is>
      </c>
      <c r="M320" s="6" t="n">
        <v>52</v>
      </c>
      <c r="N320" s="5" t="n"/>
      <c r="O320" s="11">
        <f>IF(AND(ISNUMBER(G320),ISNUMBER(J320),J320&lt;&gt;0,H320=K320),G320/J320*100,"")</f>
        <v/>
      </c>
      <c r="P320" s="11">
        <f>IF(AND(ISNUMBER(O320),ISNUMBER(I320)),ROUND(O320-I320,2),"")</f>
        <v/>
      </c>
    </row>
    <row r="321">
      <c r="A321" s="9" t="inlineStr">
        <is>
          <t>Zinc</t>
        </is>
      </c>
      <c r="B321" s="9" t="n">
        <v>2024</v>
      </c>
      <c r="C321" s="9" t="inlineStr">
        <is>
          <t>mina</t>
        </is>
      </c>
      <c r="D321" s="9" t="inlineStr">
        <is>
          <t>Tayahua</t>
        </is>
      </c>
      <c r="E321" s="9" t="inlineStr">
        <is>
          <t>Minera Frisco</t>
        </is>
      </c>
      <c r="F321" s="9" t="inlineStr">
        <is>
          <t>Zac.</t>
        </is>
      </c>
      <c r="G321" s="9" t="n">
        <v>25724</v>
      </c>
      <c r="H321" s="9" t="inlineStr">
        <is>
          <t>toneladas</t>
        </is>
      </c>
      <c r="I321" s="9" t="n"/>
      <c r="J321" s="9" t="n">
        <v>773189</v>
      </c>
      <c r="K321" s="9" t="inlineStr">
        <is>
          <t>toneladas</t>
        </is>
      </c>
      <c r="L321" s="8" t="inlineStr">
        <is>
          <t>Informe CAMIMEX 2025</t>
        </is>
      </c>
      <c r="M321" s="9" t="n">
        <v>52</v>
      </c>
      <c r="N321" s="8" t="n"/>
      <c r="O321" s="11">
        <f>IF(AND(ISNUMBER(G321),ISNUMBER(J321),J321&lt;&gt;0,H321=K321),G321/J321*100,"")</f>
        <v/>
      </c>
      <c r="P321" s="11">
        <f>IF(AND(ISNUMBER(O321),ISNUMBER(I321)),ROUND(O321-I321,2),"")</f>
        <v/>
      </c>
    </row>
    <row r="322">
      <c r="A322" s="6" t="inlineStr">
        <is>
          <t>Zinc</t>
        </is>
      </c>
      <c r="B322" s="6" t="n">
        <v>2024</v>
      </c>
      <c r="C322" s="6" t="inlineStr">
        <is>
          <t>mina</t>
        </is>
      </c>
      <c r="D322" s="6" t="inlineStr">
        <is>
          <t>Tizapa</t>
        </is>
      </c>
      <c r="E322" s="6" t="inlineStr">
        <is>
          <t>Industrias Penoles</t>
        </is>
      </c>
      <c r="F322" s="6" t="inlineStr">
        <is>
          <t>Edo. de Mex.</t>
        </is>
      </c>
      <c r="G322" s="6" t="n">
        <v>26935</v>
      </c>
      <c r="H322" s="6" t="inlineStr">
        <is>
          <t>toneladas</t>
        </is>
      </c>
      <c r="I322" s="6" t="n"/>
      <c r="J322" s="6" t="n">
        <v>773189</v>
      </c>
      <c r="K322" s="6" t="inlineStr">
        <is>
          <t>toneladas</t>
        </is>
      </c>
      <c r="L322" s="5" t="inlineStr">
        <is>
          <t>Informe CAMIMEX 2025</t>
        </is>
      </c>
      <c r="M322" s="6" t="n">
        <v>52</v>
      </c>
      <c r="N322" s="5" t="n"/>
      <c r="O322" s="11">
        <f>IF(AND(ISNUMBER(G322),ISNUMBER(J322),J322&lt;&gt;0,H322=K322),G322/J322*100,"")</f>
        <v/>
      </c>
      <c r="P322" s="11">
        <f>IF(AND(ISNUMBER(O322),ISNUMBER(I322)),ROUND(O322-I322,2),"")</f>
        <v/>
      </c>
    </row>
    <row r="323">
      <c r="A323" s="9" t="inlineStr">
        <is>
          <t>Zinc</t>
        </is>
      </c>
      <c r="B323" s="9" t="n">
        <v>2024</v>
      </c>
      <c r="C323" s="9" t="inlineStr">
        <is>
          <t>mina</t>
        </is>
      </c>
      <c r="D323" s="9" t="inlineStr">
        <is>
          <t>Velardena</t>
        </is>
      </c>
      <c r="E323" s="9" t="inlineStr">
        <is>
          <t>Industrias Penoles</t>
        </is>
      </c>
      <c r="F323" s="9" t="inlineStr">
        <is>
          <t>Dgo.</t>
        </is>
      </c>
      <c r="G323" s="9" t="n">
        <v>80941</v>
      </c>
      <c r="H323" s="9" t="inlineStr">
        <is>
          <t>toneladas</t>
        </is>
      </c>
      <c r="I323" s="9" t="n"/>
      <c r="J323" s="9" t="n">
        <v>773189</v>
      </c>
      <c r="K323" s="9" t="inlineStr">
        <is>
          <t>toneladas</t>
        </is>
      </c>
      <c r="L323" s="8" t="inlineStr">
        <is>
          <t>Informe CAMIMEX 2025</t>
        </is>
      </c>
      <c r="M323" s="9" t="n">
        <v>52</v>
      </c>
      <c r="N323" s="8" t="n"/>
      <c r="O323" s="11">
        <f>IF(AND(ISNUMBER(G323),ISNUMBER(J323),J323&lt;&gt;0,H323=K323),G323/J323*100,"")</f>
        <v/>
      </c>
      <c r="P323" s="11">
        <f>IF(AND(ISNUMBER(O323),ISNUMBER(I323)),ROUND(O323-I323,2),"")</f>
        <v/>
      </c>
    </row>
    <row r="324">
      <c r="A324" s="6" t="inlineStr">
        <is>
          <t>Oro</t>
        </is>
      </c>
      <c r="B324" s="6" t="n">
        <v>2020</v>
      </c>
      <c r="C324" s="6" t="inlineStr">
        <is>
          <t>empresa</t>
        </is>
      </c>
      <c r="D324" s="6" t="n"/>
      <c r="E324" s="6" t="inlineStr">
        <is>
          <t>Fresnillo plc</t>
        </is>
      </c>
      <c r="F324" s="6" t="n"/>
      <c r="G324" s="6" t="n"/>
      <c r="H324" s="6" t="n"/>
      <c r="I324" s="6" t="n"/>
      <c r="J324" s="6" t="n">
        <v>3550</v>
      </c>
      <c r="K324" s="6" t="inlineStr">
        <is>
          <t>miles oz</t>
        </is>
      </c>
      <c r="L324" s="5" t="inlineStr">
        <is>
          <t>Informe CAMIMEX 2021</t>
        </is>
      </c>
      <c r="M324" s="6" t="n"/>
      <c r="N324" s="5" t="inlineStr">
        <is>
          <t>Lider; top-5 (Fresnillo Newmont Torex Agnico Eagle +1) = 59.6pct nacional</t>
        </is>
      </c>
      <c r="O324" s="11">
        <f>IF(AND(ISNUMBER(G324),ISNUMBER(J324),J324&lt;&gt;0,H324=K324),G324/J324*100,"")</f>
        <v/>
      </c>
      <c r="P324" s="11">
        <f>IF(AND(ISNUMBER(O324),ISNUMBER(I324)),ROUND(O324-I324,2),"")</f>
        <v/>
      </c>
    </row>
    <row r="325">
      <c r="A325" s="9" t="inlineStr">
        <is>
          <t>Plata</t>
        </is>
      </c>
      <c r="B325" s="9" t="n">
        <v>2020</v>
      </c>
      <c r="C325" s="9" t="inlineStr">
        <is>
          <t>empresa</t>
        </is>
      </c>
      <c r="D325" s="9" t="n"/>
      <c r="E325" s="9" t="inlineStr">
        <is>
          <t>Fresnillo plc</t>
        </is>
      </c>
      <c r="F325" s="9" t="n"/>
      <c r="G325" s="9" t="n"/>
      <c r="H325" s="9" t="n"/>
      <c r="I325" s="9" t="n">
        <v>29.4</v>
      </c>
      <c r="J325" s="9" t="n">
        <v>180.2</v>
      </c>
      <c r="K325" s="9" t="inlineStr">
        <is>
          <t>millones oz</t>
        </is>
      </c>
      <c r="L325" s="8" t="inlineStr">
        <is>
          <t>Informe CAMIMEX 2021</t>
        </is>
      </c>
      <c r="M325" s="9" t="n"/>
      <c r="N325" s="8" t="inlineStr">
        <is>
          <t>Lider 29.4pct; siguen Newmont GMexico Penoles First Majestic</t>
        </is>
      </c>
      <c r="O325" s="11">
        <f>IF(AND(ISNUMBER(G325),ISNUMBER(J325),J325&lt;&gt;0,H325=K325),G325/J325*100,"")</f>
        <v/>
      </c>
      <c r="P325" s="11">
        <f>IF(AND(ISNUMBER(O325),ISNUMBER(I325)),ROUND(O325-I325,2),"")</f>
        <v/>
      </c>
    </row>
    <row r="326">
      <c r="A326" s="6" t="inlineStr">
        <is>
          <t>Cobre</t>
        </is>
      </c>
      <c r="B326" s="6" t="n">
        <v>2020</v>
      </c>
      <c r="C326" s="6" t="inlineStr">
        <is>
          <t>empresa</t>
        </is>
      </c>
      <c r="D326" s="6" t="n"/>
      <c r="E326" s="6" t="inlineStr">
        <is>
          <t>Grupo Mexico</t>
        </is>
      </c>
      <c r="F326" s="6" t="n"/>
      <c r="G326" s="6" t="n">
        <v>577580</v>
      </c>
      <c r="H326" s="6" t="inlineStr">
        <is>
          <t>toneladas</t>
        </is>
      </c>
      <c r="I326" s="6" t="n">
        <v>78.8</v>
      </c>
      <c r="J326" s="6" t="n">
        <v>732863</v>
      </c>
      <c r="K326" s="6" t="inlineStr">
        <is>
          <t>toneladas</t>
        </is>
      </c>
      <c r="L326" s="5" t="inlineStr">
        <is>
          <t>Informe CAMIMEX 2021</t>
        </is>
      </c>
      <c r="M326" s="6" t="n"/>
      <c r="N326" s="5" t="inlineStr">
        <is>
          <t>577580/732863; mayor productor</t>
        </is>
      </c>
      <c r="O326" s="11">
        <f>IF(AND(ISNUMBER(G326),ISNUMBER(J326),J326&lt;&gt;0,H326=K326),G326/J326*100,"")</f>
        <v/>
      </c>
      <c r="P326" s="11">
        <f>IF(AND(ISNUMBER(O326),ISNUMBER(I326)),ROUND(O326-I326,2),"")</f>
        <v/>
      </c>
    </row>
    <row r="327">
      <c r="A327" s="9" t="inlineStr">
        <is>
          <t>Zinc</t>
        </is>
      </c>
      <c r="B327" s="9" t="n">
        <v>2020</v>
      </c>
      <c r="C327" s="9" t="inlineStr">
        <is>
          <t>empresa</t>
        </is>
      </c>
      <c r="D327" s="9" t="n"/>
      <c r="E327" s="9" t="inlineStr">
        <is>
          <t>Industrias Penoles</t>
        </is>
      </c>
      <c r="F327" s="9" t="n"/>
      <c r="G327" s="9" t="n"/>
      <c r="H327" s="9" t="n"/>
      <c r="I327" s="9" t="n">
        <v>26.3</v>
      </c>
      <c r="J327" s="9" t="n">
        <v>688461</v>
      </c>
      <c r="K327" s="9" t="inlineStr">
        <is>
          <t>toneladas</t>
        </is>
      </c>
      <c r="L327" s="8" t="inlineStr">
        <is>
          <t>Informe CAMIMEX 2021</t>
        </is>
      </c>
      <c r="M327" s="9" t="n"/>
      <c r="N327" s="8" t="inlineStr">
        <is>
          <t>Lider 26.3pct; siguen Newmont Fresnillo GMexico Frisco</t>
        </is>
      </c>
      <c r="O327" s="11">
        <f>IF(AND(ISNUMBER(G327),ISNUMBER(J327),J327&lt;&gt;0,H327=K327),G327/J327*100,"")</f>
        <v/>
      </c>
      <c r="P327" s="11">
        <f>IF(AND(ISNUMBER(O327),ISNUMBER(I327)),ROUND(O327-I327,2),"")</f>
        <v/>
      </c>
    </row>
    <row r="328">
      <c r="A328" s="6" t="inlineStr">
        <is>
          <t>Plomo</t>
        </is>
      </c>
      <c r="B328" s="6" t="n">
        <v>2020</v>
      </c>
      <c r="C328" s="6" t="inlineStr">
        <is>
          <t>empresa</t>
        </is>
      </c>
      <c r="D328" s="6" t="n"/>
      <c r="E328" s="6" t="inlineStr">
        <is>
          <t>Newmont</t>
        </is>
      </c>
      <c r="F328" s="6" t="n"/>
      <c r="G328" s="6" t="n"/>
      <c r="H328" s="6" t="n"/>
      <c r="I328" s="6" t="n">
        <v>31.2</v>
      </c>
      <c r="J328" s="6" t="n">
        <v>260390</v>
      </c>
      <c r="K328" s="6" t="inlineStr">
        <is>
          <t>toneladas</t>
        </is>
      </c>
      <c r="L328" s="5" t="inlineStr">
        <is>
          <t>Informe CAMIMEX 2021</t>
        </is>
      </c>
      <c r="M328" s="6" t="n"/>
      <c r="N328" s="5" t="inlineStr">
        <is>
          <t>Lider 31.2pct; Fresnillo 2do; top-5 = 78pct</t>
        </is>
      </c>
      <c r="O328" s="11">
        <f>IF(AND(ISNUMBER(G328),ISNUMBER(J328),J328&lt;&gt;0,H328=K328),G328/J328*100,"")</f>
        <v/>
      </c>
      <c r="P328" s="11">
        <f>IF(AND(ISNUMBER(O328),ISNUMBER(I328)),ROUND(O328-I328,2),"")</f>
        <v/>
      </c>
    </row>
    <row r="329">
      <c r="A329" s="9" t="inlineStr">
        <is>
          <t>Oro</t>
        </is>
      </c>
      <c r="B329" s="9" t="n">
        <v>2019</v>
      </c>
      <c r="C329" s="9" t="inlineStr">
        <is>
          <t>empresa</t>
        </is>
      </c>
      <c r="D329" s="9" t="n"/>
      <c r="E329" s="9" t="inlineStr">
        <is>
          <t>Fresnillo plc</t>
        </is>
      </c>
      <c r="F329" s="9" t="n"/>
      <c r="G329" s="9" t="n"/>
      <c r="H329" s="9" t="n"/>
      <c r="I329" s="9" t="n"/>
      <c r="J329" s="9" t="n">
        <v>2400</v>
      </c>
      <c r="K329" s="9" t="inlineStr">
        <is>
          <t>miles oz</t>
        </is>
      </c>
      <c r="L329" s="8" t="inlineStr">
        <is>
          <t>Informe CAMIMEX 2020</t>
        </is>
      </c>
      <c r="M329" s="9" t="n"/>
      <c r="N329" s="8" t="inlineStr">
        <is>
          <t>Lider por orden; top-5 (Fresnillo Newmont Torex Agnico +1) = 57pct nacional</t>
        </is>
      </c>
      <c r="O329" s="11">
        <f>IF(AND(ISNUMBER(G329),ISNUMBER(J329),J329&lt;&gt;0,H329=K329),G329/J329*100,"")</f>
        <v/>
      </c>
      <c r="P329" s="11">
        <f>IF(AND(ISNUMBER(O329),ISNUMBER(I329)),ROUND(O329-I329,2),"")</f>
        <v/>
      </c>
    </row>
    <row r="330">
      <c r="A330" s="6" t="inlineStr">
        <is>
          <t>Plata</t>
        </is>
      </c>
      <c r="B330" s="6" t="n">
        <v>2019</v>
      </c>
      <c r="C330" s="6" t="inlineStr">
        <is>
          <t>empresa</t>
        </is>
      </c>
      <c r="D330" s="6" t="n"/>
      <c r="E330" s="6" t="inlineStr">
        <is>
          <t>Fresnillo plc</t>
        </is>
      </c>
      <c r="F330" s="6" t="n"/>
      <c r="G330" s="6" t="n"/>
      <c r="H330" s="6" t="n"/>
      <c r="I330" s="6" t="n">
        <v>27.6</v>
      </c>
      <c r="J330" s="6" t="n"/>
      <c r="K330" s="6" t="n"/>
      <c r="L330" s="5" t="inlineStr">
        <is>
          <t>Informe CAMIMEX 2020</t>
        </is>
      </c>
      <c r="M330" s="6" t="n"/>
      <c r="N330" s="5" t="inlineStr">
        <is>
          <t>Lider 27.6pct nacional 6pct mundial; siguen Newmont GMexico Penoles First Majestic</t>
        </is>
      </c>
      <c r="O330" s="11">
        <f>IF(AND(ISNUMBER(G330),ISNUMBER(J330),J330&lt;&gt;0,H330=K330),G330/J330*100,"")</f>
        <v/>
      </c>
      <c r="P330" s="11">
        <f>IF(AND(ISNUMBER(O330),ISNUMBER(I330)),ROUND(O330-I330,2),"")</f>
        <v/>
      </c>
    </row>
    <row r="331">
      <c r="A331" s="9" t="inlineStr">
        <is>
          <t>Cobre</t>
        </is>
      </c>
      <c r="B331" s="9" t="n">
        <v>2019</v>
      </c>
      <c r="C331" s="9" t="inlineStr">
        <is>
          <t>empresa</t>
        </is>
      </c>
      <c r="D331" s="9" t="n"/>
      <c r="E331" s="9" t="inlineStr">
        <is>
          <t>Grupo Mexico</t>
        </is>
      </c>
      <c r="F331" s="9" t="n"/>
      <c r="G331" s="9" t="n"/>
      <c r="H331" s="9" t="n"/>
      <c r="I331" s="9" t="n">
        <v>75</v>
      </c>
      <c r="J331" s="9" t="n"/>
      <c r="K331" s="9" t="n"/>
      <c r="L331" s="8" t="inlineStr">
        <is>
          <t>Informe CAMIMEX 2020</t>
        </is>
      </c>
      <c r="M331" s="9" t="n"/>
      <c r="N331" s="8" t="inlineStr">
        <is>
          <t>Mayor productor 75pct</t>
        </is>
      </c>
      <c r="O331" s="11">
        <f>IF(AND(ISNUMBER(G331),ISNUMBER(J331),J331&lt;&gt;0,H331=K331),G331/J331*100,"")</f>
        <v/>
      </c>
      <c r="P331" s="11">
        <f>IF(AND(ISNUMBER(O331),ISNUMBER(I331)),ROUND(O331-I331,2),"")</f>
        <v/>
      </c>
    </row>
    <row r="332">
      <c r="A332" s="6" t="inlineStr">
        <is>
          <t>Zinc</t>
        </is>
      </c>
      <c r="B332" s="6" t="n">
        <v>2019</v>
      </c>
      <c r="C332" s="6" t="inlineStr">
        <is>
          <t>empresa</t>
        </is>
      </c>
      <c r="D332" s="6" t="n"/>
      <c r="E332" s="6" t="inlineStr">
        <is>
          <t>Industrias Penoles</t>
        </is>
      </c>
      <c r="F332" s="6" t="n"/>
      <c r="G332" s="6" t="n"/>
      <c r="H332" s="6" t="n"/>
      <c r="I332" s="6" t="n"/>
      <c r="J332" s="6" t="n"/>
      <c r="K332" s="6" t="n"/>
      <c r="L332" s="5" t="inlineStr">
        <is>
          <t>Informe CAMIMEX 2020</t>
        </is>
      </c>
      <c r="M332" s="6" t="n"/>
      <c r="N332" s="5" t="inlineStr">
        <is>
          <t>Lider (sin pct publicado); Newmont 2do (Penasquito 12.5pct)</t>
        </is>
      </c>
      <c r="O332" s="11">
        <f>IF(AND(ISNUMBER(G332),ISNUMBER(J332),J332&lt;&gt;0,H332=K332),G332/J332*100,"")</f>
        <v/>
      </c>
      <c r="P332" s="11">
        <f>IF(AND(ISNUMBER(O332),ISNUMBER(I332)),ROUND(O332-I332,2),"")</f>
        <v/>
      </c>
    </row>
    <row r="333">
      <c r="A333" s="9" t="inlineStr">
        <is>
          <t>Plomo</t>
        </is>
      </c>
      <c r="B333" s="9" t="n">
        <v>2019</v>
      </c>
      <c r="C333" s="9" t="inlineStr">
        <is>
          <t>empresa</t>
        </is>
      </c>
      <c r="D333" s="9" t="n"/>
      <c r="E333" s="9" t="inlineStr">
        <is>
          <t>Fresnillo plc</t>
        </is>
      </c>
      <c r="F333" s="9" t="n"/>
      <c r="G333" s="9" t="n"/>
      <c r="H333" s="9" t="n"/>
      <c r="I333" s="9" t="n"/>
      <c r="J333" s="9" t="n">
        <v>149054</v>
      </c>
      <c r="K333" s="9" t="inlineStr">
        <is>
          <t>toneladas</t>
        </is>
      </c>
      <c r="L333" s="8" t="inlineStr">
        <is>
          <t>Informe CAMIMEX 2020</t>
        </is>
      </c>
      <c r="M333" s="9" t="n"/>
      <c r="N333" s="8" t="inlineStr">
        <is>
          <t>Lider; top-5 = 66.1pct; total INEGI plomo minero 2019</t>
        </is>
      </c>
      <c r="O333" s="11">
        <f>IF(AND(ISNUMBER(G333),ISNUMBER(J333),J333&lt;&gt;0,H333=K333),G333/J333*100,"")</f>
        <v/>
      </c>
      <c r="P333" s="11">
        <f>IF(AND(ISNUMBER(O333),ISNUMBER(I333)),ROUND(O333-I333,2),"")</f>
        <v/>
      </c>
    </row>
    <row r="334">
      <c r="A334" s="6" t="inlineStr">
        <is>
          <t>Manganeso</t>
        </is>
      </c>
      <c r="B334" s="6" t="n">
        <v>2019</v>
      </c>
      <c r="C334" s="6" t="inlineStr">
        <is>
          <t>empresa</t>
        </is>
      </c>
      <c r="D334" s="6" t="n"/>
      <c r="E334" s="6" t="inlineStr">
        <is>
          <t>Compania Minera Autlan</t>
        </is>
      </c>
      <c r="F334" s="6" t="n"/>
      <c r="G334" s="6" t="n"/>
      <c r="H334" s="6" t="n"/>
      <c r="I334" s="6" t="n">
        <v>100</v>
      </c>
      <c r="J334" s="6" t="n"/>
      <c r="K334" s="6" t="n"/>
      <c r="L334" s="5" t="inlineStr">
        <is>
          <t>Informe CAMIMEX 2020</t>
        </is>
      </c>
      <c r="M334" s="6" t="n"/>
      <c r="N334" s="5" t="inlineStr">
        <is>
          <t>Productor unico nacional</t>
        </is>
      </c>
      <c r="O334" s="11">
        <f>IF(AND(ISNUMBER(G334),ISNUMBER(J334),J334&lt;&gt;0,H334=K334),G334/J334*100,"")</f>
        <v/>
      </c>
      <c r="P334" s="11">
        <f>IF(AND(ISNUMBER(O334),ISNUMBER(I334)),ROUND(O334-I334,2),"")</f>
        <v/>
      </c>
    </row>
    <row r="335">
      <c r="A335" s="9" t="inlineStr">
        <is>
          <t>Barita</t>
        </is>
      </c>
      <c r="B335" s="9" t="n">
        <v>2019</v>
      </c>
      <c r="C335" s="9" t="inlineStr">
        <is>
          <t>empresa</t>
        </is>
      </c>
      <c r="D335" s="9" t="n"/>
      <c r="E335" s="9" t="inlineStr">
        <is>
          <t>Baramin</t>
        </is>
      </c>
      <c r="F335" s="9" t="n"/>
      <c r="G335" s="9" t="n">
        <v>345000</v>
      </c>
      <c r="H335" s="9" t="inlineStr">
        <is>
          <t>toneladas</t>
        </is>
      </c>
      <c r="I335" s="9" t="n">
        <v>91.2</v>
      </c>
      <c r="J335" s="9" t="n">
        <v>378295</v>
      </c>
      <c r="K335" s="9" t="inlineStr">
        <is>
          <t>toneladas</t>
        </is>
      </c>
      <c r="L335" s="8" t="inlineStr">
        <is>
          <t>Informe CAMIMEX 2020</t>
        </is>
      </c>
      <c r="M335" s="9" t="n">
        <v>70</v>
      </c>
      <c r="N335" s="8" t="inlineStr">
        <is>
          <t>Baramin 345 mil t (+17.7pct vs 2018) de 378295 INEGI = 91.2pct</t>
        </is>
      </c>
      <c r="O335" s="11">
        <f>IF(AND(ISNUMBER(G335),ISNUMBER(J335),J335&lt;&gt;0,H335=K335),G335/J335*100,"")</f>
        <v/>
      </c>
      <c r="P335" s="11">
        <f>IF(AND(ISNUMBER(O335),ISNUMBER(I335)),ROUND(O335-I335,2),"")</f>
        <v/>
      </c>
    </row>
    <row r="336">
      <c r="A336" s="6" t="inlineStr">
        <is>
          <t>Fluorita</t>
        </is>
      </c>
      <c r="B336" s="6" t="n">
        <v>2019</v>
      </c>
      <c r="C336" s="6" t="inlineStr">
        <is>
          <t>empresa</t>
        </is>
      </c>
      <c r="D336" s="6" t="n"/>
      <c r="E336" s="6" t="inlineStr">
        <is>
          <t>Koura</t>
        </is>
      </c>
      <c r="F336" s="6" t="n"/>
      <c r="G336" s="6" t="n">
        <v>1000000</v>
      </c>
      <c r="H336" s="6" t="inlineStr">
        <is>
          <t>toneladas</t>
        </is>
      </c>
      <c r="I336" s="6" t="n"/>
      <c r="J336" s="6" t="n">
        <v>1231465</v>
      </c>
      <c r="K336" s="6" t="inlineStr">
        <is>
          <t>toneladas</t>
        </is>
      </c>
      <c r="L336" s="5" t="inlineStr">
        <is>
          <t>Informe CAMIMEX 2020 + INEGI B3</t>
        </is>
      </c>
      <c r="M336" s="6" t="n">
        <v>72</v>
      </c>
      <c r="N336" s="5" t="inlineStr">
        <is>
          <t>Koura (antes Mexichem) produjo mas de 1 millon t; principal productora; ~81-100pct</t>
        </is>
      </c>
      <c r="O336" s="11">
        <f>IF(AND(ISNUMBER(G336),ISNUMBER(J336),J336&lt;&gt;0,H336=K336),G336/J336*100,"")</f>
        <v/>
      </c>
      <c r="P336" s="11">
        <f>IF(AND(ISNUMBER(O336),ISNUMBER(I336)),ROUND(O336-I336,2),"")</f>
        <v/>
      </c>
    </row>
    <row r="337">
      <c r="A337" s="9" t="inlineStr">
        <is>
          <t>Silice</t>
        </is>
      </c>
      <c r="B337" s="9" t="n">
        <v>2019</v>
      </c>
      <c r="C337" s="9" t="inlineStr">
        <is>
          <t>empresa</t>
        </is>
      </c>
      <c r="D337" s="9" t="n"/>
      <c r="E337" s="9" t="inlineStr">
        <is>
          <t>Grupo Materias Primas (Covia)</t>
        </is>
      </c>
      <c r="F337" s="9" t="n"/>
      <c r="G337" s="9" t="n">
        <v>2680000</v>
      </c>
      <c r="H337" s="9" t="inlineStr">
        <is>
          <t>toneladas</t>
        </is>
      </c>
      <c r="I337" s="9" t="n">
        <v>100</v>
      </c>
      <c r="J337" s="9" t="n">
        <v>2671422</v>
      </c>
      <c r="K337" s="9" t="inlineStr">
        <is>
          <t>toneladas</t>
        </is>
      </c>
      <c r="L337" s="8" t="inlineStr">
        <is>
          <t>Informe CAMIMEX 2020</t>
        </is>
      </c>
      <c r="M337" s="9" t="n">
        <v>69</v>
      </c>
      <c r="N337" s="8" t="inlineStr">
        <is>
          <t>Covia 2.68Mt vs total INEGI 2.67Mt; redondeo CAMIMEX; ~100pct</t>
        </is>
      </c>
      <c r="O337" s="11">
        <f>IF(AND(ISNUMBER(G337),ISNUMBER(J337),J337&lt;&gt;0,H337=K337),G337/J337*100,"")</f>
        <v/>
      </c>
      <c r="P337" s="11">
        <f>IF(AND(ISNUMBER(O337),ISNUMBER(I337)),ROUND(O337-I337,2),"")</f>
        <v/>
      </c>
    </row>
    <row r="338">
      <c r="A338" s="6" t="inlineStr">
        <is>
          <t>Grafito</t>
        </is>
      </c>
      <c r="B338" s="6" t="n">
        <v>2019</v>
      </c>
      <c r="C338" s="6" t="inlineStr">
        <is>
          <t>empresa</t>
        </is>
      </c>
      <c r="D338" s="6" t="n"/>
      <c r="E338" s="6" t="inlineStr">
        <is>
          <t>ninguno</t>
        </is>
      </c>
      <c r="F338" s="6" t="n"/>
      <c r="G338" s="6" t="n"/>
      <c r="H338" s="6" t="inlineStr">
        <is>
          <t>toneladas</t>
        </is>
      </c>
      <c r="I338" s="6" t="n"/>
      <c r="J338" s="6" t="n">
        <v>1591</v>
      </c>
      <c r="K338" s="6" t="inlineStr">
        <is>
          <t>toneladas</t>
        </is>
      </c>
      <c r="L338" s="5" t="inlineStr">
        <is>
          <t>CAMIMEX no desglosa</t>
        </is>
      </c>
      <c r="M338" s="6" t="n"/>
      <c r="N338" s="5" t="inlineStr">
        <is>
          <t>Caso de contraste; atomizado; total INEGI B3</t>
        </is>
      </c>
      <c r="O338" s="11">
        <f>IF(AND(ISNUMBER(G338),ISNUMBER(J338),J338&lt;&gt;0,H338=K338),G338/J338*100,"")</f>
        <v/>
      </c>
      <c r="P338" s="11">
        <f>IF(AND(ISNUMBER(O338),ISNUMBER(I338)),ROUND(O338-I338,2),"")</f>
        <v/>
      </c>
    </row>
    <row r="339">
      <c r="A339" s="9" t="inlineStr">
        <is>
          <t>Oro</t>
        </is>
      </c>
      <c r="B339" s="9" t="n">
        <v>2018</v>
      </c>
      <c r="C339" s="9" t="inlineStr">
        <is>
          <t>empresa</t>
        </is>
      </c>
      <c r="D339" s="9" t="n"/>
      <c r="E339" s="9" t="inlineStr">
        <is>
          <t>Fresnillo plc</t>
        </is>
      </c>
      <c r="F339" s="9" t="n"/>
      <c r="G339" s="9" t="n"/>
      <c r="H339" s="9" t="n"/>
      <c r="I339" s="9" t="n"/>
      <c r="J339" s="9" t="n">
        <v>3800</v>
      </c>
      <c r="K339" s="9" t="inlineStr">
        <is>
          <t>miles oz</t>
        </is>
      </c>
      <c r="L339" s="8" t="inlineStr">
        <is>
          <t>Informe CAMIMEX 2019</t>
        </is>
      </c>
      <c r="M339" s="9" t="n">
        <v>36</v>
      </c>
      <c r="N339" s="8" t="inlineStr">
        <is>
          <t>Lider; top-5 (Fresnillo Torex Agnico Goldcorp Frisco) = mas de la mitad; sin pct publicado</t>
        </is>
      </c>
      <c r="O339" s="11">
        <f>IF(AND(ISNUMBER(G339),ISNUMBER(J339),J339&lt;&gt;0,H339=K339),G339/J339*100,"")</f>
        <v/>
      </c>
      <c r="P339" s="11">
        <f>IF(AND(ISNUMBER(O339),ISNUMBER(I339)),ROUND(O339-I339,2),"")</f>
        <v/>
      </c>
    </row>
    <row r="340">
      <c r="A340" s="6" t="inlineStr">
        <is>
          <t>Plata</t>
        </is>
      </c>
      <c r="B340" s="6" t="n">
        <v>2018</v>
      </c>
      <c r="C340" s="6" t="inlineStr">
        <is>
          <t>empresa</t>
        </is>
      </c>
      <c r="D340" s="6" t="n"/>
      <c r="E340" s="6" t="inlineStr">
        <is>
          <t>Fresnillo plc</t>
        </is>
      </c>
      <c r="F340" s="6" t="n"/>
      <c r="G340" s="6" t="n"/>
      <c r="H340" s="6" t="n"/>
      <c r="I340" s="6" t="n">
        <v>33.3</v>
      </c>
      <c r="J340" s="6" t="n">
        <v>194.5</v>
      </c>
      <c r="K340" s="6" t="inlineStr">
        <is>
          <t>millones oz</t>
        </is>
      </c>
      <c r="L340" s="5" t="inlineStr">
        <is>
          <t>Informe CAMIMEX 2019</t>
        </is>
      </c>
      <c r="M340" s="6" t="n"/>
      <c r="N340" s="5" t="inlineStr">
        <is>
          <t>Participa con la tercera parte de la produccion nacional y 7pct mundial; siguen Goldcorp GMexico Pan American Penoles</t>
        </is>
      </c>
      <c r="O340" s="11">
        <f>IF(AND(ISNUMBER(G340),ISNUMBER(J340),J340&lt;&gt;0,H340=K340),G340/J340*100,"")</f>
        <v/>
      </c>
      <c r="P340" s="11">
        <f>IF(AND(ISNUMBER(O340),ISNUMBER(I340)),ROUND(O340-I340,2),"")</f>
        <v/>
      </c>
    </row>
    <row r="341">
      <c r="A341" s="9" t="inlineStr">
        <is>
          <t>Cobre</t>
        </is>
      </c>
      <c r="B341" s="9" t="n">
        <v>2018</v>
      </c>
      <c r="C341" s="9" t="inlineStr">
        <is>
          <t>empresa</t>
        </is>
      </c>
      <c r="D341" s="9" t="n"/>
      <c r="E341" s="9" t="inlineStr">
        <is>
          <t>Grupo Mexico</t>
        </is>
      </c>
      <c r="F341" s="9" t="n"/>
      <c r="G341" s="9" t="n">
        <v>552864</v>
      </c>
      <c r="H341" s="9" t="inlineStr">
        <is>
          <t>toneladas</t>
        </is>
      </c>
      <c r="I341" s="9" t="n">
        <v>73.59999999999999</v>
      </c>
      <c r="J341" s="9" t="n">
        <v>751005</v>
      </c>
      <c r="K341" s="9" t="inlineStr">
        <is>
          <t>toneladas</t>
        </is>
      </c>
      <c r="L341" s="8" t="inlineStr">
        <is>
          <t>Informe CAMIMEX 2019</t>
        </is>
      </c>
      <c r="M341" s="9" t="n"/>
      <c r="N341" s="8" t="inlineStr">
        <is>
          <t>Mayor productor 552864 t de 751005 INEGI = 73.6pct</t>
        </is>
      </c>
      <c r="O341" s="11">
        <f>IF(AND(ISNUMBER(G341),ISNUMBER(J341),J341&lt;&gt;0,H341=K341),G341/J341*100,"")</f>
        <v/>
      </c>
      <c r="P341" s="11">
        <f>IF(AND(ISNUMBER(O341),ISNUMBER(I341)),ROUND(O341-I341,2),"")</f>
        <v/>
      </c>
    </row>
    <row r="342">
      <c r="A342" s="6" t="inlineStr">
        <is>
          <t>Zinc</t>
        </is>
      </c>
      <c r="B342" s="6" t="n">
        <v>2018</v>
      </c>
      <c r="C342" s="6" t="inlineStr">
        <is>
          <t>empresa</t>
        </is>
      </c>
      <c r="D342" s="6" t="n"/>
      <c r="E342" s="6" t="inlineStr">
        <is>
          <t>Industrias Penoles</t>
        </is>
      </c>
      <c r="F342" s="6" t="n"/>
      <c r="G342" s="6" t="n"/>
      <c r="H342" s="6" t="n"/>
      <c r="I342" s="6" t="n"/>
      <c r="J342" s="6" t="n">
        <v>690895</v>
      </c>
      <c r="K342" s="6" t="inlineStr">
        <is>
          <t>toneladas</t>
        </is>
      </c>
      <c r="L342" s="5" t="inlineStr">
        <is>
          <t>Informe CAMIMEX 2019</t>
        </is>
      </c>
      <c r="M342" s="6" t="n">
        <v>47</v>
      </c>
      <c r="N342" s="5" t="inlineStr">
        <is>
          <t>Lider sin pct publicado; top-5 (Penoles Goldcorp Fresnillo GMexico Frisco) = 80.7pct; Penasquito primera unidad</t>
        </is>
      </c>
      <c r="O342" s="11">
        <f>IF(AND(ISNUMBER(G342),ISNUMBER(J342),J342&lt;&gt;0,H342=K342),G342/J342*100,"")</f>
        <v/>
      </c>
      <c r="P342" s="11">
        <f>IF(AND(ISNUMBER(O342),ISNUMBER(I342)),ROUND(O342-I342,2),"")</f>
        <v/>
      </c>
    </row>
    <row r="343">
      <c r="A343" s="9" t="inlineStr">
        <is>
          <t>Plomo</t>
        </is>
      </c>
      <c r="B343" s="9" t="n">
        <v>2018</v>
      </c>
      <c r="C343" s="9" t="inlineStr">
        <is>
          <t>empresa</t>
        </is>
      </c>
      <c r="D343" s="9" t="n"/>
      <c r="E343" s="9" t="inlineStr">
        <is>
          <t>Fresnillo plc</t>
        </is>
      </c>
      <c r="F343" s="9" t="n"/>
      <c r="G343" s="9" t="n"/>
      <c r="H343" s="9" t="n"/>
      <c r="I343" s="9" t="n"/>
      <c r="J343" s="9" t="n">
        <v>240304</v>
      </c>
      <c r="K343" s="9" t="inlineStr">
        <is>
          <t>toneladas</t>
        </is>
      </c>
      <c r="L343" s="8" t="inlineStr">
        <is>
          <t>Informe CAMIMEX 2019</t>
        </is>
      </c>
      <c r="M343" s="9" t="n">
        <v>51</v>
      </c>
      <c r="N343" s="8" t="inlineStr">
        <is>
          <t>Lider sin pct publicado; siguen Goldcorp Penoles GMexico Frisco; Penasquito sola = 22pct del total</t>
        </is>
      </c>
      <c r="O343" s="11">
        <f>IF(AND(ISNUMBER(G343),ISNUMBER(J343),J343&lt;&gt;0,H343=K343),G343/J343*100,"")</f>
        <v/>
      </c>
      <c r="P343" s="11">
        <f>IF(AND(ISNUMBER(O343),ISNUMBER(I343)),ROUND(O343-I343,2),"")</f>
        <v/>
      </c>
    </row>
    <row r="344">
      <c r="A344" s="6" t="inlineStr">
        <is>
          <t>Manganeso</t>
        </is>
      </c>
      <c r="B344" s="6" t="n">
        <v>2018</v>
      </c>
      <c r="C344" s="6" t="inlineStr">
        <is>
          <t>empresa</t>
        </is>
      </c>
      <c r="D344" s="6" t="n"/>
      <c r="E344" s="6" t="inlineStr">
        <is>
          <t>Compania Minera Autlan</t>
        </is>
      </c>
      <c r="F344" s="6" t="n"/>
      <c r="G344" s="6" t="n"/>
      <c r="H344" s="6" t="inlineStr">
        <is>
          <t>toneladas</t>
        </is>
      </c>
      <c r="I344" s="6" t="n">
        <v>100</v>
      </c>
      <c r="J344" s="6" t="n">
        <v>209023</v>
      </c>
      <c r="K344" s="6" t="inlineStr">
        <is>
          <t>toneladas</t>
        </is>
      </c>
      <c r="L344" s="5" t="inlineStr">
        <is>
          <t>Informe CAMIMEX + INEGI B3</t>
        </is>
      </c>
      <c r="M344" s="6" t="n"/>
      <c r="N344" s="5" t="inlineStr">
        <is>
          <t>Productor unico nacional (monopolio 1993-2025)</t>
        </is>
      </c>
      <c r="O344" s="11">
        <f>IF(AND(ISNUMBER(G344),ISNUMBER(J344),J344&lt;&gt;0,H344=K344),G344/J344*100,"")</f>
        <v/>
      </c>
      <c r="P344" s="11">
        <f>IF(AND(ISNUMBER(O344),ISNUMBER(I344)),ROUND(O344-I344,2),"")</f>
        <v/>
      </c>
    </row>
    <row r="345">
      <c r="A345" s="9" t="inlineStr">
        <is>
          <t>Barita</t>
        </is>
      </c>
      <c r="B345" s="9" t="n">
        <v>2018</v>
      </c>
      <c r="C345" s="9" t="inlineStr">
        <is>
          <t>empresa</t>
        </is>
      </c>
      <c r="D345" s="9" t="n"/>
      <c r="E345" s="9" t="inlineStr">
        <is>
          <t>Baramin</t>
        </is>
      </c>
      <c r="F345" s="9" t="n"/>
      <c r="G345" s="9" t="n">
        <v>293000</v>
      </c>
      <c r="H345" s="9" t="inlineStr">
        <is>
          <t>toneladas</t>
        </is>
      </c>
      <c r="I345" s="9" t="n">
        <v>80</v>
      </c>
      <c r="J345" s="9" t="n">
        <v>366234</v>
      </c>
      <c r="K345" s="9" t="inlineStr">
        <is>
          <t>toneladas</t>
        </is>
      </c>
      <c r="L345" s="8" t="inlineStr">
        <is>
          <t>Informe CAMIMEX 2019</t>
        </is>
      </c>
      <c r="M345" s="9" t="n"/>
      <c r="N345" s="8" t="inlineStr">
        <is>
          <t>Baramin 293 mil t (+19.5pct vs 2017) de 366234 INEGI = 80.0pct</t>
        </is>
      </c>
      <c r="O345" s="11">
        <f>IF(AND(ISNUMBER(G345),ISNUMBER(J345),J345&lt;&gt;0,H345=K345),G345/J345*100,"")</f>
        <v/>
      </c>
      <c r="P345" s="11">
        <f>IF(AND(ISNUMBER(O345),ISNUMBER(I345)),ROUND(O345-I345,2),"")</f>
        <v/>
      </c>
    </row>
    <row r="346">
      <c r="A346" s="6" t="inlineStr">
        <is>
          <t>Fluorita</t>
        </is>
      </c>
      <c r="B346" s="6" t="n">
        <v>2018</v>
      </c>
      <c r="C346" s="6" t="inlineStr">
        <is>
          <t>empresa</t>
        </is>
      </c>
      <c r="D346" s="6" t="n"/>
      <c r="E346" s="6" t="inlineStr">
        <is>
          <t>Koura (Mexichem)</t>
        </is>
      </c>
      <c r="F346" s="6" t="n"/>
      <c r="G346" s="6" t="n">
        <v>1190000</v>
      </c>
      <c r="H346" s="6" t="inlineStr">
        <is>
          <t>toneladas</t>
        </is>
      </c>
      <c r="I346" s="6" t="n">
        <v>100</v>
      </c>
      <c r="J346" s="6" t="n">
        <v>1182058</v>
      </c>
      <c r="K346" s="6" t="inlineStr">
        <is>
          <t>toneladas</t>
        </is>
      </c>
      <c r="L346" s="5" t="inlineStr">
        <is>
          <t>Informe CAMIMEX 2019</t>
        </is>
      </c>
      <c r="M346" s="6" t="n">
        <v>70</v>
      </c>
      <c r="N346" s="5" t="inlineStr">
        <is>
          <t>CAMIMEX: la empresa productora es Mexichem con 1.19Mt; total INEGI 1.18Mt; monopolio de facto</t>
        </is>
      </c>
      <c r="O346" s="11">
        <f>IF(AND(ISNUMBER(G346),ISNUMBER(J346),J346&lt;&gt;0,H346=K346),G346/J346*100,"")</f>
        <v/>
      </c>
      <c r="P346" s="11">
        <f>IF(AND(ISNUMBER(O346),ISNUMBER(I346)),ROUND(O346-I346,2),"")</f>
        <v/>
      </c>
    </row>
    <row r="347">
      <c r="A347" s="9" t="inlineStr">
        <is>
          <t>Silice</t>
        </is>
      </c>
      <c r="B347" s="9" t="n">
        <v>2018</v>
      </c>
      <c r="C347" s="9" t="inlineStr">
        <is>
          <t>empresa</t>
        </is>
      </c>
      <c r="D347" s="9" t="n"/>
      <c r="E347" s="9" t="inlineStr">
        <is>
          <t>Grupo Materias Primas</t>
        </is>
      </c>
      <c r="F347" s="9" t="n"/>
      <c r="G347" s="9" t="n">
        <v>2520000</v>
      </c>
      <c r="H347" s="9" t="inlineStr">
        <is>
          <t>toneladas</t>
        </is>
      </c>
      <c r="I347" s="9" t="n">
        <v>100</v>
      </c>
      <c r="J347" s="9" t="n">
        <v>2511246</v>
      </c>
      <c r="K347" s="9" t="inlineStr">
        <is>
          <t>toneladas</t>
        </is>
      </c>
      <c r="L347" s="8" t="inlineStr">
        <is>
          <t>Informe CAMIMEX 2019</t>
        </is>
      </c>
      <c r="M347" s="9" t="n"/>
      <c r="N347" s="8" t="inlineStr">
        <is>
          <t>GMP &gt;2.52Mt vs INEGI 2.51Mt ~100pct; CAMIMEX estima total con pequenos productores 3.65Mt (69pct)</t>
        </is>
      </c>
      <c r="O347" s="11">
        <f>IF(AND(ISNUMBER(G347),ISNUMBER(J347),J347&lt;&gt;0,H347=K347),G347/J347*100,"")</f>
        <v/>
      </c>
      <c r="P347" s="11">
        <f>IF(AND(ISNUMBER(O347),ISNUMBER(I347)),ROUND(O347-I347,2),"")</f>
        <v/>
      </c>
    </row>
    <row r="348">
      <c r="A348" s="6" t="inlineStr">
        <is>
          <t>Grafito</t>
        </is>
      </c>
      <c r="B348" s="6" t="n">
        <v>2018</v>
      </c>
      <c r="C348" s="6" t="inlineStr">
        <is>
          <t>empresa</t>
        </is>
      </c>
      <c r="D348" s="6" t="n"/>
      <c r="E348" s="6" t="inlineStr">
        <is>
          <t>ninguno</t>
        </is>
      </c>
      <c r="F348" s="6" t="n"/>
      <c r="G348" s="6" t="n"/>
      <c r="H348" s="6" t="inlineStr">
        <is>
          <t>toneladas</t>
        </is>
      </c>
      <c r="I348" s="6" t="n"/>
      <c r="J348" s="6" t="n">
        <v>4130</v>
      </c>
      <c r="K348" s="6" t="inlineStr">
        <is>
          <t>toneladas</t>
        </is>
      </c>
      <c r="L348" s="5" t="inlineStr">
        <is>
          <t>CAMIMEX no desglosa</t>
        </is>
      </c>
      <c r="M348" s="6" t="n"/>
      <c r="N348" s="5" t="inlineStr">
        <is>
          <t>Caso de contraste; atomizado; total INEGI B3</t>
        </is>
      </c>
      <c r="O348" s="11">
        <f>IF(AND(ISNUMBER(G348),ISNUMBER(J348),J348&lt;&gt;0,H348=K348),G348/J348*100,"")</f>
        <v/>
      </c>
      <c r="P348" s="11">
        <f>IF(AND(ISNUMBER(O348),ISNUMBER(I348)),ROUND(O348-I348,2),"")</f>
        <v/>
      </c>
    </row>
    <row r="349">
      <c r="A349" s="9" t="inlineStr">
        <is>
          <t>Oro</t>
        </is>
      </c>
      <c r="B349" s="9" t="n">
        <v>2017</v>
      </c>
      <c r="C349" s="9" t="inlineStr">
        <is>
          <t>empresa</t>
        </is>
      </c>
      <c r="D349" s="9" t="n"/>
      <c r="E349" s="9" t="inlineStr">
        <is>
          <t>Fresnillo plc</t>
        </is>
      </c>
      <c r="F349" s="9" t="n"/>
      <c r="G349" s="9" t="n"/>
      <c r="H349" s="9" t="n"/>
      <c r="I349" s="9" t="n"/>
      <c r="J349" s="9" t="n">
        <v>4080</v>
      </c>
      <c r="K349" s="9" t="inlineStr">
        <is>
          <t>miles oz</t>
        </is>
      </c>
      <c r="L349" s="8" t="inlineStr">
        <is>
          <t>Informe CAMIMEX 2018</t>
        </is>
      </c>
      <c r="M349" s="9" t="n"/>
      <c r="N349" s="8" t="inlineStr">
        <is>
          <t>Principal productor; top-3 (Fresnillo Goldcorp Agnico) = 42pct; sin pct del lider</t>
        </is>
      </c>
      <c r="O349" s="11">
        <f>IF(AND(ISNUMBER(G349),ISNUMBER(J349),J349&lt;&gt;0,H349=K349),G349/J349*100,"")</f>
        <v/>
      </c>
      <c r="P349" s="11">
        <f>IF(AND(ISNUMBER(O349),ISNUMBER(I349)),ROUND(O349-I349,2),"")</f>
        <v/>
      </c>
    </row>
    <row r="350">
      <c r="A350" s="6" t="inlineStr">
        <is>
          <t>Plata</t>
        </is>
      </c>
      <c r="B350" s="6" t="n">
        <v>2017</v>
      </c>
      <c r="C350" s="6" t="inlineStr">
        <is>
          <t>empresa</t>
        </is>
      </c>
      <c r="D350" s="6" t="n"/>
      <c r="E350" s="6" t="inlineStr">
        <is>
          <t>Fresnillo plc</t>
        </is>
      </c>
      <c r="F350" s="6" t="n"/>
      <c r="G350" s="6" t="n"/>
      <c r="H350" s="6" t="n"/>
      <c r="I350" s="6" t="n"/>
      <c r="J350" s="6" t="n">
        <v>187</v>
      </c>
      <c r="K350" s="6" t="inlineStr">
        <is>
          <t>millones oz</t>
        </is>
      </c>
      <c r="L350" s="5" t="inlineStr">
        <is>
          <t>Informe CAMIMEX 2018</t>
        </is>
      </c>
      <c r="M350" s="6" t="n">
        <v>45</v>
      </c>
      <c r="N350" s="5" t="inlineStr">
        <is>
          <t>Productor nacional y mundial mas importante; siguen Goldcorp y Penoles; Penasquito unidad = 11.5pct</t>
        </is>
      </c>
      <c r="O350" s="11">
        <f>IF(AND(ISNUMBER(G350),ISNUMBER(J350),J350&lt;&gt;0,H350=K350),G350/J350*100,"")</f>
        <v/>
      </c>
      <c r="P350" s="11">
        <f>IF(AND(ISNUMBER(O350),ISNUMBER(I350)),ROUND(O350-I350,2),"")</f>
        <v/>
      </c>
    </row>
    <row r="351">
      <c r="A351" s="9" t="inlineStr">
        <is>
          <t>Cobre</t>
        </is>
      </c>
      <c r="B351" s="9" t="n">
        <v>2017</v>
      </c>
      <c r="C351" s="9" t="inlineStr">
        <is>
          <t>empresa</t>
        </is>
      </c>
      <c r="D351" s="9" t="n"/>
      <c r="E351" s="9" t="inlineStr">
        <is>
          <t>Grupo Mexico</t>
        </is>
      </c>
      <c r="F351" s="9" t="n"/>
      <c r="G351" s="9" t="n"/>
      <c r="H351" s="9" t="n"/>
      <c r="I351" s="9" t="n"/>
      <c r="J351" s="9" t="n">
        <v>742246</v>
      </c>
      <c r="K351" s="9" t="inlineStr">
        <is>
          <t>toneladas</t>
        </is>
      </c>
      <c r="L351" s="8" t="inlineStr">
        <is>
          <t>Informe CAMIMEX 2018</t>
        </is>
      </c>
      <c r="M351" s="9" t="n">
        <v>50</v>
      </c>
      <c r="N351" s="8" t="inlineStr">
        <is>
          <t>Mayor productor sin volumen publicado; implicito ~577 mil t (Informe 2019: -4.2pct en 2018) = ~77.7pct</t>
        </is>
      </c>
      <c r="O351" s="11">
        <f>IF(AND(ISNUMBER(G351),ISNUMBER(J351),J351&lt;&gt;0,H351=K351),G351/J351*100,"")</f>
        <v/>
      </c>
      <c r="P351" s="11">
        <f>IF(AND(ISNUMBER(O351),ISNUMBER(I351)),ROUND(O351-I351,2),"")</f>
        <v/>
      </c>
    </row>
    <row r="352">
      <c r="A352" s="6" t="inlineStr">
        <is>
          <t>Zinc</t>
        </is>
      </c>
      <c r="B352" s="6" t="n">
        <v>2017</v>
      </c>
      <c r="C352" s="6" t="inlineStr">
        <is>
          <t>empresa</t>
        </is>
      </c>
      <c r="D352" s="6" t="n"/>
      <c r="E352" s="6" t="inlineStr">
        <is>
          <t>Industrias Penoles</t>
        </is>
      </c>
      <c r="F352" s="6" t="n"/>
      <c r="G352" s="6" t="n"/>
      <c r="H352" s="6" t="n"/>
      <c r="I352" s="6" t="n"/>
      <c r="J352" s="6" t="n">
        <v>671444</v>
      </c>
      <c r="K352" s="6" t="inlineStr">
        <is>
          <t>toneladas</t>
        </is>
      </c>
      <c r="L352" s="5" t="inlineStr">
        <is>
          <t>Informe CAMIMEX 2018</t>
        </is>
      </c>
      <c r="M352" s="6" t="n"/>
      <c r="N352" s="5" t="inlineStr">
        <is>
          <t>Mayor productor (arranque Velardena); 2do Goldcorp; top-4 (Penoles Goldcorp GMexico Fresnillo) = 77pct</t>
        </is>
      </c>
      <c r="O352" s="11">
        <f>IF(AND(ISNUMBER(G352),ISNUMBER(J352),J352&lt;&gt;0,H352=K352),G352/J352*100,"")</f>
        <v/>
      </c>
      <c r="P352" s="11">
        <f>IF(AND(ISNUMBER(O352),ISNUMBER(I352)),ROUND(O352-I352,2),"")</f>
        <v/>
      </c>
    </row>
    <row r="353">
      <c r="A353" s="9" t="inlineStr">
        <is>
          <t>Plomo</t>
        </is>
      </c>
      <c r="B353" s="9" t="n">
        <v>2017</v>
      </c>
      <c r="C353" s="9" t="inlineStr">
        <is>
          <t>empresa</t>
        </is>
      </c>
      <c r="D353" s="9" t="n"/>
      <c r="E353" s="9" t="inlineStr">
        <is>
          <t>Goldcorp</t>
        </is>
      </c>
      <c r="F353" s="9" t="n"/>
      <c r="G353" s="9" t="n"/>
      <c r="H353" s="9" t="n"/>
      <c r="I353" s="9" t="n"/>
      <c r="J353" s="9" t="n">
        <v>243022</v>
      </c>
      <c r="K353" s="9" t="inlineStr">
        <is>
          <t>toneladas</t>
        </is>
      </c>
      <c r="L353" s="8" t="inlineStr">
        <is>
          <t>Informe CAMIMEX 2018</t>
        </is>
      </c>
      <c r="M353" s="9" t="n">
        <v>57</v>
      </c>
      <c r="N353" s="8" t="inlineStr">
        <is>
          <t>Goldcorp aporto mayor volumen; Fresnillo 2do; top-5 = 74pct; Penasquito sola = 25pct del total</t>
        </is>
      </c>
      <c r="O353" s="11">
        <f>IF(AND(ISNUMBER(G353),ISNUMBER(J353),J353&lt;&gt;0,H353=K353),G353/J353*100,"")</f>
        <v/>
      </c>
      <c r="P353" s="11">
        <f>IF(AND(ISNUMBER(O353),ISNUMBER(I353)),ROUND(O353-I353,2),"")</f>
        <v/>
      </c>
    </row>
    <row r="354">
      <c r="A354" s="6" t="inlineStr">
        <is>
          <t>Manganeso</t>
        </is>
      </c>
      <c r="B354" s="6" t="n">
        <v>2017</v>
      </c>
      <c r="C354" s="6" t="inlineStr">
        <is>
          <t>empresa</t>
        </is>
      </c>
      <c r="D354" s="6" t="n"/>
      <c r="E354" s="6" t="inlineStr">
        <is>
          <t>Compania Minera Autlan</t>
        </is>
      </c>
      <c r="F354" s="6" t="n"/>
      <c r="G354" s="6" t="n"/>
      <c r="H354" s="6" t="inlineStr">
        <is>
          <t>toneladas</t>
        </is>
      </c>
      <c r="I354" s="6" t="n">
        <v>100</v>
      </c>
      <c r="J354" s="6" t="n">
        <v>211510</v>
      </c>
      <c r="K354" s="6" t="inlineStr">
        <is>
          <t>toneladas</t>
        </is>
      </c>
      <c r="L354" s="5" t="inlineStr">
        <is>
          <t>Informe CAMIMEX + INEGI B3</t>
        </is>
      </c>
      <c r="M354" s="6" t="n"/>
      <c r="N354" s="5" t="inlineStr">
        <is>
          <t>Productor unico nacional (monopolio 1993-2025)</t>
        </is>
      </c>
      <c r="O354" s="11">
        <f>IF(AND(ISNUMBER(G354),ISNUMBER(J354),J354&lt;&gt;0,H354=K354),G354/J354*100,"")</f>
        <v/>
      </c>
      <c r="P354" s="11">
        <f>IF(AND(ISNUMBER(O354),ISNUMBER(I354)),ROUND(O354-I354,2),"")</f>
        <v/>
      </c>
    </row>
    <row r="355">
      <c r="A355" s="9" t="inlineStr">
        <is>
          <t>Barita</t>
        </is>
      </c>
      <c r="B355" s="9" t="n">
        <v>2017</v>
      </c>
      <c r="C355" s="9" t="inlineStr">
        <is>
          <t>empresa</t>
        </is>
      </c>
      <c r="D355" s="9" t="n"/>
      <c r="E355" s="9" t="inlineStr">
        <is>
          <t>Baramin</t>
        </is>
      </c>
      <c r="F355" s="9" t="n"/>
      <c r="G355" s="9" t="n">
        <v>245000</v>
      </c>
      <c r="H355" s="9" t="inlineStr">
        <is>
          <t>toneladas</t>
        </is>
      </c>
      <c r="I355" s="9" t="n">
        <v>68.09999999999999</v>
      </c>
      <c r="J355" s="9" t="n">
        <v>359912</v>
      </c>
      <c r="K355" s="9" t="inlineStr">
        <is>
          <t>toneladas</t>
        </is>
      </c>
      <c r="L355" s="8" t="inlineStr">
        <is>
          <t>Informe CAMIMEX 2018</t>
        </is>
      </c>
      <c r="M355" s="9" t="n">
        <v>83</v>
      </c>
      <c r="N355" s="8" t="inlineStr">
        <is>
          <t>Baramin 245 mil t de 359912 INEGI = 68.1pct; otro productor en Sonora 40407 t</t>
        </is>
      </c>
      <c r="O355" s="11">
        <f>IF(AND(ISNUMBER(G355),ISNUMBER(J355),J355&lt;&gt;0,H355=K355),G355/J355*100,"")</f>
        <v/>
      </c>
      <c r="P355" s="11">
        <f>IF(AND(ISNUMBER(O355),ISNUMBER(I355)),ROUND(O355-I355,2),"")</f>
        <v/>
      </c>
    </row>
    <row r="356">
      <c r="A356" s="6" t="inlineStr">
        <is>
          <t>Fluorita</t>
        </is>
      </c>
      <c r="B356" s="6" t="n">
        <v>2017</v>
      </c>
      <c r="C356" s="6" t="inlineStr">
        <is>
          <t>empresa</t>
        </is>
      </c>
      <c r="D356" s="6" t="n"/>
      <c r="E356" s="6" t="inlineStr">
        <is>
          <t>Koura (Mexichem Fluor)</t>
        </is>
      </c>
      <c r="F356" s="6" t="n"/>
      <c r="G356" s="6" t="n">
        <v>1200000</v>
      </c>
      <c r="H356" s="6" t="inlineStr">
        <is>
          <t>toneladas</t>
        </is>
      </c>
      <c r="I356" s="6" t="n">
        <v>100</v>
      </c>
      <c r="J356" s="6" t="n">
        <v>724380</v>
      </c>
      <c r="K356" s="6" t="inlineStr">
        <is>
          <t>toneladas</t>
        </is>
      </c>
      <c r="L356" s="5" t="inlineStr">
        <is>
          <t>Informe CAMIMEX 2018</t>
        </is>
      </c>
      <c r="M356" s="6" t="n"/>
      <c r="N356" s="5" t="inlineStr">
        <is>
          <t>CAMIMEX: la empresa productora es Mexichem Fluor ~1.2Mt; total INEGI 724 mil t; monopolio de facto</t>
        </is>
      </c>
      <c r="O356" s="11">
        <f>IF(AND(ISNUMBER(G356),ISNUMBER(J356),J356&lt;&gt;0,H356=K356),G356/J356*100,"")</f>
        <v/>
      </c>
      <c r="P356" s="11">
        <f>IF(AND(ISNUMBER(O356),ISNUMBER(I356)),ROUND(O356-I356,2),"")</f>
        <v/>
      </c>
    </row>
    <row r="357">
      <c r="A357" s="9" t="inlineStr">
        <is>
          <t>Silice</t>
        </is>
      </c>
      <c r="B357" s="9" t="n">
        <v>2017</v>
      </c>
      <c r="C357" s="9" t="inlineStr">
        <is>
          <t>empresa</t>
        </is>
      </c>
      <c r="D357" s="9" t="n"/>
      <c r="E357" s="9" t="inlineStr">
        <is>
          <t>Grupo Materias Primas</t>
        </is>
      </c>
      <c r="F357" s="9" t="n"/>
      <c r="G357" s="9" t="n"/>
      <c r="H357" s="9" t="inlineStr">
        <is>
          <t>toneladas</t>
        </is>
      </c>
      <c r="I357" s="9" t="n"/>
      <c r="J357" s="9" t="n">
        <v>2355909</v>
      </c>
      <c r="K357" s="9" t="inlineStr">
        <is>
          <t>toneladas</t>
        </is>
      </c>
      <c r="L357" s="8" t="inlineStr">
        <is>
          <t>Informe CAMIMEX 2018</t>
        </is>
      </c>
      <c r="M357" s="9" t="n">
        <v>82</v>
      </c>
      <c r="N357" s="8" t="inlineStr">
        <is>
          <t>GMP mayor productor (+6pct vs 2016) sin volumen publicado; implicito ~2.38Mt (Informe 2019) ~100pct</t>
        </is>
      </c>
      <c r="O357" s="11">
        <f>IF(AND(ISNUMBER(G357),ISNUMBER(J357),J357&lt;&gt;0,H357=K357),G357/J357*100,"")</f>
        <v/>
      </c>
      <c r="P357" s="11">
        <f>IF(AND(ISNUMBER(O357),ISNUMBER(I357)),ROUND(O357-I357,2),"")</f>
        <v/>
      </c>
    </row>
    <row r="358">
      <c r="A358" s="6" t="inlineStr">
        <is>
          <t>Grafito</t>
        </is>
      </c>
      <c r="B358" s="6" t="n">
        <v>2017</v>
      </c>
      <c r="C358" s="6" t="inlineStr">
        <is>
          <t>empresa</t>
        </is>
      </c>
      <c r="D358" s="6" t="n"/>
      <c r="E358" s="6" t="inlineStr">
        <is>
          <t>ninguno</t>
        </is>
      </c>
      <c r="F358" s="6" t="n"/>
      <c r="G358" s="6" t="n"/>
      <c r="H358" s="6" t="inlineStr">
        <is>
          <t>toneladas</t>
        </is>
      </c>
      <c r="I358" s="6" t="n"/>
      <c r="J358" s="6" t="n">
        <v>1746</v>
      </c>
      <c r="K358" s="6" t="inlineStr">
        <is>
          <t>toneladas</t>
        </is>
      </c>
      <c r="L358" s="5" t="inlineStr">
        <is>
          <t>CAMIMEX no desglosa</t>
        </is>
      </c>
      <c r="M358" s="6" t="n"/>
      <c r="N358" s="5" t="inlineStr">
        <is>
          <t>Caso de contraste; atomizado; total INEGI B3</t>
        </is>
      </c>
      <c r="O358" s="11">
        <f>IF(AND(ISNUMBER(G358),ISNUMBER(J358),J358&lt;&gt;0,H358=K358),G358/J358*100,"")</f>
        <v/>
      </c>
      <c r="P358" s="11">
        <f>IF(AND(ISNUMBER(O358),ISNUMBER(I358)),ROUND(O358-I358,2),"")</f>
        <v/>
      </c>
    </row>
    <row r="359">
      <c r="A359" s="9" t="inlineStr">
        <is>
          <t>Oro</t>
        </is>
      </c>
      <c r="B359" s="9" t="n">
        <v>2016</v>
      </c>
      <c r="C359" s="9" t="inlineStr">
        <is>
          <t>empresa</t>
        </is>
      </c>
      <c r="D359" s="9" t="n"/>
      <c r="E359" s="9" t="inlineStr">
        <is>
          <t>Fresnillo plc</t>
        </is>
      </c>
      <c r="F359" s="9" t="n"/>
      <c r="G359" s="9" t="n"/>
      <c r="H359" s="9" t="n"/>
      <c r="I359" s="9" t="n"/>
      <c r="J359" s="9" t="n">
        <v>4260</v>
      </c>
      <c r="K359" s="9" t="inlineStr">
        <is>
          <t>miles oz</t>
        </is>
      </c>
      <c r="L359" s="8" t="inlineStr">
        <is>
          <t>Informe CAMIMEX 2017</t>
        </is>
      </c>
      <c r="M359" s="9" t="n">
        <v>30</v>
      </c>
      <c r="N359" s="8" t="inlineStr">
        <is>
          <t>Principal productor; top-3 (Fresnillo Goldcorp Frisco) = mas de 47pct; Torex 5to; sin pct del lider</t>
        </is>
      </c>
      <c r="O359" s="11">
        <f>IF(AND(ISNUMBER(G359),ISNUMBER(J359),J359&lt;&gt;0,H359=K359),G359/J359*100,"")</f>
        <v/>
      </c>
      <c r="P359" s="11">
        <f>IF(AND(ISNUMBER(O359),ISNUMBER(I359)),ROUND(O359-I359,2),"")</f>
        <v/>
      </c>
    </row>
    <row r="360">
      <c r="A360" s="6" t="inlineStr">
        <is>
          <t>Plata</t>
        </is>
      </c>
      <c r="B360" s="6" t="n">
        <v>2016</v>
      </c>
      <c r="C360" s="6" t="inlineStr">
        <is>
          <t>empresa</t>
        </is>
      </c>
      <c r="D360" s="6" t="n"/>
      <c r="E360" s="6" t="inlineStr">
        <is>
          <t>Fresnillo plc</t>
        </is>
      </c>
      <c r="F360" s="6" t="n"/>
      <c r="G360" s="6" t="n"/>
      <c r="H360" s="6" t="n"/>
      <c r="I360" s="6" t="n"/>
      <c r="J360" s="6" t="n">
        <v>173.9</v>
      </c>
      <c r="K360" s="6" t="inlineStr">
        <is>
          <t>millones oz</t>
        </is>
      </c>
      <c r="L360" s="5" t="inlineStr">
        <is>
          <t>Informe CAMIMEX 2017</t>
        </is>
      </c>
      <c r="M360" s="6" t="n"/>
      <c r="N360" s="5" t="inlineStr">
        <is>
          <t>Principal productor nacional; siguen Goldcorp y Penoles; Saucito unidad = 13pct</t>
        </is>
      </c>
      <c r="O360" s="11">
        <f>IF(AND(ISNUMBER(G360),ISNUMBER(J360),J360&lt;&gt;0,H360=K360),G360/J360*100,"")</f>
        <v/>
      </c>
      <c r="P360" s="11">
        <f>IF(AND(ISNUMBER(O360),ISNUMBER(I360)),ROUND(O360-I360,2),"")</f>
        <v/>
      </c>
    </row>
    <row r="361">
      <c r="A361" s="9" t="inlineStr">
        <is>
          <t>Cobre</t>
        </is>
      </c>
      <c r="B361" s="9" t="n">
        <v>2016</v>
      </c>
      <c r="C361" s="9" t="inlineStr">
        <is>
          <t>empresa</t>
        </is>
      </c>
      <c r="D361" s="9" t="n"/>
      <c r="E361" s="9" t="inlineStr">
        <is>
          <t>Grupo Mexico</t>
        </is>
      </c>
      <c r="F361" s="9" t="n"/>
      <c r="G361" s="9" t="n"/>
      <c r="H361" s="9" t="n"/>
      <c r="I361" s="9" t="n"/>
      <c r="J361" s="9" t="n">
        <v>766129</v>
      </c>
      <c r="K361" s="9" t="inlineStr">
        <is>
          <t>toneladas</t>
        </is>
      </c>
      <c r="L361" s="8" t="inlineStr">
        <is>
          <t>Informe CAMIMEX 2017</t>
        </is>
      </c>
      <c r="M361" s="9" t="n"/>
      <c r="N361" s="8" t="inlineStr">
        <is>
          <t>Mayor productor de concentrados; top-3 (GMexico NEMISA Capstone) = 82pct; sin pct del lider</t>
        </is>
      </c>
      <c r="O361" s="11">
        <f>IF(AND(ISNUMBER(G361),ISNUMBER(J361),J361&lt;&gt;0,H361=K361),G361/J361*100,"")</f>
        <v/>
      </c>
      <c r="P361" s="11">
        <f>IF(AND(ISNUMBER(O361),ISNUMBER(I361)),ROUND(O361-I361,2),"")</f>
        <v/>
      </c>
    </row>
    <row r="362">
      <c r="A362" s="6" t="inlineStr">
        <is>
          <t>Zinc</t>
        </is>
      </c>
      <c r="B362" s="6" t="n">
        <v>2016</v>
      </c>
      <c r="C362" s="6" t="inlineStr">
        <is>
          <t>empresa</t>
        </is>
      </c>
      <c r="D362" s="6" t="n"/>
      <c r="E362" s="6" t="inlineStr">
        <is>
          <t>Industrias Penoles</t>
        </is>
      </c>
      <c r="F362" s="6" t="n"/>
      <c r="G362" s="6" t="n"/>
      <c r="H362" s="6" t="n"/>
      <c r="I362" s="6" t="n"/>
      <c r="J362" s="6" t="n">
        <v>661188</v>
      </c>
      <c r="K362" s="6" t="inlineStr">
        <is>
          <t>toneladas</t>
        </is>
      </c>
      <c r="L362" s="5" t="inlineStr">
        <is>
          <t>Informe CAMIMEX 2017</t>
        </is>
      </c>
      <c r="M362" s="6" t="n">
        <v>40</v>
      </c>
      <c r="N362" s="5" t="inlineStr">
        <is>
          <t>Mayor productor (arranque Velardena); 2do Goldcorp; 4 cias nacionales (Penoles GMexico Frisco Fresnillo) &gt;65pct</t>
        </is>
      </c>
      <c r="O362" s="11">
        <f>IF(AND(ISNUMBER(G362),ISNUMBER(J362),J362&lt;&gt;0,H362=K362),G362/J362*100,"")</f>
        <v/>
      </c>
      <c r="P362" s="11">
        <f>IF(AND(ISNUMBER(O362),ISNUMBER(I362)),ROUND(O362-I362,2),"")</f>
        <v/>
      </c>
    </row>
    <row r="363">
      <c r="A363" s="9" t="inlineStr">
        <is>
          <t>Plomo</t>
        </is>
      </c>
      <c r="B363" s="9" t="n">
        <v>2016</v>
      </c>
      <c r="C363" s="9" t="inlineStr">
        <is>
          <t>empresa</t>
        </is>
      </c>
      <c r="D363" s="9" t="n"/>
      <c r="E363" s="9" t="inlineStr">
        <is>
          <t>Goldcorp</t>
        </is>
      </c>
      <c r="F363" s="9" t="n"/>
      <c r="G363" s="9" t="n"/>
      <c r="H363" s="9" t="n"/>
      <c r="I363" s="9" t="n">
        <v>21</v>
      </c>
      <c r="J363" s="9" t="n">
        <v>241000</v>
      </c>
      <c r="K363" s="9" t="inlineStr">
        <is>
          <t>toneladas</t>
        </is>
      </c>
      <c r="L363" s="8" t="inlineStr">
        <is>
          <t>Informe CAMIMEX 2017</t>
        </is>
      </c>
      <c r="M363" s="9" t="n">
        <v>42</v>
      </c>
      <c r="N363" s="8" t="inlineStr">
        <is>
          <t>Goldcorp lider 21pct (bajo de 31pct en 2015); Fresnillo 2do 20pct; top-5 = 76pct; Penasquito = quinta parte</t>
        </is>
      </c>
      <c r="O363" s="11">
        <f>IF(AND(ISNUMBER(G363),ISNUMBER(J363),J363&lt;&gt;0,H363=K363),G363/J363*100,"")</f>
        <v/>
      </c>
      <c r="P363" s="11">
        <f>IF(AND(ISNUMBER(O363),ISNUMBER(I363)),ROUND(O363-I363,2),"")</f>
        <v/>
      </c>
    </row>
    <row r="364">
      <c r="A364" s="6" t="inlineStr">
        <is>
          <t>Manganeso</t>
        </is>
      </c>
      <c r="B364" s="6" t="n">
        <v>2016</v>
      </c>
      <c r="C364" s="6" t="inlineStr">
        <is>
          <t>empresa</t>
        </is>
      </c>
      <c r="D364" s="6" t="n"/>
      <c r="E364" s="6" t="inlineStr">
        <is>
          <t>Compania Minera Autlan</t>
        </is>
      </c>
      <c r="F364" s="6" t="n"/>
      <c r="G364" s="6" t="n"/>
      <c r="H364" s="6" t="inlineStr">
        <is>
          <t>toneladas</t>
        </is>
      </c>
      <c r="I364" s="6" t="n">
        <v>100</v>
      </c>
      <c r="J364" s="6" t="n">
        <v>205645</v>
      </c>
      <c r="K364" s="6" t="inlineStr">
        <is>
          <t>toneladas</t>
        </is>
      </c>
      <c r="L364" s="5" t="inlineStr">
        <is>
          <t>Informe CAMIMEX + INEGI B3</t>
        </is>
      </c>
      <c r="M364" s="6" t="n"/>
      <c r="N364" s="5" t="inlineStr">
        <is>
          <t>Productor unico nacional (monopolio 1993-2025)</t>
        </is>
      </c>
      <c r="O364" s="11">
        <f>IF(AND(ISNUMBER(G364),ISNUMBER(J364),J364&lt;&gt;0,H364=K364),G364/J364*100,"")</f>
        <v/>
      </c>
      <c r="P364" s="11">
        <f>IF(AND(ISNUMBER(O364),ISNUMBER(I364)),ROUND(O364-I364,2),"")</f>
        <v/>
      </c>
    </row>
    <row r="365">
      <c r="A365" s="9" t="inlineStr">
        <is>
          <t>Barita</t>
        </is>
      </c>
      <c r="B365" s="9" t="n">
        <v>2016</v>
      </c>
      <c r="C365" s="9" t="inlineStr">
        <is>
          <t>empresa</t>
        </is>
      </c>
      <c r="D365" s="9" t="n"/>
      <c r="E365" s="9" t="inlineStr">
        <is>
          <t>Baramin</t>
        </is>
      </c>
      <c r="F365" s="9" t="n"/>
      <c r="G365" s="9" t="n"/>
      <c r="H365" s="9" t="inlineStr">
        <is>
          <t>toneladas</t>
        </is>
      </c>
      <c r="I365" s="9" t="n"/>
      <c r="J365" s="9" t="n">
        <v>156854</v>
      </c>
      <c r="K365" s="9" t="inlineStr">
        <is>
          <t>toneladas</t>
        </is>
      </c>
      <c r="L365" s="8" t="inlineStr">
        <is>
          <t>Informe CAMIMEX 2017</t>
        </is>
      </c>
      <c r="M365" s="9" t="n">
        <v>56</v>
      </c>
      <c r="N365" s="8" t="inlineStr">
        <is>
          <t>Mayor productor nacional sin volumen publicado; produccion nacional cayo 44.4pct en 2016</t>
        </is>
      </c>
      <c r="O365" s="11">
        <f>IF(AND(ISNUMBER(G365),ISNUMBER(J365),J365&lt;&gt;0,H365=K365),G365/J365*100,"")</f>
        <v/>
      </c>
      <c r="P365" s="11">
        <f>IF(AND(ISNUMBER(O365),ISNUMBER(I365)),ROUND(O365-I365,2),"")</f>
        <v/>
      </c>
    </row>
    <row r="366">
      <c r="A366" s="6" t="inlineStr">
        <is>
          <t>Fluorita</t>
        </is>
      </c>
      <c r="B366" s="6" t="n">
        <v>2016</v>
      </c>
      <c r="C366" s="6" t="inlineStr">
        <is>
          <t>empresa</t>
        </is>
      </c>
      <c r="D366" s="6" t="n"/>
      <c r="E366" s="6" t="inlineStr">
        <is>
          <t>Koura (Mexichem Fluor)</t>
        </is>
      </c>
      <c r="F366" s="6" t="n"/>
      <c r="G366" s="6" t="n"/>
      <c r="H366" s="6" t="inlineStr">
        <is>
          <t>toneladas</t>
        </is>
      </c>
      <c r="I366" s="6" t="n">
        <v>100</v>
      </c>
      <c r="J366" s="6" t="n">
        <v>656231</v>
      </c>
      <c r="K366" s="6" t="inlineStr">
        <is>
          <t>toneladas</t>
        </is>
      </c>
      <c r="L366" s="5" t="inlineStr">
        <is>
          <t>Informe CAMIMEX 2017</t>
        </is>
      </c>
      <c r="M366" s="6" t="n">
        <v>58</v>
      </c>
      <c r="N366" s="5" t="inlineStr">
        <is>
          <t>CAMIMEX: la empresa principal productora es Mexichem Fluor; monopolio de facto; total INEGI B3</t>
        </is>
      </c>
      <c r="O366" s="11">
        <f>IF(AND(ISNUMBER(G366),ISNUMBER(J366),J366&lt;&gt;0,H366=K366),G366/J366*100,"")</f>
        <v/>
      </c>
      <c r="P366" s="11">
        <f>IF(AND(ISNUMBER(O366),ISNUMBER(I366)),ROUND(O366-I366,2),"")</f>
        <v/>
      </c>
    </row>
    <row r="367">
      <c r="A367" s="9" t="inlineStr">
        <is>
          <t>Silice</t>
        </is>
      </c>
      <c r="B367" s="9" t="n">
        <v>2016</v>
      </c>
      <c r="C367" s="9" t="inlineStr">
        <is>
          <t>empresa</t>
        </is>
      </c>
      <c r="D367" s="9" t="n"/>
      <c r="E367" s="9" t="inlineStr">
        <is>
          <t>Grupo Materias Primas</t>
        </is>
      </c>
      <c r="F367" s="9" t="n"/>
      <c r="G367" s="9" t="n"/>
      <c r="H367" s="9" t="inlineStr">
        <is>
          <t>toneladas</t>
        </is>
      </c>
      <c r="I367" s="9" t="n"/>
      <c r="J367" s="9" t="n">
        <v>2175429</v>
      </c>
      <c r="K367" s="9" t="inlineStr">
        <is>
          <t>toneladas</t>
        </is>
      </c>
      <c r="L367" s="8" t="inlineStr">
        <is>
          <t>Informe CAMIMEX 2017</t>
        </is>
      </c>
      <c r="M367" s="9" t="n"/>
      <c r="N367" s="8" t="inlineStr">
        <is>
          <t>GMP mayor productor segun Informes 2018-2019; sin volumen publicado en Informe 2017; total INEGI B3</t>
        </is>
      </c>
      <c r="O367" s="11">
        <f>IF(AND(ISNUMBER(G367),ISNUMBER(J367),J367&lt;&gt;0,H367=K367),G367/J367*100,"")</f>
        <v/>
      </c>
      <c r="P367" s="11">
        <f>IF(AND(ISNUMBER(O367),ISNUMBER(I367)),ROUND(O367-I367,2),"")</f>
        <v/>
      </c>
    </row>
    <row r="368">
      <c r="A368" s="6" t="inlineStr">
        <is>
          <t>Grafito</t>
        </is>
      </c>
      <c r="B368" s="6" t="n">
        <v>2016</v>
      </c>
      <c r="C368" s="6" t="inlineStr">
        <is>
          <t>empresa</t>
        </is>
      </c>
      <c r="D368" s="6" t="n"/>
      <c r="E368" s="6" t="inlineStr">
        <is>
          <t>ninguno</t>
        </is>
      </c>
      <c r="F368" s="6" t="n"/>
      <c r="G368" s="6" t="n"/>
      <c r="H368" s="6" t="inlineStr">
        <is>
          <t>toneladas</t>
        </is>
      </c>
      <c r="I368" s="6" t="n"/>
      <c r="J368" s="6" t="n">
        <v>3839</v>
      </c>
      <c r="K368" s="6" t="inlineStr">
        <is>
          <t>toneladas</t>
        </is>
      </c>
      <c r="L368" s="5" t="inlineStr">
        <is>
          <t>CAMIMEX no desglosa</t>
        </is>
      </c>
      <c r="M368" s="6" t="n"/>
      <c r="N368" s="5" t="inlineStr">
        <is>
          <t>Caso de contraste; atomizado; total INEGI B3</t>
        </is>
      </c>
      <c r="O368" s="11">
        <f>IF(AND(ISNUMBER(G368),ISNUMBER(J368),J368&lt;&gt;0,H368=K368),G368/J368*100,"")</f>
        <v/>
      </c>
      <c r="P368" s="11">
        <f>IF(AND(ISNUMBER(O368),ISNUMBER(I368)),ROUND(O368-I368,2),"")</f>
        <v/>
      </c>
    </row>
    <row r="369">
      <c r="A369" s="9" t="inlineStr">
        <is>
          <t>Oro</t>
        </is>
      </c>
      <c r="B369" s="9" t="n">
        <v>2015</v>
      </c>
      <c r="C369" s="9" t="inlineStr">
        <is>
          <t>empresa</t>
        </is>
      </c>
      <c r="D369" s="9" t="n"/>
      <c r="E369" s="9" t="inlineStr">
        <is>
          <t>Goldcorp</t>
        </is>
      </c>
      <c r="F369" s="9" t="n"/>
      <c r="G369" s="9" t="n"/>
      <c r="H369" s="9" t="n"/>
      <c r="I369" s="9" t="n"/>
      <c r="J369" s="9" t="n">
        <v>4300</v>
      </c>
      <c r="K369" s="9" t="inlineStr">
        <is>
          <t>miles oz</t>
        </is>
      </c>
      <c r="L369" s="8" t="inlineStr">
        <is>
          <t>Informe CAMIMEX 2016</t>
        </is>
      </c>
      <c r="M369" s="9" t="n"/>
      <c r="N369" s="8" t="inlineStr">
        <is>
          <t>Lider Goldcorp (Penasquito); top-3 (Goldcorp Fresnillo Frisco) = 53.2pct; sin pct del lider</t>
        </is>
      </c>
      <c r="O369" s="11">
        <f>IF(AND(ISNUMBER(G369),ISNUMBER(J369),J369&lt;&gt;0,H369=K369),G369/J369*100,"")</f>
        <v/>
      </c>
      <c r="P369" s="11">
        <f>IF(AND(ISNUMBER(O369),ISNUMBER(I369)),ROUND(O369-I369,2),"")</f>
        <v/>
      </c>
    </row>
    <row r="370">
      <c r="A370" s="6" t="inlineStr">
        <is>
          <t>Plata</t>
        </is>
      </c>
      <c r="B370" s="6" t="n">
        <v>2015</v>
      </c>
      <c r="C370" s="6" t="inlineStr">
        <is>
          <t>empresa</t>
        </is>
      </c>
      <c r="D370" s="6" t="n"/>
      <c r="E370" s="6" t="inlineStr">
        <is>
          <t>Fresnillo plc</t>
        </is>
      </c>
      <c r="F370" s="6" t="n"/>
      <c r="G370" s="6" t="n"/>
      <c r="H370" s="6" t="n"/>
      <c r="I370" s="6" t="n"/>
      <c r="J370" s="6" t="n">
        <v>191.5</v>
      </c>
      <c r="K370" s="6" t="inlineStr">
        <is>
          <t>millones oz</t>
        </is>
      </c>
      <c r="L370" s="5" t="inlineStr">
        <is>
          <t>Informe CAMIMEX 2016</t>
        </is>
      </c>
      <c r="M370" s="6" t="n"/>
      <c r="N370" s="5" t="inlineStr">
        <is>
          <t>Productor nacional y mundial mas importante; top-3 (Fresnillo Goldcorp Pan American) = 42.6pct</t>
        </is>
      </c>
      <c r="O370" s="11">
        <f>IF(AND(ISNUMBER(G370),ISNUMBER(J370),J370&lt;&gt;0,H370=K370),G370/J370*100,"")</f>
        <v/>
      </c>
      <c r="P370" s="11">
        <f>IF(AND(ISNUMBER(O370),ISNUMBER(I370)),ROUND(O370-I370,2),"")</f>
        <v/>
      </c>
    </row>
    <row r="371">
      <c r="A371" s="9" t="inlineStr">
        <is>
          <t>Cobre</t>
        </is>
      </c>
      <c r="B371" s="9" t="n">
        <v>2015</v>
      </c>
      <c r="C371" s="9" t="inlineStr">
        <is>
          <t>empresa</t>
        </is>
      </c>
      <c r="D371" s="9" t="n"/>
      <c r="E371" s="9" t="inlineStr">
        <is>
          <t>Grupo Mexico</t>
        </is>
      </c>
      <c r="F371" s="9" t="n"/>
      <c r="G371" s="9" t="n"/>
      <c r="H371" s="9" t="n"/>
      <c r="I371" s="9" t="n"/>
      <c r="J371" s="9" t="n">
        <v>594451</v>
      </c>
      <c r="K371" s="9" t="inlineStr">
        <is>
          <t>toneladas</t>
        </is>
      </c>
      <c r="L371" s="8" t="inlineStr">
        <is>
          <t>Informe CAMIMEX 2016</t>
        </is>
      </c>
      <c r="M371" s="9" t="n"/>
      <c r="N371" s="8" t="inlineStr">
        <is>
          <t>Mayor productor de concentrados; top-3 (GMexico Nemisa Capstone) = 82pct; sin pct del lider</t>
        </is>
      </c>
      <c r="O371" s="11">
        <f>IF(AND(ISNUMBER(G371),ISNUMBER(J371),J371&lt;&gt;0,H371=K371),G371/J371*100,"")</f>
        <v/>
      </c>
      <c r="P371" s="11">
        <f>IF(AND(ISNUMBER(O371),ISNUMBER(I371)),ROUND(O371-I371,2),"")</f>
        <v/>
      </c>
    </row>
    <row r="372">
      <c r="A372" s="6" t="inlineStr">
        <is>
          <t>Zinc</t>
        </is>
      </c>
      <c r="B372" s="6" t="n">
        <v>2015</v>
      </c>
      <c r="C372" s="6" t="inlineStr">
        <is>
          <t>empresa</t>
        </is>
      </c>
      <c r="D372" s="6" t="n"/>
      <c r="E372" s="6" t="inlineStr">
        <is>
          <t>Industrias Penoles</t>
        </is>
      </c>
      <c r="F372" s="6" t="n"/>
      <c r="G372" s="6" t="n"/>
      <c r="H372" s="6" t="n"/>
      <c r="I372" s="6" t="n">
        <v>32</v>
      </c>
      <c r="J372" s="6" t="n">
        <v>786774</v>
      </c>
      <c r="K372" s="6" t="inlineStr">
        <is>
          <t>toneladas</t>
        </is>
      </c>
      <c r="L372" s="5" t="inlineStr">
        <is>
          <t>Informe CAMIMEX 2016</t>
        </is>
      </c>
      <c r="M372" s="6" t="n"/>
      <c r="N372" s="5" t="inlineStr">
        <is>
          <t>Pie por compania: Penoles 32 Goldcorp 26 Frisco 11 GMexico 9 Fresnillo 7 Carrizal 4 Otros 11</t>
        </is>
      </c>
      <c r="O372" s="11">
        <f>IF(AND(ISNUMBER(G372),ISNUMBER(J372),J372&lt;&gt;0,H372=K372),G372/J372*100,"")</f>
        <v/>
      </c>
      <c r="P372" s="11">
        <f>IF(AND(ISNUMBER(O372),ISNUMBER(I372)),ROUND(O372-I372,2),"")</f>
        <v/>
      </c>
    </row>
    <row r="373">
      <c r="A373" s="9" t="inlineStr">
        <is>
          <t>Plomo</t>
        </is>
      </c>
      <c r="B373" s="9" t="n">
        <v>2015</v>
      </c>
      <c r="C373" s="9" t="inlineStr">
        <is>
          <t>empresa</t>
        </is>
      </c>
      <c r="D373" s="9" t="n"/>
      <c r="E373" s="9" t="inlineStr">
        <is>
          <t>Goldcorp</t>
        </is>
      </c>
      <c r="F373" s="9" t="n"/>
      <c r="G373" s="9" t="n"/>
      <c r="H373" s="9" t="n"/>
      <c r="I373" s="9" t="n">
        <v>31</v>
      </c>
      <c r="J373" s="9" t="n">
        <v>263772</v>
      </c>
      <c r="K373" s="9" t="inlineStr">
        <is>
          <t>toneladas</t>
        </is>
      </c>
      <c r="L373" s="8" t="inlineStr">
        <is>
          <t>Informe CAMIMEX 2016</t>
        </is>
      </c>
      <c r="M373" s="9" t="n">
        <v>37</v>
      </c>
      <c r="N373" s="8" t="inlineStr">
        <is>
          <t>Goldcorp lider (31pct segun Informe 2017); top-3 (Goldcorp Fresnillo Penoles) = 58pct; Penasquito = 30pct del total</t>
        </is>
      </c>
      <c r="O373" s="11">
        <f>IF(AND(ISNUMBER(G373),ISNUMBER(J373),J373&lt;&gt;0,H373=K373),G373/J373*100,"")</f>
        <v/>
      </c>
      <c r="P373" s="11">
        <f>IF(AND(ISNUMBER(O373),ISNUMBER(I373)),ROUND(O373-I373,2),"")</f>
        <v/>
      </c>
    </row>
    <row r="374">
      <c r="A374" s="6" t="inlineStr">
        <is>
          <t>Manganeso</t>
        </is>
      </c>
      <c r="B374" s="6" t="n">
        <v>2015</v>
      </c>
      <c r="C374" s="6" t="inlineStr">
        <is>
          <t>empresa</t>
        </is>
      </c>
      <c r="D374" s="6" t="n"/>
      <c r="E374" s="6" t="inlineStr">
        <is>
          <t>Compania Minera Autlan</t>
        </is>
      </c>
      <c r="F374" s="6" t="n"/>
      <c r="G374" s="6" t="n"/>
      <c r="H374" s="6" t="inlineStr">
        <is>
          <t>toneladas</t>
        </is>
      </c>
      <c r="I374" s="6" t="n">
        <v>100</v>
      </c>
      <c r="J374" s="6" t="n">
        <v>217466</v>
      </c>
      <c r="K374" s="6" t="inlineStr">
        <is>
          <t>toneladas</t>
        </is>
      </c>
      <c r="L374" s="5" t="inlineStr">
        <is>
          <t>Informe CAMIMEX + INEGI B3</t>
        </is>
      </c>
      <c r="M374" s="6" t="n"/>
      <c r="N374" s="5" t="inlineStr">
        <is>
          <t>Productor unico nacional (monopolio 1993-2025)</t>
        </is>
      </c>
      <c r="O374" s="11">
        <f>IF(AND(ISNUMBER(G374),ISNUMBER(J374),J374&lt;&gt;0,H374=K374),G374/J374*100,"")</f>
        <v/>
      </c>
      <c r="P374" s="11">
        <f>IF(AND(ISNUMBER(O374),ISNUMBER(I374)),ROUND(O374-I374,2),"")</f>
        <v/>
      </c>
    </row>
    <row r="375">
      <c r="A375" s="9" t="inlineStr">
        <is>
          <t>Barita</t>
        </is>
      </c>
      <c r="B375" s="9" t="n">
        <v>2015</v>
      </c>
      <c r="C375" s="9" t="inlineStr">
        <is>
          <t>empresa</t>
        </is>
      </c>
      <c r="D375" s="9" t="n"/>
      <c r="E375" s="9" t="inlineStr">
        <is>
          <t>Baramin</t>
        </is>
      </c>
      <c r="F375" s="9" t="n"/>
      <c r="G375" s="9" t="n"/>
      <c r="H375" s="9" t="inlineStr">
        <is>
          <t>toneladas</t>
        </is>
      </c>
      <c r="I375" s="9" t="n"/>
      <c r="J375" s="9" t="n">
        <v>271697</v>
      </c>
      <c r="K375" s="9" t="inlineStr">
        <is>
          <t>toneladas</t>
        </is>
      </c>
      <c r="L375" s="8" t="inlineStr">
        <is>
          <t>Informe CAMIMEX 2016</t>
        </is>
      </c>
      <c r="M375" s="9" t="n">
        <v>247</v>
      </c>
      <c r="N375" s="8" t="inlineStr">
        <is>
          <t>Principal empresa productora sin volumen publicado; Galeana NL 34.1pct y Muzquiz Coah 23.7pct del total</t>
        </is>
      </c>
      <c r="O375" s="11">
        <f>IF(AND(ISNUMBER(G375),ISNUMBER(J375),J375&lt;&gt;0,H375=K375),G375/J375*100,"")</f>
        <v/>
      </c>
      <c r="P375" s="11">
        <f>IF(AND(ISNUMBER(O375),ISNUMBER(I375)),ROUND(O375-I375,2),"")</f>
        <v/>
      </c>
    </row>
    <row r="376">
      <c r="A376" s="6" t="inlineStr">
        <is>
          <t>Fluorita</t>
        </is>
      </c>
      <c r="B376" s="6" t="n">
        <v>2015</v>
      </c>
      <c r="C376" s="6" t="inlineStr">
        <is>
          <t>empresa</t>
        </is>
      </c>
      <c r="D376" s="6" t="n"/>
      <c r="E376" s="6" t="inlineStr">
        <is>
          <t>Koura (Mexichem Fluor)</t>
        </is>
      </c>
      <c r="F376" s="6" t="n"/>
      <c r="G376" s="6" t="n"/>
      <c r="H376" s="6" t="inlineStr">
        <is>
          <t>toneladas</t>
        </is>
      </c>
      <c r="I376" s="6" t="n">
        <v>100</v>
      </c>
      <c r="J376" s="6" t="n">
        <v>624574</v>
      </c>
      <c r="K376" s="6" t="inlineStr">
        <is>
          <t>toneladas</t>
        </is>
      </c>
      <c r="L376" s="5" t="inlineStr">
        <is>
          <t>Informe CAMIMEX 2016</t>
        </is>
      </c>
      <c r="M376" s="6" t="n"/>
      <c r="N376" s="5" t="inlineStr">
        <is>
          <t>Principal empresa productora y exportadora: Mexichem Fluor; monopolio de facto; total -43.7pct vs 2014</t>
        </is>
      </c>
      <c r="O376" s="11">
        <f>IF(AND(ISNUMBER(G376),ISNUMBER(J376),J376&lt;&gt;0,H376=K376),G376/J376*100,"")</f>
        <v/>
      </c>
      <c r="P376" s="11">
        <f>IF(AND(ISNUMBER(O376),ISNUMBER(I376)),ROUND(O376-I376,2),"")</f>
        <v/>
      </c>
    </row>
    <row r="377">
      <c r="A377" s="9" t="inlineStr">
        <is>
          <t>Silice</t>
        </is>
      </c>
      <c r="B377" s="9" t="n">
        <v>2015</v>
      </c>
      <c r="C377" s="9" t="inlineStr">
        <is>
          <t>empresa</t>
        </is>
      </c>
      <c r="D377" s="9" t="n"/>
      <c r="E377" s="9" t="inlineStr">
        <is>
          <t>Grupo Materias Primas</t>
        </is>
      </c>
      <c r="F377" s="9" t="n"/>
      <c r="G377" s="9" t="n"/>
      <c r="H377" s="9" t="inlineStr">
        <is>
          <t>toneladas</t>
        </is>
      </c>
      <c r="I377" s="9" t="n"/>
      <c r="J377" s="9" t="n">
        <v>1750548</v>
      </c>
      <c r="K377" s="9" t="inlineStr">
        <is>
          <t>toneladas</t>
        </is>
      </c>
      <c r="L377" s="8" t="inlineStr">
        <is>
          <t>Informe CAMIMEX 2016</t>
        </is>
      </c>
      <c r="M377" s="9" t="n"/>
      <c r="N377" s="8" t="inlineStr">
        <is>
          <t>GMP mayor productor segun Informes 2018-2019; sin mencion de empresa en Informe 2016; total INEGI B3</t>
        </is>
      </c>
      <c r="O377" s="11">
        <f>IF(AND(ISNUMBER(G377),ISNUMBER(J377),J377&lt;&gt;0,H377=K377),G377/J377*100,"")</f>
        <v/>
      </c>
      <c r="P377" s="11">
        <f>IF(AND(ISNUMBER(O377),ISNUMBER(I377)),ROUND(O377-I377,2),"")</f>
        <v/>
      </c>
    </row>
    <row r="378">
      <c r="A378" s="6" t="inlineStr">
        <is>
          <t>Grafito</t>
        </is>
      </c>
      <c r="B378" s="6" t="n">
        <v>2015</v>
      </c>
      <c r="C378" s="6" t="inlineStr">
        <is>
          <t>empresa</t>
        </is>
      </c>
      <c r="D378" s="6" t="n"/>
      <c r="E378" s="6" t="inlineStr">
        <is>
          <t>ninguno</t>
        </is>
      </c>
      <c r="F378" s="6" t="n"/>
      <c r="G378" s="6" t="n"/>
      <c r="H378" s="6" t="inlineStr">
        <is>
          <t>toneladas</t>
        </is>
      </c>
      <c r="I378" s="6" t="n"/>
      <c r="J378" s="6" t="n">
        <v>6524</v>
      </c>
      <c r="K378" s="6" t="inlineStr">
        <is>
          <t>toneladas</t>
        </is>
      </c>
      <c r="L378" s="5" t="inlineStr">
        <is>
          <t>CAMIMEX no desglosa</t>
        </is>
      </c>
      <c r="M378" s="6" t="n"/>
      <c r="N378" s="5" t="inlineStr">
        <is>
          <t>Caso de contraste; atomizado; Sonora y Oaxaca principales estados; total INEGI B3</t>
        </is>
      </c>
      <c r="O378" s="11">
        <f>IF(AND(ISNUMBER(G378),ISNUMBER(J378),J378&lt;&gt;0,H378=K378),G378/J378*100,"")</f>
        <v/>
      </c>
      <c r="P378" s="11">
        <f>IF(AND(ISNUMBER(O378),ISNUMBER(I378)),ROUND(O378-I378,2),"")</f>
        <v/>
      </c>
    </row>
    <row r="379">
      <c r="A379" s="9" t="inlineStr">
        <is>
          <t>Oro</t>
        </is>
      </c>
      <c r="B379" s="9" t="n">
        <v>2014</v>
      </c>
      <c r="C379" s="9" t="inlineStr">
        <is>
          <t>empresa</t>
        </is>
      </c>
      <c r="D379" s="9" t="n"/>
      <c r="E379" s="9" t="inlineStr">
        <is>
          <t>Goldcorp</t>
        </is>
      </c>
      <c r="F379" s="9" t="n"/>
      <c r="G379" s="9" t="n"/>
      <c r="H379" s="9" t="n"/>
      <c r="I379" s="9" t="n"/>
      <c r="J379" s="9" t="n">
        <v>2960</v>
      </c>
      <c r="K379" s="9" t="inlineStr">
        <is>
          <t>miles oz</t>
        </is>
      </c>
      <c r="L379" s="8" t="inlineStr">
        <is>
          <t>Informe CAMIMEX 2015</t>
        </is>
      </c>
      <c r="M379" s="9" t="n"/>
      <c r="N379" s="8" t="inlineStr">
        <is>
          <t>Goldcorp principal; siguen Fresnillo y Frisco; tres empresas = gran parte del total; sin pct publicado</t>
        </is>
      </c>
      <c r="O379" s="11">
        <f>IF(AND(ISNUMBER(G379),ISNUMBER(J379),J379&lt;&gt;0,H379=K379),G379/J379*100,"")</f>
        <v/>
      </c>
      <c r="P379" s="11">
        <f>IF(AND(ISNUMBER(O379),ISNUMBER(I379)),ROUND(O379-I379,2),"")</f>
        <v/>
      </c>
    </row>
    <row r="380">
      <c r="A380" s="6" t="inlineStr">
        <is>
          <t>Plata</t>
        </is>
      </c>
      <c r="B380" s="6" t="n">
        <v>2014</v>
      </c>
      <c r="C380" s="6" t="inlineStr">
        <is>
          <t>empresa</t>
        </is>
      </c>
      <c r="D380" s="6" t="n"/>
      <c r="E380" s="6" t="inlineStr">
        <is>
          <t>Fresnillo plc</t>
        </is>
      </c>
      <c r="F380" s="6" t="n"/>
      <c r="G380" s="6" t="n"/>
      <c r="H380" s="6" t="n"/>
      <c r="I380" s="6" t="n"/>
      <c r="J380" s="6" t="n">
        <v>185.4</v>
      </c>
      <c r="K380" s="6" t="inlineStr">
        <is>
          <t>millones oz</t>
        </is>
      </c>
      <c r="L380" s="5" t="inlineStr">
        <is>
          <t>Informe CAMIMEX 2015</t>
        </is>
      </c>
      <c r="M380" s="6" t="n"/>
      <c r="N380" s="5" t="inlineStr">
        <is>
          <t>Principal productora; siguen Goldcorp y Pan American Silver; Zacatecas 41pct del total</t>
        </is>
      </c>
      <c r="O380" s="11">
        <f>IF(AND(ISNUMBER(G380),ISNUMBER(J380),J380&lt;&gt;0,H380=K380),G380/J380*100,"")</f>
        <v/>
      </c>
      <c r="P380" s="11">
        <f>IF(AND(ISNUMBER(O380),ISNUMBER(I380)),ROUND(O380-I380,2),"")</f>
        <v/>
      </c>
    </row>
    <row r="381">
      <c r="A381" s="9" t="inlineStr">
        <is>
          <t>Cobre</t>
        </is>
      </c>
      <c r="B381" s="9" t="n">
        <v>2014</v>
      </c>
      <c r="C381" s="9" t="inlineStr">
        <is>
          <t>empresa</t>
        </is>
      </c>
      <c r="D381" s="9" t="n"/>
      <c r="E381" s="9" t="inlineStr">
        <is>
          <t>Grupo Mexico</t>
        </is>
      </c>
      <c r="F381" s="9" t="n"/>
      <c r="G381" s="9" t="n"/>
      <c r="H381" s="9" t="n"/>
      <c r="I381" s="9" t="n"/>
      <c r="J381" s="9" t="n">
        <v>515000</v>
      </c>
      <c r="K381" s="9" t="inlineStr">
        <is>
          <t>toneladas</t>
        </is>
      </c>
      <c r="L381" s="8" t="inlineStr">
        <is>
          <t>Informe CAMIMEX 2015</t>
        </is>
      </c>
      <c r="M381" s="9" t="n"/>
      <c r="N381" s="8" t="inlineStr">
        <is>
          <t>Principal productor; siguen Cobre del Mayo y Penoles; sin pct publicado; total INEGI 515 mil t</t>
        </is>
      </c>
      <c r="O381" s="11">
        <f>IF(AND(ISNUMBER(G381),ISNUMBER(J381),J381&lt;&gt;0,H381=K381),G381/J381*100,"")</f>
        <v/>
      </c>
      <c r="P381" s="11">
        <f>IF(AND(ISNUMBER(O381),ISNUMBER(I381)),ROUND(O381-I381,2),"")</f>
        <v/>
      </c>
    </row>
    <row r="382">
      <c r="A382" s="6" t="inlineStr">
        <is>
          <t>Zinc</t>
        </is>
      </c>
      <c r="B382" s="6" t="n">
        <v>2014</v>
      </c>
      <c r="C382" s="6" t="inlineStr">
        <is>
          <t>empresa</t>
        </is>
      </c>
      <c r="D382" s="6" t="n"/>
      <c r="E382" s="6" t="inlineStr">
        <is>
          <t>Industrias Penoles</t>
        </is>
      </c>
      <c r="F382" s="6" t="n"/>
      <c r="G382" s="6" t="n"/>
      <c r="H382" s="6" t="n"/>
      <c r="I382" s="6" t="n"/>
      <c r="J382" s="6" t="n">
        <v>660000</v>
      </c>
      <c r="K382" s="6" t="inlineStr">
        <is>
          <t>toneladas</t>
        </is>
      </c>
      <c r="L382" s="5" t="inlineStr">
        <is>
          <t>Informe CAMIMEX 2015</t>
        </is>
      </c>
      <c r="M382" s="6" t="n"/>
      <c r="N382" s="5" t="inlineStr">
        <is>
          <t>Mayor productor (arranque Velardena); Goldcorp 2do con 25pct; top-5 (Penoles Goldcorp GMexico Frisco Fresnillo) = 91pct</t>
        </is>
      </c>
      <c r="O382" s="11">
        <f>IF(AND(ISNUMBER(G382),ISNUMBER(J382),J382&lt;&gt;0,H382=K382),G382/J382*100,"")</f>
        <v/>
      </c>
      <c r="P382" s="11">
        <f>IF(AND(ISNUMBER(O382),ISNUMBER(I382)),ROUND(O382-I382,2),"")</f>
        <v/>
      </c>
    </row>
    <row r="383">
      <c r="A383" s="9" t="inlineStr">
        <is>
          <t>Plomo</t>
        </is>
      </c>
      <c r="B383" s="9" t="n">
        <v>2014</v>
      </c>
      <c r="C383" s="9" t="inlineStr">
        <is>
          <t>empresa</t>
        </is>
      </c>
      <c r="D383" s="9" t="n"/>
      <c r="E383" s="9" t="inlineStr">
        <is>
          <t>Goldcorp</t>
        </is>
      </c>
      <c r="F383" s="9" t="n"/>
      <c r="G383" s="9" t="n"/>
      <c r="H383" s="9" t="n"/>
      <c r="I383" s="9" t="n"/>
      <c r="J383" s="9" t="n">
        <v>250462</v>
      </c>
      <c r="K383" s="9" t="inlineStr">
        <is>
          <t>toneladas</t>
        </is>
      </c>
      <c r="L383" s="8" t="inlineStr">
        <is>
          <t>Informe CAMIMEX 2015</t>
        </is>
      </c>
      <c r="M383" s="9" t="n"/>
      <c r="N383" s="8" t="inlineStr">
        <is>
          <t>Goldcorp 1ro; siguen Penoles y GMexico; top-5 = 95pct del total; sin pct del lider</t>
        </is>
      </c>
      <c r="O383" s="11">
        <f>IF(AND(ISNUMBER(G383),ISNUMBER(J383),J383&lt;&gt;0,H383=K383),G383/J383*100,"")</f>
        <v/>
      </c>
      <c r="P383" s="11">
        <f>IF(AND(ISNUMBER(O383),ISNUMBER(I383)),ROUND(O383-I383,2),"")</f>
        <v/>
      </c>
    </row>
    <row r="384">
      <c r="A384" s="6" t="inlineStr">
        <is>
          <t>Manganeso</t>
        </is>
      </c>
      <c r="B384" s="6" t="n">
        <v>2014</v>
      </c>
      <c r="C384" s="6" t="inlineStr">
        <is>
          <t>empresa</t>
        </is>
      </c>
      <c r="D384" s="6" t="n"/>
      <c r="E384" s="6" t="inlineStr">
        <is>
          <t>Compania Minera Autlan</t>
        </is>
      </c>
      <c r="F384" s="6" t="n"/>
      <c r="G384" s="6" t="n"/>
      <c r="H384" s="6" t="inlineStr">
        <is>
          <t>toneladas</t>
        </is>
      </c>
      <c r="I384" s="6" t="n">
        <v>100</v>
      </c>
      <c r="J384" s="6" t="n">
        <v>235686</v>
      </c>
      <c r="K384" s="6" t="inlineStr">
        <is>
          <t>toneladas</t>
        </is>
      </c>
      <c r="L384" s="5" t="inlineStr">
        <is>
          <t>Informe CAMIMEX + INEGI B3</t>
        </is>
      </c>
      <c r="M384" s="6" t="n"/>
      <c r="N384" s="5" t="inlineStr">
        <is>
          <t>Productor unico nacional (monopolio 1993-2025)</t>
        </is>
      </c>
      <c r="O384" s="11">
        <f>IF(AND(ISNUMBER(G384),ISNUMBER(J384),J384&lt;&gt;0,H384=K384),G384/J384*100,"")</f>
        <v/>
      </c>
      <c r="P384" s="11">
        <f>IF(AND(ISNUMBER(O384),ISNUMBER(I384)),ROUND(O384-I384,2),"")</f>
        <v/>
      </c>
    </row>
    <row r="385">
      <c r="A385" s="9" t="inlineStr">
        <is>
          <t>Barita</t>
        </is>
      </c>
      <c r="B385" s="9" t="n">
        <v>2014</v>
      </c>
      <c r="C385" s="9" t="inlineStr">
        <is>
          <t>empresa</t>
        </is>
      </c>
      <c r="D385" s="9" t="n"/>
      <c r="E385" s="9" t="inlineStr">
        <is>
          <t>Baramin</t>
        </is>
      </c>
      <c r="F385" s="9" t="n"/>
      <c r="G385" s="9" t="n">
        <v>140000</v>
      </c>
      <c r="H385" s="9" t="inlineStr">
        <is>
          <t>toneladas</t>
        </is>
      </c>
      <c r="I385" s="9" t="n">
        <v>100</v>
      </c>
      <c r="J385" s="9" t="n">
        <v>130914</v>
      </c>
      <c r="K385" s="9" t="inlineStr">
        <is>
          <t>toneladas</t>
        </is>
      </c>
      <c r="L385" s="8" t="inlineStr">
        <is>
          <t>Informe CAMIMEX 2015</t>
        </is>
      </c>
      <c r="M385" s="9" t="n"/>
      <c r="N385" s="8" t="inlineStr">
        <is>
          <t>Baramin reporto 140 mil t &gt; total INEGI 130914 (discrepancia fuente empresa vs INEGI); ~100pct</t>
        </is>
      </c>
      <c r="O385" s="11">
        <f>IF(AND(ISNUMBER(G385),ISNUMBER(J385),J385&lt;&gt;0,H385=K385),G385/J385*100,"")</f>
        <v/>
      </c>
      <c r="P385" s="11">
        <f>IF(AND(ISNUMBER(O385),ISNUMBER(I385)),ROUND(O385-I385,2),"")</f>
        <v/>
      </c>
    </row>
    <row r="386">
      <c r="A386" s="6" t="inlineStr">
        <is>
          <t>Fluorita</t>
        </is>
      </c>
      <c r="B386" s="6" t="n">
        <v>2014</v>
      </c>
      <c r="C386" s="6" t="inlineStr">
        <is>
          <t>empresa</t>
        </is>
      </c>
      <c r="D386" s="6" t="n"/>
      <c r="E386" s="6" t="inlineStr">
        <is>
          <t>Koura (Mexichem)</t>
        </is>
      </c>
      <c r="F386" s="6" t="n"/>
      <c r="G386" s="6" t="n"/>
      <c r="H386" s="6" t="inlineStr">
        <is>
          <t>toneladas</t>
        </is>
      </c>
      <c r="I386" s="6" t="n">
        <v>100</v>
      </c>
      <c r="J386" s="6" t="n">
        <v>1109721</v>
      </c>
      <c r="K386" s="6" t="inlineStr">
        <is>
          <t>toneladas</t>
        </is>
      </c>
      <c r="L386" s="5" t="inlineStr">
        <is>
          <t>Informe CAMIMEX 2015</t>
        </is>
      </c>
      <c r="M386" s="6" t="n"/>
      <c r="N386" s="5" t="inlineStr">
        <is>
          <t>La empresa Mexichem es la principal productora nacional; monopolio de facto; total INEGI B3</t>
        </is>
      </c>
      <c r="O386" s="11">
        <f>IF(AND(ISNUMBER(G386),ISNUMBER(J386),J386&lt;&gt;0,H386=K386),G386/J386*100,"")</f>
        <v/>
      </c>
      <c r="P386" s="11">
        <f>IF(AND(ISNUMBER(O386),ISNUMBER(I386)),ROUND(O386-I386,2),"")</f>
        <v/>
      </c>
    </row>
    <row r="387">
      <c r="A387" s="9" t="inlineStr">
        <is>
          <t>Silice</t>
        </is>
      </c>
      <c r="B387" s="9" t="n">
        <v>2014</v>
      </c>
      <c r="C387" s="9" t="inlineStr">
        <is>
          <t>empresa</t>
        </is>
      </c>
      <c r="D387" s="9" t="n"/>
      <c r="E387" s="9" t="inlineStr">
        <is>
          <t>Grupo Materias Primas</t>
        </is>
      </c>
      <c r="F387" s="9" t="n"/>
      <c r="G387" s="9" t="n"/>
      <c r="H387" s="9" t="inlineStr">
        <is>
          <t>toneladas</t>
        </is>
      </c>
      <c r="I387" s="9" t="n"/>
      <c r="J387" s="9" t="n">
        <v>2548336</v>
      </c>
      <c r="K387" s="9" t="inlineStr">
        <is>
          <t>toneladas</t>
        </is>
      </c>
      <c r="L387" s="8" t="inlineStr">
        <is>
          <t>Informe CAMIMEX 2015</t>
        </is>
      </c>
      <c r="M387" s="9" t="n"/>
      <c r="N387" s="8" t="inlineStr">
        <is>
          <t>Sin mencion de empresa en capitulo arena silica del Informe 2015 (GMP 330 mil t citado ahi es feldespato); total INEGI B3</t>
        </is>
      </c>
      <c r="O387" s="11">
        <f>IF(AND(ISNUMBER(G387),ISNUMBER(J387),J387&lt;&gt;0,H387=K387),G387/J387*100,"")</f>
        <v/>
      </c>
      <c r="P387" s="11">
        <f>IF(AND(ISNUMBER(O387),ISNUMBER(I387)),ROUND(O387-I387,2),"")</f>
        <v/>
      </c>
    </row>
    <row r="388">
      <c r="A388" s="6" t="inlineStr">
        <is>
          <t>Grafito</t>
        </is>
      </c>
      <c r="B388" s="6" t="n">
        <v>2014</v>
      </c>
      <c r="C388" s="6" t="inlineStr">
        <is>
          <t>empresa</t>
        </is>
      </c>
      <c r="D388" s="6" t="n"/>
      <c r="E388" s="6" t="inlineStr">
        <is>
          <t>ninguno</t>
        </is>
      </c>
      <c r="F388" s="6" t="n"/>
      <c r="G388" s="6" t="n"/>
      <c r="H388" s="6" t="inlineStr">
        <is>
          <t>toneladas</t>
        </is>
      </c>
      <c r="I388" s="6" t="n"/>
      <c r="J388" s="6" t="n">
        <v>9160</v>
      </c>
      <c r="K388" s="6" t="inlineStr">
        <is>
          <t>toneladas</t>
        </is>
      </c>
      <c r="L388" s="5" t="inlineStr">
        <is>
          <t>CAMIMEX no desglosa</t>
        </is>
      </c>
      <c r="M388" s="6" t="n"/>
      <c r="N388" s="5" t="inlineStr">
        <is>
          <t>Caso de contraste; atomizado; total INEGI B3</t>
        </is>
      </c>
      <c r="O388" s="11">
        <f>IF(AND(ISNUMBER(G388),ISNUMBER(J388),J388&lt;&gt;0,H388=K388),G388/J388*100,"")</f>
        <v/>
      </c>
      <c r="P388" s="11">
        <f>IF(AND(ISNUMBER(O388),ISNUMBER(I388)),ROUND(O388-I388,2),"")</f>
        <v/>
      </c>
    </row>
    <row r="389">
      <c r="A389" s="9" t="inlineStr">
        <is>
          <t>Oro</t>
        </is>
      </c>
      <c r="B389" s="9" t="n">
        <v>2013</v>
      </c>
      <c r="C389" s="9" t="inlineStr">
        <is>
          <t>empresa</t>
        </is>
      </c>
      <c r="D389" s="9" t="n"/>
      <c r="E389" s="9" t="inlineStr">
        <is>
          <t>Goldcorp</t>
        </is>
      </c>
      <c r="F389" s="9" t="n"/>
      <c r="G389" s="9" t="n">
        <v>736.2</v>
      </c>
      <c r="H389" s="9" t="inlineStr">
        <is>
          <t>miles oz</t>
        </is>
      </c>
      <c r="I389" s="9" t="n"/>
      <c r="J389" s="9" t="n">
        <v>119.8</v>
      </c>
      <c r="K389" s="9" t="inlineStr">
        <is>
          <t>toneladas</t>
        </is>
      </c>
      <c r="L389" s="8" t="inlineStr">
        <is>
          <t>Informe CAMIMEX 2014</t>
        </is>
      </c>
      <c r="M389" s="9" t="n"/>
      <c r="N389" s="8" t="inlineStr">
        <is>
          <t>Lider inferido de tabla top-10 (Penasquito 403.8 + Los Filos 332.4 = 736.2 mil oz); Herradura (Fresnillo-Newmont) 418.6; total 119.8 t = ~3.85 Moz; sin pct publicado</t>
        </is>
      </c>
      <c r="O389" s="11">
        <f>IF(AND(ISNUMBER(G389),ISNUMBER(J389),J389&lt;&gt;0,H389=K389),G389/J389*100,"")</f>
        <v/>
      </c>
      <c r="P389" s="11">
        <f>IF(AND(ISNUMBER(O389),ISNUMBER(I389)),ROUND(O389-I389,2),"")</f>
        <v/>
      </c>
    </row>
    <row r="390">
      <c r="A390" s="6" t="inlineStr">
        <is>
          <t>Plata</t>
        </is>
      </c>
      <c r="B390" s="6" t="n">
        <v>2013</v>
      </c>
      <c r="C390" s="6" t="inlineStr">
        <is>
          <t>empresa</t>
        </is>
      </c>
      <c r="D390" s="6" t="n"/>
      <c r="E390" s="6" t="inlineStr">
        <is>
          <t>Fresnillo plc</t>
        </is>
      </c>
      <c r="F390" s="6" t="n"/>
      <c r="G390" s="6" t="n"/>
      <c r="H390" s="6" t="n"/>
      <c r="I390" s="6" t="n"/>
      <c r="J390" s="6" t="n">
        <v>187.1</v>
      </c>
      <c r="K390" s="6" t="inlineStr">
        <is>
          <t>millones oz</t>
        </is>
      </c>
      <c r="L390" s="5" t="inlineStr">
        <is>
          <t>Informe CAMIMEX 2014</t>
        </is>
      </c>
      <c r="M390" s="6" t="n"/>
      <c r="N390" s="5" t="inlineStr">
        <is>
          <t>Lider inferido de tabla top-10 (Fresnillo 22.76 + Saucito 11.58 = 34.3 Moz vs Penasquito 22.45); sin pct publicado</t>
        </is>
      </c>
      <c r="O390" s="11">
        <f>IF(AND(ISNUMBER(G390),ISNUMBER(J390),J390&lt;&gt;0,H390=K390),G390/J390*100,"")</f>
        <v/>
      </c>
      <c r="P390" s="11">
        <f>IF(AND(ISNUMBER(O390),ISNUMBER(I390)),ROUND(O390-I390,2),"")</f>
        <v/>
      </c>
    </row>
    <row r="391">
      <c r="A391" s="9" t="inlineStr">
        <is>
          <t>Cobre</t>
        </is>
      </c>
      <c r="B391" s="9" t="n">
        <v>2013</v>
      </c>
      <c r="C391" s="9" t="inlineStr">
        <is>
          <t>empresa</t>
        </is>
      </c>
      <c r="D391" s="9" t="n"/>
      <c r="E391" s="9" t="inlineStr">
        <is>
          <t>Grupo Mexico</t>
        </is>
      </c>
      <c r="F391" s="9" t="n"/>
      <c r="G391" s="9" t="n"/>
      <c r="H391" s="9" t="n"/>
      <c r="I391" s="9" t="n">
        <v>64.40000000000001</v>
      </c>
      <c r="J391" s="9" t="n">
        <v>480124</v>
      </c>
      <c r="K391" s="9" t="inlineStr">
        <is>
          <t>toneladas</t>
        </is>
      </c>
      <c r="L391" s="8" t="inlineStr">
        <is>
          <t>Informe CAMIMEX 2014</t>
        </is>
      </c>
      <c r="M391" s="9" t="n">
        <v>158</v>
      </c>
      <c r="N391" s="8" t="inlineStr">
        <is>
          <t>Pastel por compania: GMexico 64.4pct; siguen Penoles Invecture Frisco Capstone SMP Carrizal; total INEGI 480124</t>
        </is>
      </c>
      <c r="O391" s="11">
        <f>IF(AND(ISNUMBER(G391),ISNUMBER(J391),J391&lt;&gt;0,H391=K391),G391/J391*100,"")</f>
        <v/>
      </c>
      <c r="P391" s="11">
        <f>IF(AND(ISNUMBER(O391),ISNUMBER(I391)),ROUND(O391-I391,2),"")</f>
        <v/>
      </c>
    </row>
    <row r="392">
      <c r="A392" s="6" t="inlineStr">
        <is>
          <t>Zinc</t>
        </is>
      </c>
      <c r="B392" s="6" t="n">
        <v>2013</v>
      </c>
      <c r="C392" s="6" t="inlineStr">
        <is>
          <t>empresa</t>
        </is>
      </c>
      <c r="D392" s="6" t="n"/>
      <c r="E392" s="6" t="inlineStr">
        <is>
          <t>Industrias Penoles</t>
        </is>
      </c>
      <c r="F392" s="6" t="n"/>
      <c r="G392" s="6" t="n"/>
      <c r="H392" s="6" t="inlineStr">
        <is>
          <t>toneladas</t>
        </is>
      </c>
      <c r="I392" s="6" t="n"/>
      <c r="J392" s="6" t="n">
        <v>642542</v>
      </c>
      <c r="K392" s="6" t="inlineStr">
        <is>
          <t>toneladas</t>
        </is>
      </c>
      <c r="L392" s="5" t="inlineStr">
        <is>
          <t>Informe CAMIMEX 2014</t>
        </is>
      </c>
      <c r="M392" s="6" t="n">
        <v>27</v>
      </c>
      <c r="N392" s="5" t="inlineStr">
        <is>
          <t>Lider inferido: Penoles lider en 2011 (159 mil t) 2012 (pie 23.8pct) y 2014-15; sus unidades visibles en top-10 2013 suman 123 sin contar Bismark-Naica-Sabinas; Penasquito mayor unidad 126.67 (19.7pct); sin pct publicado</t>
        </is>
      </c>
      <c r="O392" s="11">
        <f>IF(AND(ISNUMBER(G392),ISNUMBER(J392),J392&lt;&gt;0,H392=K392),G392/J392*100,"")</f>
        <v/>
      </c>
      <c r="P392" s="11">
        <f>IF(AND(ISNUMBER(O392),ISNUMBER(I392)),ROUND(O392-I392,2),"")</f>
        <v/>
      </c>
    </row>
    <row r="393">
      <c r="A393" s="9" t="inlineStr">
        <is>
          <t>Plomo</t>
        </is>
      </c>
      <c r="B393" s="9" t="n">
        <v>2013</v>
      </c>
      <c r="C393" s="9" t="inlineStr">
        <is>
          <t>empresa</t>
        </is>
      </c>
      <c r="D393" s="9" t="n"/>
      <c r="E393" s="9" t="inlineStr">
        <is>
          <t>Goldcorp</t>
        </is>
      </c>
      <c r="F393" s="9" t="n"/>
      <c r="G393" s="9" t="n">
        <v>72.17</v>
      </c>
      <c r="H393" s="9" t="inlineStr">
        <is>
          <t>miles toneladas</t>
        </is>
      </c>
      <c r="I393" s="9" t="n">
        <v>28.5</v>
      </c>
      <c r="J393" s="9" t="n">
        <v>253361</v>
      </c>
      <c r="K393" s="9" t="inlineStr">
        <is>
          <t>toneladas</t>
        </is>
      </c>
      <c r="L393" s="8" t="inlineStr">
        <is>
          <t>Informe CAMIMEX 2014</t>
        </is>
      </c>
      <c r="M393" s="9" t="n"/>
      <c r="N393" s="8" t="inlineStr">
        <is>
          <t>Lider inferido: Penasquito 72.17 de 253.361 = 28.5pct; siguen Penoles (Naica FIM Sabinas Tizapa) y GMexico; sin pct publicado</t>
        </is>
      </c>
      <c r="O393" s="11">
        <f>IF(AND(ISNUMBER(G393),ISNUMBER(J393),J393&lt;&gt;0,H393=K393),G393/J393*100,"")</f>
        <v/>
      </c>
      <c r="P393" s="11">
        <f>IF(AND(ISNUMBER(O393),ISNUMBER(I393)),ROUND(O393-I393,2),"")</f>
        <v/>
      </c>
    </row>
    <row r="394">
      <c r="A394" s="6" t="inlineStr">
        <is>
          <t>Manganeso</t>
        </is>
      </c>
      <c r="B394" s="6" t="n">
        <v>2013</v>
      </c>
      <c r="C394" s="6" t="inlineStr">
        <is>
          <t>empresa</t>
        </is>
      </c>
      <c r="D394" s="6" t="n"/>
      <c r="E394" s="6" t="inlineStr">
        <is>
          <t>Compania Minera Autlan</t>
        </is>
      </c>
      <c r="F394" s="6" t="n"/>
      <c r="G394" s="6" t="n"/>
      <c r="H394" s="6" t="inlineStr">
        <is>
          <t>toneladas</t>
        </is>
      </c>
      <c r="I394" s="6" t="n">
        <v>100</v>
      </c>
      <c r="J394" s="6" t="n">
        <v>211559</v>
      </c>
      <c r="K394" s="6" t="inlineStr">
        <is>
          <t>toneladas</t>
        </is>
      </c>
      <c r="L394" s="5" t="inlineStr">
        <is>
          <t>Informe CAMIMEX + INEGI B3</t>
        </is>
      </c>
      <c r="M394" s="6" t="n"/>
      <c r="N394" s="5" t="inlineStr">
        <is>
          <t>Productor unico nacional (monopolio 1993-2025)</t>
        </is>
      </c>
      <c r="O394" s="11">
        <f>IF(AND(ISNUMBER(G394),ISNUMBER(J394),J394&lt;&gt;0,H394=K394),G394/J394*100,"")</f>
        <v/>
      </c>
      <c r="P394" s="11">
        <f>IF(AND(ISNUMBER(O394),ISNUMBER(I394)),ROUND(O394-I394,2),"")</f>
        <v/>
      </c>
    </row>
    <row r="395">
      <c r="A395" s="9" t="inlineStr">
        <is>
          <t>Barita</t>
        </is>
      </c>
      <c r="B395" s="9" t="n">
        <v>2013</v>
      </c>
      <c r="C395" s="9" t="inlineStr">
        <is>
          <t>empresa</t>
        </is>
      </c>
      <c r="D395" s="9" t="n"/>
      <c r="E395" s="9" t="inlineStr">
        <is>
          <t>Baramin</t>
        </is>
      </c>
      <c r="F395" s="9" t="n"/>
      <c r="G395" s="9" t="n">
        <v>100000</v>
      </c>
      <c r="H395" s="9" t="inlineStr">
        <is>
          <t>toneladas</t>
        </is>
      </c>
      <c r="I395" s="9" t="n">
        <v>83.8</v>
      </c>
      <c r="J395" s="9" t="n">
        <v>119402</v>
      </c>
      <c r="K395" s="9" t="inlineStr">
        <is>
          <t>toneladas</t>
        </is>
      </c>
      <c r="L395" s="8" t="inlineStr">
        <is>
          <t>Informe CAMIMEX 2014</t>
        </is>
      </c>
      <c r="M395" s="9" t="n">
        <v>40</v>
      </c>
      <c r="N395" s="8" t="inlineStr">
        <is>
          <t>Baramin 100 mil t (-46pct vs 2012) de 119402 INEGI = 83.8pct</t>
        </is>
      </c>
      <c r="O395" s="11">
        <f>IF(AND(ISNUMBER(G395),ISNUMBER(J395),J395&lt;&gt;0,H395=K395),G395/J395*100,"")</f>
        <v/>
      </c>
      <c r="P395" s="11">
        <f>IF(AND(ISNUMBER(O395),ISNUMBER(I395)),ROUND(O395-I395,2),"")</f>
        <v/>
      </c>
    </row>
    <row r="396">
      <c r="A396" s="6" t="inlineStr">
        <is>
          <t>Fluorita</t>
        </is>
      </c>
      <c r="B396" s="6" t="n">
        <v>2013</v>
      </c>
      <c r="C396" s="6" t="inlineStr">
        <is>
          <t>empresa</t>
        </is>
      </c>
      <c r="D396" s="6" t="n"/>
      <c r="E396" s="6" t="inlineStr">
        <is>
          <t>Koura (Mexichem)</t>
        </is>
      </c>
      <c r="F396" s="6" t="n"/>
      <c r="G396" s="6" t="n">
        <v>1250000</v>
      </c>
      <c r="H396" s="6" t="inlineStr">
        <is>
          <t>toneladas</t>
        </is>
      </c>
      <c r="I396" s="6" t="n">
        <v>100</v>
      </c>
      <c r="J396" s="6" t="n">
        <v>1210477</v>
      </c>
      <c r="K396" s="6" t="inlineStr">
        <is>
          <t>toneladas</t>
        </is>
      </c>
      <c r="L396" s="5" t="inlineStr">
        <is>
          <t>Informe CAMIMEX 2014</t>
        </is>
      </c>
      <c r="M396" s="6" t="n">
        <v>189</v>
      </c>
      <c r="N396" s="5" t="inlineStr">
        <is>
          <t>Mexichem principal productora; 1.25Mt en sus tres unidades (Las Cuevas Rio Verde Fluorita de Mexico); monopolio de GRUPO desde enero 2012 por adquisicion de Fluorita de Mexico (Grupo Alfil) por Mexichem; confirmado por CAMIMEX Informe 2013 y USGS MYB 2012</t>
        </is>
      </c>
      <c r="O396" s="11">
        <f>IF(AND(ISNUMBER(G396),ISNUMBER(J396),J396&lt;&gt;0,H396=K396),G396/J396*100,"")</f>
        <v/>
      </c>
      <c r="P396" s="11">
        <f>IF(AND(ISNUMBER(O396),ISNUMBER(I396)),ROUND(O396-I396,2),"")</f>
        <v/>
      </c>
    </row>
    <row r="397">
      <c r="A397" s="9" t="inlineStr">
        <is>
          <t>Silice</t>
        </is>
      </c>
      <c r="B397" s="9" t="n">
        <v>2013</v>
      </c>
      <c r="C397" s="9" t="inlineStr">
        <is>
          <t>empresa</t>
        </is>
      </c>
      <c r="D397" s="9" t="n"/>
      <c r="E397" s="9" t="inlineStr">
        <is>
          <t>Grupo Materias Primas</t>
        </is>
      </c>
      <c r="F397" s="9" t="n"/>
      <c r="G397" s="9" t="n">
        <v>1940000</v>
      </c>
      <c r="H397" s="9" t="inlineStr">
        <is>
          <t>toneladas</t>
        </is>
      </c>
      <c r="I397" s="9" t="n">
        <v>66</v>
      </c>
      <c r="J397" s="9" t="n">
        <v>2937949</v>
      </c>
      <c r="K397" s="9" t="inlineStr">
        <is>
          <t>toneladas</t>
        </is>
      </c>
      <c r="L397" s="8" t="inlineStr">
        <is>
          <t>Informe CAMIMEX 2014</t>
        </is>
      </c>
      <c r="M397" s="9" t="n">
        <v>189</v>
      </c>
      <c r="N397" s="8" t="inlineStr">
        <is>
          <t>GMP principal productora; produccion vendible 1.94Mt de 2937949 INEGI = 66pct</t>
        </is>
      </c>
      <c r="O397" s="11">
        <f>IF(AND(ISNUMBER(G397),ISNUMBER(J397),J397&lt;&gt;0,H397=K397),G397/J397*100,"")</f>
        <v/>
      </c>
      <c r="P397" s="11">
        <f>IF(AND(ISNUMBER(O397),ISNUMBER(I397)),ROUND(O397-I397,2),"")</f>
        <v/>
      </c>
    </row>
    <row r="398">
      <c r="A398" s="6" t="inlineStr">
        <is>
          <t>Grafito</t>
        </is>
      </c>
      <c r="B398" s="6" t="n">
        <v>2013</v>
      </c>
      <c r="C398" s="6" t="inlineStr">
        <is>
          <t>empresa</t>
        </is>
      </c>
      <c r="D398" s="6" t="n"/>
      <c r="E398" s="6" t="inlineStr">
        <is>
          <t>ninguno</t>
        </is>
      </c>
      <c r="F398" s="6" t="n"/>
      <c r="G398" s="6" t="n"/>
      <c r="H398" s="6" t="inlineStr">
        <is>
          <t>toneladas</t>
        </is>
      </c>
      <c r="I398" s="6" t="n"/>
      <c r="J398" s="6" t="n">
        <v>7024</v>
      </c>
      <c r="K398" s="6" t="inlineStr">
        <is>
          <t>toneladas</t>
        </is>
      </c>
      <c r="L398" s="5" t="inlineStr">
        <is>
          <t>CAMIMEX no desglosa</t>
        </is>
      </c>
      <c r="M398" s="6" t="n"/>
      <c r="N398" s="5" t="inlineStr">
        <is>
          <t>Caso de contraste; atomizado; total INEGI B3</t>
        </is>
      </c>
      <c r="O398" s="11">
        <f>IF(AND(ISNUMBER(G398),ISNUMBER(J398),J398&lt;&gt;0,H398=K398),G398/J398*100,"")</f>
        <v/>
      </c>
      <c r="P398" s="11">
        <f>IF(AND(ISNUMBER(O398),ISNUMBER(I398)),ROUND(O398-I398,2),"")</f>
        <v/>
      </c>
    </row>
    <row r="399">
      <c r="A399" s="9" t="inlineStr">
        <is>
          <t>Oro</t>
        </is>
      </c>
      <c r="B399" s="9" t="n">
        <v>2012</v>
      </c>
      <c r="C399" s="9" t="inlineStr">
        <is>
          <t>empresa</t>
        </is>
      </c>
      <c r="D399" s="9" t="n"/>
      <c r="E399" s="9" t="inlineStr">
        <is>
          <t>Goldcorp</t>
        </is>
      </c>
      <c r="F399" s="9" t="n"/>
      <c r="G399" s="9" t="n">
        <v>834</v>
      </c>
      <c r="H399" s="9" t="inlineStr">
        <is>
          <t>miles oz</t>
        </is>
      </c>
      <c r="I399" s="9" t="n">
        <v>26</v>
      </c>
      <c r="J399" s="9" t="n">
        <v>102.8</v>
      </c>
      <c r="K399" s="9" t="inlineStr">
        <is>
          <t>toneladas</t>
        </is>
      </c>
      <c r="L399" s="8" t="inlineStr">
        <is>
          <t>Informe CAMIMEX 2013</t>
        </is>
      </c>
      <c r="M399" s="9" t="n">
        <v>15</v>
      </c>
      <c r="N399" s="8" t="inlineStr">
        <is>
          <t>Mayor productor: 834 mil oz = 26pct del total; Fresnillo 2do con 473035 oz; pie por compania base 3.197 Moz</t>
        </is>
      </c>
      <c r="O399" s="11">
        <f>IF(AND(ISNUMBER(G399),ISNUMBER(J399),J399&lt;&gt;0,H399=K399),G399/J399*100,"")</f>
        <v/>
      </c>
      <c r="P399" s="11">
        <f>IF(AND(ISNUMBER(O399),ISNUMBER(I399)),ROUND(O399-I399,2),"")</f>
        <v/>
      </c>
    </row>
    <row r="400">
      <c r="A400" s="6" t="inlineStr">
        <is>
          <t>Plata</t>
        </is>
      </c>
      <c r="B400" s="6" t="n">
        <v>2012</v>
      </c>
      <c r="C400" s="6" t="inlineStr">
        <is>
          <t>empresa</t>
        </is>
      </c>
      <c r="D400" s="6" t="n"/>
      <c r="E400" s="6" t="inlineStr">
        <is>
          <t>Fresnillo plc</t>
        </is>
      </c>
      <c r="F400" s="6" t="n"/>
      <c r="G400" s="6" t="n">
        <v>40.9</v>
      </c>
      <c r="H400" s="6" t="inlineStr">
        <is>
          <t>millones oz</t>
        </is>
      </c>
      <c r="I400" s="6" t="n">
        <v>23.7</v>
      </c>
      <c r="J400" s="6" t="n">
        <v>172.3</v>
      </c>
      <c r="K400" s="6" t="inlineStr">
        <is>
          <t>millones oz</t>
        </is>
      </c>
      <c r="L400" s="5" t="inlineStr">
        <is>
          <t>Informe CAMIMEX 2013</t>
        </is>
      </c>
      <c r="M400" s="6" t="n"/>
      <c r="N400" s="5" t="inlineStr">
        <is>
          <t>Mayor productor 40.9 Moz de 5358 t (172.3 Moz) = 23.7pct; Goldcorp 2do (Penasquito 23.7 Moz); pie por compania disponible</t>
        </is>
      </c>
      <c r="O400" s="11">
        <f>IF(AND(ISNUMBER(G400),ISNUMBER(J400),J400&lt;&gt;0,H400=K400),G400/J400*100,"")</f>
        <v/>
      </c>
      <c r="P400" s="11">
        <f>IF(AND(ISNUMBER(O400),ISNUMBER(I400)),ROUND(O400-I400,2),"")</f>
        <v/>
      </c>
    </row>
    <row r="401">
      <c r="A401" s="9" t="inlineStr">
        <is>
          <t>Cobre</t>
        </is>
      </c>
      <c r="B401" s="9" t="n">
        <v>2012</v>
      </c>
      <c r="C401" s="9" t="inlineStr">
        <is>
          <t>empresa</t>
        </is>
      </c>
      <c r="D401" s="9" t="n"/>
      <c r="E401" s="9" t="inlineStr">
        <is>
          <t>Grupo Mexico</t>
        </is>
      </c>
      <c r="F401" s="9" t="n"/>
      <c r="G401" s="9" t="n"/>
      <c r="H401" s="9" t="n"/>
      <c r="I401" s="9" t="n"/>
      <c r="J401" s="9" t="n">
        <v>500275</v>
      </c>
      <c r="K401" s="9" t="inlineStr">
        <is>
          <t>toneladas</t>
        </is>
      </c>
      <c r="L401" s="8" t="inlineStr">
        <is>
          <t>Informe CAMIMEX 2013</t>
        </is>
      </c>
      <c r="M401" s="9" t="n">
        <v>22</v>
      </c>
      <c r="N401" s="8" t="inlineStr">
        <is>
          <t>Principal productor; Buenavista record 326584 t (incl catodo EW); Penoles 37036 t; sin pct publicado</t>
        </is>
      </c>
      <c r="O401" s="11">
        <f>IF(AND(ISNUMBER(G401),ISNUMBER(J401),J401&lt;&gt;0,H401=K401),G401/J401*100,"")</f>
        <v/>
      </c>
      <c r="P401" s="11">
        <f>IF(AND(ISNUMBER(O401),ISNUMBER(I401)),ROUND(O401-I401,2),"")</f>
        <v/>
      </c>
    </row>
    <row r="402">
      <c r="A402" s="6" t="inlineStr">
        <is>
          <t>Zinc</t>
        </is>
      </c>
      <c r="B402" s="6" t="n">
        <v>2012</v>
      </c>
      <c r="C402" s="6" t="inlineStr">
        <is>
          <t>empresa</t>
        </is>
      </c>
      <c r="D402" s="6" t="n"/>
      <c r="E402" s="6" t="inlineStr">
        <is>
          <t>Industrias Penoles</t>
        </is>
      </c>
      <c r="F402" s="6" t="n"/>
      <c r="G402" s="6" t="n">
        <v>157257</v>
      </c>
      <c r="H402" s="6" t="inlineStr">
        <is>
          <t>toneladas</t>
        </is>
      </c>
      <c r="I402" s="6" t="n">
        <v>23.8</v>
      </c>
      <c r="J402" s="6" t="n">
        <v>660349</v>
      </c>
      <c r="K402" s="6" t="inlineStr">
        <is>
          <t>toneladas</t>
        </is>
      </c>
      <c r="L402" s="5" t="inlineStr">
        <is>
          <t>Informe CAMIMEX 2013</t>
        </is>
      </c>
      <c r="M402" s="6" t="n">
        <v>152</v>
      </c>
      <c r="N402" s="5" t="inlineStr">
        <is>
          <t>Pie por compania: Penoles 23.8 Goldcorp 22.3 GMexico 19.9 Frisco 10.6 Nyrstar 6.0 Fresnillo 3.8 Otros</t>
        </is>
      </c>
      <c r="O402" s="11">
        <f>IF(AND(ISNUMBER(G402),ISNUMBER(J402),J402&lt;&gt;0,H402=K402),G402/J402*100,"")</f>
        <v/>
      </c>
      <c r="P402" s="11">
        <f>IF(AND(ISNUMBER(O402),ISNUMBER(I402)),ROUND(O402-I402,2),"")</f>
        <v/>
      </c>
    </row>
    <row r="403">
      <c r="A403" s="9" t="inlineStr">
        <is>
          <t>Plomo</t>
        </is>
      </c>
      <c r="B403" s="9" t="n">
        <v>2012</v>
      </c>
      <c r="C403" s="9" t="inlineStr">
        <is>
          <t>empresa</t>
        </is>
      </c>
      <c r="D403" s="9" t="n"/>
      <c r="E403" s="9" t="inlineStr">
        <is>
          <t>Goldcorp</t>
        </is>
      </c>
      <c r="F403" s="9" t="n"/>
      <c r="G403" s="9" t="n"/>
      <c r="H403" s="9" t="n"/>
      <c r="I403" s="9" t="n">
        <v>29.3</v>
      </c>
      <c r="J403" s="9" t="n">
        <v>238091</v>
      </c>
      <c r="K403" s="9" t="inlineStr">
        <is>
          <t>toneladas</t>
        </is>
      </c>
      <c r="L403" s="8" t="inlineStr">
        <is>
          <t>Informe CAMIMEX 2013</t>
        </is>
      </c>
      <c r="M403" s="9" t="n">
        <v>163</v>
      </c>
      <c r="N403" s="8" t="inlineStr">
        <is>
          <t>Pie por compania: Goldcorp 29.3 Penoles 18.1 Fresnillo 10.3 GMexico 9.3 Frisco 8.4; top-5 ~75pct; total derivado de Informe 2014 (253361-15270)</t>
        </is>
      </c>
      <c r="O403" s="11">
        <f>IF(AND(ISNUMBER(G403),ISNUMBER(J403),J403&lt;&gt;0,H403=K403),G403/J403*100,"")</f>
        <v/>
      </c>
      <c r="P403" s="11">
        <f>IF(AND(ISNUMBER(O403),ISNUMBER(I403)),ROUND(O403-I403,2),"")</f>
        <v/>
      </c>
    </row>
    <row r="404">
      <c r="A404" s="6" t="inlineStr">
        <is>
          <t>Manganeso</t>
        </is>
      </c>
      <c r="B404" s="6" t="n">
        <v>2012</v>
      </c>
      <c r="C404" s="6" t="inlineStr">
        <is>
          <t>empresa</t>
        </is>
      </c>
      <c r="D404" s="6" t="n"/>
      <c r="E404" s="6" t="inlineStr">
        <is>
          <t>Compania Minera Autlan</t>
        </is>
      </c>
      <c r="F404" s="6" t="n"/>
      <c r="G404" s="6" t="n"/>
      <c r="H404" s="6" t="inlineStr">
        <is>
          <t>toneladas</t>
        </is>
      </c>
      <c r="I404" s="6" t="n">
        <v>100</v>
      </c>
      <c r="J404" s="6" t="n">
        <v>188294</v>
      </c>
      <c r="K404" s="6" t="inlineStr">
        <is>
          <t>toneladas</t>
        </is>
      </c>
      <c r="L404" s="5" t="inlineStr">
        <is>
          <t>Informe CAMIMEX + INEGI B3</t>
        </is>
      </c>
      <c r="M404" s="6" t="n"/>
      <c r="N404" s="5" t="inlineStr">
        <is>
          <t>Productor unico nacional (monopolio 1993-2025)</t>
        </is>
      </c>
      <c r="O404" s="11">
        <f>IF(AND(ISNUMBER(G404),ISNUMBER(J404),J404&lt;&gt;0,H404=K404),G404/J404*100,"")</f>
        <v/>
      </c>
      <c r="P404" s="11">
        <f>IF(AND(ISNUMBER(O404),ISNUMBER(I404)),ROUND(O404-I404,2),"")</f>
        <v/>
      </c>
    </row>
    <row r="405">
      <c r="A405" s="9" t="inlineStr">
        <is>
          <t>Barita</t>
        </is>
      </c>
      <c r="B405" s="9" t="n">
        <v>2012</v>
      </c>
      <c r="C405" s="9" t="inlineStr">
        <is>
          <t>empresa</t>
        </is>
      </c>
      <c r="D405" s="9" t="n"/>
      <c r="E405" s="9" t="inlineStr">
        <is>
          <t>Baramin</t>
        </is>
      </c>
      <c r="F405" s="9" t="n"/>
      <c r="G405" s="9" t="n">
        <v>185000</v>
      </c>
      <c r="H405" s="9" t="inlineStr">
        <is>
          <t>toneladas</t>
        </is>
      </c>
      <c r="I405" s="9" t="n">
        <v>100</v>
      </c>
      <c r="J405" s="9" t="n">
        <v>139997</v>
      </c>
      <c r="K405" s="9" t="inlineStr">
        <is>
          <t>toneladas</t>
        </is>
      </c>
      <c r="L405" s="8" t="inlineStr">
        <is>
          <t>Informe CAMIMEX 2013</t>
        </is>
      </c>
      <c r="M405" s="9" t="n">
        <v>36</v>
      </c>
      <c r="N405" s="8" t="inlineStr">
        <is>
          <t>Baramin (mina La Huiche) 185 mil t (+91pct vs 2011) &gt; total INEGI 139997 (discrepancia); ~100pct</t>
        </is>
      </c>
      <c r="O405" s="11">
        <f>IF(AND(ISNUMBER(G405),ISNUMBER(J405),J405&lt;&gt;0,H405=K405),G405/J405*100,"")</f>
        <v/>
      </c>
      <c r="P405" s="11">
        <f>IF(AND(ISNUMBER(O405),ISNUMBER(I405)),ROUND(O405-I405,2),"")</f>
        <v/>
      </c>
    </row>
    <row r="406">
      <c r="A406" s="6" t="inlineStr">
        <is>
          <t>Fluorita</t>
        </is>
      </c>
      <c r="B406" s="6" t="n">
        <v>2012</v>
      </c>
      <c r="C406" s="6" t="inlineStr">
        <is>
          <t>empresa</t>
        </is>
      </c>
      <c r="D406" s="6" t="n"/>
      <c r="E406" s="6" t="inlineStr">
        <is>
          <t>Koura (Mexichem)</t>
        </is>
      </c>
      <c r="F406" s="6" t="n"/>
      <c r="G406" s="6" t="n">
        <v>1460000</v>
      </c>
      <c r="H406" s="6" t="inlineStr">
        <is>
          <t>toneladas</t>
        </is>
      </c>
      <c r="I406" s="6" t="n">
        <v>100</v>
      </c>
      <c r="J406" s="6" t="n">
        <v>1237091</v>
      </c>
      <c r="K406" s="6" t="inlineStr">
        <is>
          <t>toneladas</t>
        </is>
      </c>
      <c r="L406" s="5" t="inlineStr">
        <is>
          <t>Informe CAMIMEX 2013</t>
        </is>
      </c>
      <c r="M406" s="6" t="n">
        <v>37</v>
      </c>
      <c r="N406" s="5" t="inlineStr">
        <is>
          <t>Mexichem mayor productor: 1.46Mt de sus tres unidades (SLP Gto Coah) &gt; total INEGI 1.24Mt; monopolio de GRUPO desde enero 2012 por adquisicion de Fluorita de Mexico (Grupo Alfil) por Mexichem; confirmado por CAMIMEX Informe 2013 y USGS MYB 2012</t>
        </is>
      </c>
      <c r="O406" s="11">
        <f>IF(AND(ISNUMBER(G406),ISNUMBER(J406),J406&lt;&gt;0,H406=K406),G406/J406*100,"")</f>
        <v/>
      </c>
      <c r="P406" s="11">
        <f>IF(AND(ISNUMBER(O406),ISNUMBER(I406)),ROUND(O406-I406,2),"")</f>
        <v/>
      </c>
    </row>
    <row r="407">
      <c r="A407" s="9" t="inlineStr">
        <is>
          <t>Silice</t>
        </is>
      </c>
      <c r="B407" s="9" t="n">
        <v>2012</v>
      </c>
      <c r="C407" s="9" t="inlineStr">
        <is>
          <t>empresa</t>
        </is>
      </c>
      <c r="D407" s="9" t="n"/>
      <c r="E407" s="9" t="inlineStr">
        <is>
          <t>Grupo Materias Primas</t>
        </is>
      </c>
      <c r="F407" s="9" t="n"/>
      <c r="G407" s="9" t="n">
        <v>1930000</v>
      </c>
      <c r="H407" s="9" t="inlineStr">
        <is>
          <t>toneladas</t>
        </is>
      </c>
      <c r="I407" s="9" t="n">
        <v>53.7</v>
      </c>
      <c r="J407" s="9" t="n">
        <v>3592813</v>
      </c>
      <c r="K407" s="9" t="inlineStr">
        <is>
          <t>toneladas</t>
        </is>
      </c>
      <c r="L407" s="8" t="inlineStr">
        <is>
          <t>Informe CAMIMEX 2013</t>
        </is>
      </c>
      <c r="M407" s="9" t="n"/>
      <c r="N407" s="8" t="inlineStr">
        <is>
          <t>GMP principal productor; ventas 1.93Mt de 3592813 INEGI = 53.7pct</t>
        </is>
      </c>
      <c r="O407" s="11">
        <f>IF(AND(ISNUMBER(G407),ISNUMBER(J407),J407&lt;&gt;0,H407=K407),G407/J407*100,"")</f>
        <v/>
      </c>
      <c r="P407" s="11">
        <f>IF(AND(ISNUMBER(O407),ISNUMBER(I407)),ROUND(O407-I407,2),"")</f>
        <v/>
      </c>
    </row>
    <row r="408">
      <c r="A408" s="6" t="inlineStr">
        <is>
          <t>Grafito</t>
        </is>
      </c>
      <c r="B408" s="6" t="n">
        <v>2012</v>
      </c>
      <c r="C408" s="6" t="inlineStr">
        <is>
          <t>empresa</t>
        </is>
      </c>
      <c r="D408" s="6" t="n"/>
      <c r="E408" s="6" t="inlineStr">
        <is>
          <t>ninguno</t>
        </is>
      </c>
      <c r="F408" s="6" t="n"/>
      <c r="G408" s="6" t="n"/>
      <c r="H408" s="6" t="inlineStr">
        <is>
          <t>toneladas</t>
        </is>
      </c>
      <c r="I408" s="6" t="n"/>
      <c r="J408" s="6" t="n">
        <v>7520</v>
      </c>
      <c r="K408" s="6" t="inlineStr">
        <is>
          <t>toneladas</t>
        </is>
      </c>
      <c r="L408" s="5" t="inlineStr">
        <is>
          <t>CAMIMEX no desglosa</t>
        </is>
      </c>
      <c r="M408" s="6" t="n"/>
      <c r="N408" s="5" t="inlineStr">
        <is>
          <t>Caso de contraste; atomizado; total INEGI B3</t>
        </is>
      </c>
      <c r="O408" s="11">
        <f>IF(AND(ISNUMBER(G408),ISNUMBER(J408),J408&lt;&gt;0,H408=K408),G408/J408*100,"")</f>
        <v/>
      </c>
      <c r="P408" s="11">
        <f>IF(AND(ISNUMBER(O408),ISNUMBER(I408)),ROUND(O408-I408,2),"")</f>
        <v/>
      </c>
    </row>
    <row r="409">
      <c r="A409" s="9" t="inlineStr">
        <is>
          <t>Oro</t>
        </is>
      </c>
      <c r="B409" s="9" t="n">
        <v>2011</v>
      </c>
      <c r="C409" s="9" t="inlineStr">
        <is>
          <t>empresa</t>
        </is>
      </c>
      <c r="D409" s="9" t="n"/>
      <c r="E409" s="9" t="inlineStr">
        <is>
          <t>Goldcorp</t>
        </is>
      </c>
      <c r="F409" s="9" t="n"/>
      <c r="G409" s="9" t="n">
        <v>691.1</v>
      </c>
      <c r="H409" s="9" t="inlineStr">
        <is>
          <t>miles oz</t>
        </is>
      </c>
      <c r="I409" s="9" t="n">
        <v>24.3</v>
      </c>
      <c r="J409" s="9" t="n">
        <v>88.59999999999999</v>
      </c>
      <c r="K409" s="9" t="inlineStr">
        <is>
          <t>toneladas</t>
        </is>
      </c>
      <c r="L409" s="8" t="inlineStr">
        <is>
          <t>Informe CAMIMEX 2012</t>
        </is>
      </c>
      <c r="M409" s="9" t="n"/>
      <c r="N409" s="8" t="inlineStr">
        <is>
          <t>Mayor productor: 691100 oz (21.5 t) en 3 unidades de 88.6 t INEGI = 24.3pct; Fresnillo 2do 448866 oz</t>
        </is>
      </c>
      <c r="O409" s="11">
        <f>IF(AND(ISNUMBER(G409),ISNUMBER(J409),J409&lt;&gt;0,H409=K409),G409/J409*100,"")</f>
        <v/>
      </c>
      <c r="P409" s="11">
        <f>IF(AND(ISNUMBER(O409),ISNUMBER(I409)),ROUND(O409-I409,2),"")</f>
        <v/>
      </c>
    </row>
    <row r="410">
      <c r="A410" s="6" t="inlineStr">
        <is>
          <t>Plata</t>
        </is>
      </c>
      <c r="B410" s="6" t="n">
        <v>2011</v>
      </c>
      <c r="C410" s="6" t="inlineStr">
        <is>
          <t>empresa</t>
        </is>
      </c>
      <c r="D410" s="6" t="n"/>
      <c r="E410" s="6" t="inlineStr">
        <is>
          <t>Fresnillo plc</t>
        </is>
      </c>
      <c r="F410" s="6" t="n"/>
      <c r="G410" s="6" t="n">
        <v>37.9</v>
      </c>
      <c r="H410" s="6" t="inlineStr">
        <is>
          <t>millones oz</t>
        </is>
      </c>
      <c r="I410" s="6" t="n">
        <v>24.7</v>
      </c>
      <c r="J410" s="6" t="n">
        <v>153.6</v>
      </c>
      <c r="K410" s="6" t="inlineStr">
        <is>
          <t>millones oz</t>
        </is>
      </c>
      <c r="L410" s="5" t="inlineStr">
        <is>
          <t>Informe CAMIMEX 2012</t>
        </is>
      </c>
      <c r="M410" s="6" t="n"/>
      <c r="N410" s="5" t="inlineStr">
        <is>
          <t>Mayor productora primaria mundial: 37.9 Moz (1180 t) de 4778 t INEGI = 24.7pct; Goldcorp 2do 19 Moz; Penoles 12.18</t>
        </is>
      </c>
      <c r="O410" s="11">
        <f>IF(AND(ISNUMBER(G410),ISNUMBER(J410),J410&lt;&gt;0,H410=K410),G410/J410*100,"")</f>
        <v/>
      </c>
      <c r="P410" s="11">
        <f>IF(AND(ISNUMBER(O410),ISNUMBER(I410)),ROUND(O410-I410,2),"")</f>
        <v/>
      </c>
    </row>
    <row r="411">
      <c r="A411" s="9" t="inlineStr">
        <is>
          <t>Cobre</t>
        </is>
      </c>
      <c r="B411" s="9" t="n">
        <v>2011</v>
      </c>
      <c r="C411" s="9" t="inlineStr">
        <is>
          <t>empresa</t>
        </is>
      </c>
      <c r="D411" s="9" t="n"/>
      <c r="E411" s="9" t="inlineStr">
        <is>
          <t>Grupo Mexico</t>
        </is>
      </c>
      <c r="F411" s="9" t="n"/>
      <c r="G411" s="9" t="n"/>
      <c r="H411" s="9" t="n"/>
      <c r="I411" s="9" t="n">
        <v>66</v>
      </c>
      <c r="J411" s="9" t="n">
        <v>443621</v>
      </c>
      <c r="K411" s="9" t="inlineStr">
        <is>
          <t>toneladas</t>
        </is>
      </c>
      <c r="L411" s="8" t="inlineStr">
        <is>
          <t>Informe CAMIMEX 2012</t>
        </is>
      </c>
      <c r="M411" s="9" t="n"/>
      <c r="N411" s="8" t="inlineStr">
        <is>
          <t>GMexico aporta 66pct del total nacional (publicado); Buenavista 172489 + La Caridad 113632; Penoles 40291 t</t>
        </is>
      </c>
      <c r="O411" s="11">
        <f>IF(AND(ISNUMBER(G411),ISNUMBER(J411),J411&lt;&gt;0,H411=K411),G411/J411*100,"")</f>
        <v/>
      </c>
      <c r="P411" s="11">
        <f>IF(AND(ISNUMBER(O411),ISNUMBER(I411)),ROUND(O411-I411,2),"")</f>
        <v/>
      </c>
    </row>
    <row r="412">
      <c r="A412" s="6" t="inlineStr">
        <is>
          <t>Zinc</t>
        </is>
      </c>
      <c r="B412" s="6" t="n">
        <v>2011</v>
      </c>
      <c r="C412" s="6" t="inlineStr">
        <is>
          <t>empresa</t>
        </is>
      </c>
      <c r="D412" s="6" t="n"/>
      <c r="E412" s="6" t="inlineStr">
        <is>
          <t>Industrias Penoles</t>
        </is>
      </c>
      <c r="F412" s="6" t="n"/>
      <c r="G412" s="6" t="n">
        <v>159235</v>
      </c>
      <c r="H412" s="6" t="inlineStr">
        <is>
          <t>toneladas</t>
        </is>
      </c>
      <c r="I412" s="6" t="n">
        <v>25.2</v>
      </c>
      <c r="J412" s="6" t="n">
        <v>631859</v>
      </c>
      <c r="K412" s="6" t="inlineStr">
        <is>
          <t>toneladas</t>
        </is>
      </c>
      <c r="L412" s="5" t="inlineStr">
        <is>
          <t>Informe CAMIMEX 2012</t>
        </is>
      </c>
      <c r="M412" s="6" t="n"/>
      <c r="N412" s="5" t="inlineStr">
        <is>
          <t>Penoles 159235 t (5 unidades) de 631859 INEGI = 25.2pct; Penasquito mayor unidad 130127; GMexico 83807; Frisco 82135</t>
        </is>
      </c>
      <c r="O412" s="11">
        <f>IF(AND(ISNUMBER(G412),ISNUMBER(J412),J412&lt;&gt;0,H412=K412),G412/J412*100,"")</f>
        <v/>
      </c>
      <c r="P412" s="11">
        <f>IF(AND(ISNUMBER(O412),ISNUMBER(I412)),ROUND(O412-I412,2),"")</f>
        <v/>
      </c>
    </row>
    <row r="413">
      <c r="A413" s="9" t="inlineStr">
        <is>
          <t>Plomo</t>
        </is>
      </c>
      <c r="B413" s="9" t="n">
        <v>2011</v>
      </c>
      <c r="C413" s="9" t="inlineStr">
        <is>
          <t>empresa</t>
        </is>
      </c>
      <c r="D413" s="9" t="n"/>
      <c r="E413" s="9" t="inlineStr">
        <is>
          <t>Goldcorp</t>
        </is>
      </c>
      <c r="F413" s="9" t="n"/>
      <c r="G413" s="9" t="n">
        <v>70292</v>
      </c>
      <c r="H413" s="9" t="inlineStr">
        <is>
          <t>toneladas</t>
        </is>
      </c>
      <c r="I413" s="9" t="n">
        <v>31.4</v>
      </c>
      <c r="J413" s="9" t="n">
        <v>223717</v>
      </c>
      <c r="K413" s="9" t="inlineStr">
        <is>
          <t>toneladas</t>
        </is>
      </c>
      <c r="L413" s="8" t="inlineStr">
        <is>
          <t>Informe CAMIMEX 2012</t>
        </is>
      </c>
      <c r="M413" s="9" t="n">
        <v>15</v>
      </c>
      <c r="N413" s="8" t="inlineStr">
        <is>
          <t>Goldcorp mayor productor: Penasquito 70292 t de 223717 INEGI = 31.4pct; Penoles 41054 t</t>
        </is>
      </c>
      <c r="O413" s="11">
        <f>IF(AND(ISNUMBER(G413),ISNUMBER(J413),J413&lt;&gt;0,H413=K413),G413/J413*100,"")</f>
        <v/>
      </c>
      <c r="P413" s="11">
        <f>IF(AND(ISNUMBER(O413),ISNUMBER(I413)),ROUND(O413-I413,2),"")</f>
        <v/>
      </c>
    </row>
    <row r="414">
      <c r="A414" s="6" t="inlineStr">
        <is>
          <t>Manganeso</t>
        </is>
      </c>
      <c r="B414" s="6" t="n">
        <v>2011</v>
      </c>
      <c r="C414" s="6" t="inlineStr">
        <is>
          <t>empresa</t>
        </is>
      </c>
      <c r="D414" s="6" t="n"/>
      <c r="E414" s="6" t="inlineStr">
        <is>
          <t>Compania Minera Autlan</t>
        </is>
      </c>
      <c r="F414" s="6" t="n"/>
      <c r="G414" s="6" t="n"/>
      <c r="H414" s="6" t="inlineStr">
        <is>
          <t>toneladas</t>
        </is>
      </c>
      <c r="I414" s="6" t="n">
        <v>100</v>
      </c>
      <c r="J414" s="6" t="n">
        <v>170935</v>
      </c>
      <c r="K414" s="6" t="inlineStr">
        <is>
          <t>toneladas</t>
        </is>
      </c>
      <c r="L414" s="5" t="inlineStr">
        <is>
          <t>Informe CAMIMEX + INEGI B3</t>
        </is>
      </c>
      <c r="M414" s="6" t="n"/>
      <c r="N414" s="5" t="inlineStr">
        <is>
          <t>Productor unico nacional (monopolio 1993-2025)</t>
        </is>
      </c>
      <c r="O414" s="11">
        <f>IF(AND(ISNUMBER(G414),ISNUMBER(J414),J414&lt;&gt;0,H414=K414),G414/J414*100,"")</f>
        <v/>
      </c>
      <c r="P414" s="11">
        <f>IF(AND(ISNUMBER(O414),ISNUMBER(I414)),ROUND(O414-I414,2),"")</f>
        <v/>
      </c>
    </row>
    <row r="415">
      <c r="A415" s="9" t="inlineStr">
        <is>
          <t>Barita</t>
        </is>
      </c>
      <c r="B415" s="9" t="n">
        <v>2011</v>
      </c>
      <c r="C415" s="9" t="inlineStr">
        <is>
          <t>empresa</t>
        </is>
      </c>
      <c r="D415" s="9" t="n"/>
      <c r="E415" s="9" t="inlineStr">
        <is>
          <t>Baramin</t>
        </is>
      </c>
      <c r="F415" s="9" t="n"/>
      <c r="G415" s="9" t="n">
        <v>96562</v>
      </c>
      <c r="H415" s="9" t="inlineStr">
        <is>
          <t>toneladas</t>
        </is>
      </c>
      <c r="I415" s="9" t="n">
        <v>71.7</v>
      </c>
      <c r="J415" s="9" t="n">
        <v>134727</v>
      </c>
      <c r="K415" s="9" t="inlineStr">
        <is>
          <t>toneladas</t>
        </is>
      </c>
      <c r="L415" s="8" t="inlineStr">
        <is>
          <t>Informe CAMIMEX 2012</t>
        </is>
      </c>
      <c r="M415" s="9" t="n"/>
      <c r="N415" s="8" t="inlineStr">
        <is>
          <t>Baramin 96562 t (-1.7pct vs 2010) de 134727 INEGI = 71.7pct; 5460 t a exportacion</t>
        </is>
      </c>
      <c r="O415" s="11">
        <f>IF(AND(ISNUMBER(G415),ISNUMBER(J415),J415&lt;&gt;0,H415=K415),G415/J415*100,"")</f>
        <v/>
      </c>
      <c r="P415" s="11">
        <f>IF(AND(ISNUMBER(O415),ISNUMBER(I415)),ROUND(O415-I415,2),"")</f>
        <v/>
      </c>
    </row>
    <row r="416">
      <c r="A416" s="6" t="inlineStr">
        <is>
          <t>Fluorita</t>
        </is>
      </c>
      <c r="B416" s="6" t="n">
        <v>2011</v>
      </c>
      <c r="C416" s="6" t="inlineStr">
        <is>
          <t>empresa</t>
        </is>
      </c>
      <c r="D416" s="6" t="n"/>
      <c r="E416" s="6" t="inlineStr">
        <is>
          <t>Cia. Minera Las Cuevas (Mexichem)</t>
        </is>
      </c>
      <c r="F416" s="6" t="inlineStr">
        <is>
          <t>San Luis Potosi</t>
        </is>
      </c>
      <c r="G416" s="6" t="n">
        <v>981127</v>
      </c>
      <c r="H416" s="6" t="inlineStr">
        <is>
          <t>toneladas</t>
        </is>
      </c>
      <c r="I416" s="6" t="n">
        <v>77.61</v>
      </c>
      <c r="J416" s="6" t="n">
        <v>1206907</v>
      </c>
      <c r="K416" s="6" t="inlineStr">
        <is>
          <t>toneladas</t>
        </is>
      </c>
      <c r="L416" s="5" t="inlineStr">
        <is>
          <t>Informe CAMIMEX 2012</t>
        </is>
      </c>
      <c r="M416" s="6" t="n">
        <v>148</v>
      </c>
      <c r="N416" s="5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'Mexichem mayor productora; record 1264144 t &gt; total INEGI 1206907; monopolio de facto; 70pct a exportacion'</t>
        </is>
      </c>
      <c r="O416" s="11">
        <f>IF(AND(ISNUMBER(G416),ISNUMBER(J416),J416&lt;&gt;0,H416=K416),G416/J416*100,"")</f>
        <v/>
      </c>
      <c r="P416" s="11">
        <f>IF(AND(ISNUMBER(O416),ISNUMBER(I416)),ROUND(O416-I416,2),"")</f>
        <v/>
      </c>
    </row>
    <row r="417">
      <c r="A417" s="9" t="inlineStr">
        <is>
          <t>Fluorita</t>
        </is>
      </c>
      <c r="B417" s="9" t="n">
        <v>2011</v>
      </c>
      <c r="C417" s="9" t="inlineStr">
        <is>
          <t>empresa</t>
        </is>
      </c>
      <c r="D417" s="9" t="n"/>
      <c r="E417" s="9" t="inlineStr">
        <is>
          <t>Fluorita de Mexico (Corp. Alfil 51% / Applied Industrial Minerals 49%)</t>
        </is>
      </c>
      <c r="F417" s="9" t="inlineStr">
        <is>
          <t>Coahuila</t>
        </is>
      </c>
      <c r="G417" s="9" t="n">
        <v>283017</v>
      </c>
      <c r="H417" s="9" t="inlineStr">
        <is>
          <t>toneladas</t>
        </is>
      </c>
      <c r="I417" s="9" t="n">
        <v>22.39</v>
      </c>
      <c r="J417" s="9" t="n">
        <v>1206907</v>
      </c>
      <c r="K417" s="9" t="inlineStr">
        <is>
          <t>toneladas</t>
        </is>
      </c>
      <c r="L417" s="8" t="inlineStr">
        <is>
          <t>Informe CAMIMEX 2012</t>
        </is>
      </c>
      <c r="M417" s="9" t="n">
        <v>148</v>
      </c>
      <c r="N417" s="8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'Mexichem mayor productora; record 1264144 t &gt; total INEGI 1206907; monopolio de facto; 70pct a exportacion'</t>
        </is>
      </c>
      <c r="O417" s="11">
        <f>IF(AND(ISNUMBER(G417),ISNUMBER(J417),J417&lt;&gt;0,H417=K417),G417/J417*100,"")</f>
        <v/>
      </c>
      <c r="P417" s="11">
        <f>IF(AND(ISNUMBER(O417),ISNUMBER(I417)),ROUND(O417-I417,2),"")</f>
        <v/>
      </c>
    </row>
    <row r="418">
      <c r="A418" s="6" t="inlineStr">
        <is>
          <t>Silice</t>
        </is>
      </c>
      <c r="B418" s="6" t="n">
        <v>2011</v>
      </c>
      <c r="C418" s="6" t="inlineStr">
        <is>
          <t>empresa</t>
        </is>
      </c>
      <c r="D418" s="6" t="n"/>
      <c r="E418" s="6" t="inlineStr">
        <is>
          <t>Grupo Materias Primas</t>
        </is>
      </c>
      <c r="F418" s="6" t="n"/>
      <c r="G418" s="6" t="n">
        <v>1840000</v>
      </c>
      <c r="H418" s="6" t="inlineStr">
        <is>
          <t>toneladas</t>
        </is>
      </c>
      <c r="I418" s="6" t="n">
        <v>72.40000000000001</v>
      </c>
      <c r="J418" s="6" t="n">
        <v>2542143</v>
      </c>
      <c r="K418" s="6" t="inlineStr">
        <is>
          <t>toneladas</t>
        </is>
      </c>
      <c r="L418" s="5" t="inlineStr">
        <is>
          <t>Informe CAMIMEX 2012</t>
        </is>
      </c>
      <c r="M418" s="6" t="n"/>
      <c r="N418" s="5" t="inlineStr">
        <is>
          <t>GMP principal empresa productora: 1.84Mt (+6.5pct vs 2010) de 2542143 INEGI = 72.4pct</t>
        </is>
      </c>
      <c r="O418" s="11">
        <f>IF(AND(ISNUMBER(G418),ISNUMBER(J418),J418&lt;&gt;0,H418=K418),G418/J418*100,"")</f>
        <v/>
      </c>
      <c r="P418" s="11">
        <f>IF(AND(ISNUMBER(O418),ISNUMBER(I418)),ROUND(O418-I418,2),"")</f>
        <v/>
      </c>
    </row>
    <row r="419">
      <c r="A419" s="9" t="inlineStr">
        <is>
          <t>Grafito</t>
        </is>
      </c>
      <c r="B419" s="9" t="n">
        <v>2011</v>
      </c>
      <c r="C419" s="9" t="inlineStr">
        <is>
          <t>empresa</t>
        </is>
      </c>
      <c r="D419" s="9" t="n"/>
      <c r="E419" s="9" t="inlineStr">
        <is>
          <t>ninguno</t>
        </is>
      </c>
      <c r="F419" s="9" t="n"/>
      <c r="G419" s="9" t="n"/>
      <c r="H419" s="9" t="inlineStr">
        <is>
          <t>toneladas</t>
        </is>
      </c>
      <c r="I419" s="9" t="n"/>
      <c r="J419" s="9" t="n">
        <v>7348</v>
      </c>
      <c r="K419" s="9" t="inlineStr">
        <is>
          <t>toneladas</t>
        </is>
      </c>
      <c r="L419" s="8" t="inlineStr">
        <is>
          <t>CAMIMEX no desglosa</t>
        </is>
      </c>
      <c r="M419" s="9" t="n"/>
      <c r="N419" s="8" t="inlineStr">
        <is>
          <t>Caso de contraste; atomizado; total INEGI B3</t>
        </is>
      </c>
      <c r="O419" s="11">
        <f>IF(AND(ISNUMBER(G419),ISNUMBER(J419),J419&lt;&gt;0,H419=K419),G419/J419*100,"")</f>
        <v/>
      </c>
      <c r="P419" s="11">
        <f>IF(AND(ISNUMBER(O419),ISNUMBER(I419)),ROUND(O419-I419,2),"")</f>
        <v/>
      </c>
    </row>
    <row r="420">
      <c r="A420" s="6" t="inlineStr">
        <is>
          <t>Oro</t>
        </is>
      </c>
      <c r="B420" s="6" t="n">
        <v>2010</v>
      </c>
      <c r="C420" s="6" t="inlineStr">
        <is>
          <t>empresa</t>
        </is>
      </c>
      <c r="D420" s="6" t="n"/>
      <c r="E420" s="6" t="inlineStr">
        <is>
          <t>Goldcorp</t>
        </is>
      </c>
      <c r="F420" s="6" t="n"/>
      <c r="G420" s="6" t="n">
        <v>679.7</v>
      </c>
      <c r="H420" s="6" t="inlineStr">
        <is>
          <t>miles oz</t>
        </is>
      </c>
      <c r="I420" s="6" t="n">
        <v>26.6</v>
      </c>
      <c r="J420" s="6" t="n">
        <v>79.40000000000001</v>
      </c>
      <c r="K420" s="6" t="inlineStr">
        <is>
          <t>toneladas</t>
        </is>
      </c>
      <c r="L420" s="5" t="inlineStr">
        <is>
          <t>Informe CAMIMEX 2011</t>
        </is>
      </c>
      <c r="M420" s="6" t="n">
        <v>12</v>
      </c>
      <c r="N420" s="5" t="inlineStr">
        <is>
          <t>Mayor productora; 679.7 mil oz (21.1 t) de 79.4 t mineras INEGI = 26.6pct calculado; Fresnillo 2do; Los Filos mayor mina</t>
        </is>
      </c>
      <c r="O420" s="11">
        <f>IF(AND(ISNUMBER(G420),ISNUMBER(J420),J420&lt;&gt;0,H420=K420),G420/J420*100,"")</f>
        <v/>
      </c>
      <c r="P420" s="11">
        <f>IF(AND(ISNUMBER(O420),ISNUMBER(I420)),ROUND(O420-I420,2),"")</f>
        <v/>
      </c>
    </row>
    <row r="421">
      <c r="A421" s="9" t="inlineStr">
        <is>
          <t>Plata</t>
        </is>
      </c>
      <c r="B421" s="9" t="n">
        <v>2010</v>
      </c>
      <c r="C421" s="9" t="inlineStr">
        <is>
          <t>empresa</t>
        </is>
      </c>
      <c r="D421" s="9" t="n"/>
      <c r="E421" s="9" t="inlineStr">
        <is>
          <t>Fresnillo plc</t>
        </is>
      </c>
      <c r="F421" s="9" t="n"/>
      <c r="G421" s="9" t="n">
        <v>35.9</v>
      </c>
      <c r="H421" s="9" t="inlineStr">
        <is>
          <t>millones oz</t>
        </is>
      </c>
      <c r="I421" s="9" t="n">
        <v>25.3</v>
      </c>
      <c r="J421" s="9" t="n">
        <v>141.8</v>
      </c>
      <c r="K421" s="9" t="inlineStr">
        <is>
          <t>millones oz</t>
        </is>
      </c>
      <c r="L421" s="8" t="inlineStr">
        <is>
          <t>Informe CAMIMEX 2011</t>
        </is>
      </c>
      <c r="M421" s="9" t="n"/>
      <c r="N421" s="8" t="inlineStr">
        <is>
          <t>BASE MINERA (decision 2026-07-20): mina Fresnillo 35.9 Moz de 141.8 Moz mineras = 25.3pct; CAMIMEX publico 28pct (base propia ~128 Moz no identificada); Penasquito 2do 13.9 Moz; Penoles 10.6 Moz</t>
        </is>
      </c>
      <c r="O421" s="11">
        <f>IF(AND(ISNUMBER(G421),ISNUMBER(J421),J421&lt;&gt;0,H421=K421),G421/J421*100,"")</f>
        <v/>
      </c>
      <c r="P421" s="11">
        <f>IF(AND(ISNUMBER(O421),ISNUMBER(I421)),ROUND(O421-I421,2),"")</f>
        <v/>
      </c>
    </row>
    <row r="422">
      <c r="A422" s="6" t="inlineStr">
        <is>
          <t>Cobre</t>
        </is>
      </c>
      <c r="B422" s="6" t="n">
        <v>2010</v>
      </c>
      <c r="C422" s="6" t="inlineStr">
        <is>
          <t>empresa</t>
        </is>
      </c>
      <c r="D422" s="6" t="n"/>
      <c r="E422" s="6" t="inlineStr">
        <is>
          <t>Grupo Mexico</t>
        </is>
      </c>
      <c r="F422" s="6" t="n"/>
      <c r="G422" s="6" t="n">
        <v>138430</v>
      </c>
      <c r="H422" s="6" t="inlineStr">
        <is>
          <t>toneladas</t>
        </is>
      </c>
      <c r="I422" s="6" t="n">
        <v>51.2</v>
      </c>
      <c r="J422" s="6" t="n">
        <v>270136</v>
      </c>
      <c r="K422" s="6" t="inlineStr">
        <is>
          <t>toneladas</t>
        </is>
      </c>
      <c r="L422" s="5" t="inlineStr">
        <is>
          <t>Informe CAMIMEX 2011</t>
        </is>
      </c>
      <c r="M422" s="6" t="n"/>
      <c r="N422" s="5" t="inlineStr">
        <is>
          <t>La Caridad mayor mina 117734 t + Buenavista 20696 (reabierta jun-2010 tras huelga 35 meses) = 138430 de 270136 mineras INEGI = 51.2pct; Penoles Milpillas 21768</t>
        </is>
      </c>
      <c r="O422" s="11">
        <f>IF(AND(ISNUMBER(G422),ISNUMBER(J422),J422&lt;&gt;0,H422=K422),G422/J422*100,"")</f>
        <v/>
      </c>
      <c r="P422" s="11">
        <f>IF(AND(ISNUMBER(O422),ISNUMBER(I422)),ROUND(O422-I422,2),"")</f>
        <v/>
      </c>
    </row>
    <row r="423">
      <c r="A423" s="9" t="inlineStr">
        <is>
          <t>Zinc</t>
        </is>
      </c>
      <c r="B423" s="9" t="n">
        <v>2010</v>
      </c>
      <c r="C423" s="9" t="inlineStr">
        <is>
          <t>empresa</t>
        </is>
      </c>
      <c r="D423" s="9" t="n"/>
      <c r="E423" s="9" t="inlineStr">
        <is>
          <t>Industrias Penoles</t>
        </is>
      </c>
      <c r="F423" s="9" t="n"/>
      <c r="G423" s="9" t="n">
        <v>158700</v>
      </c>
      <c r="H423" s="9" t="inlineStr">
        <is>
          <t>toneladas</t>
        </is>
      </c>
      <c r="I423" s="9" t="n">
        <v>27.8</v>
      </c>
      <c r="J423" s="9" t="n">
        <v>570000</v>
      </c>
      <c r="K423" s="9" t="inlineStr">
        <is>
          <t>toneladas</t>
        </is>
      </c>
      <c r="L423" s="8" t="inlineStr">
        <is>
          <t>Informe CAMIMEX 2011</t>
        </is>
      </c>
      <c r="M423" s="9" t="n"/>
      <c r="N423" s="8" t="inlineStr">
        <is>
          <t>Penoles mayor productora: 158700 t (5 unidades) de 570 mil t mineras INEGI = 27.8pct; Penasquito mayor unidad 65332; Frisco 4ta 91571</t>
        </is>
      </c>
      <c r="O423" s="11">
        <f>IF(AND(ISNUMBER(G423),ISNUMBER(J423),J423&lt;&gt;0,H423=K423),G423/J423*100,"")</f>
        <v/>
      </c>
      <c r="P423" s="11">
        <f>IF(AND(ISNUMBER(O423),ISNUMBER(I423)),ROUND(O423-I423,2),"")</f>
        <v/>
      </c>
    </row>
    <row r="424">
      <c r="A424" s="6" t="inlineStr">
        <is>
          <t>Plomo</t>
        </is>
      </c>
      <c r="B424" s="6" t="n">
        <v>2010</v>
      </c>
      <c r="C424" s="6" t="inlineStr">
        <is>
          <t>empresa</t>
        </is>
      </c>
      <c r="D424" s="6" t="n"/>
      <c r="E424" s="6" t="inlineStr">
        <is>
          <t>Goldcorp</t>
        </is>
      </c>
      <c r="F424" s="6" t="n"/>
      <c r="G424" s="6" t="n">
        <v>43904</v>
      </c>
      <c r="H424" s="6" t="inlineStr">
        <is>
          <t>toneladas</t>
        </is>
      </c>
      <c r="I424" s="6" t="n">
        <v>22.9</v>
      </c>
      <c r="J424" s="6" t="n">
        <v>192062</v>
      </c>
      <c r="K424" s="6" t="inlineStr">
        <is>
          <t>toneladas</t>
        </is>
      </c>
      <c r="L424" s="5" t="inlineStr">
        <is>
          <t>Informe CAMIMEX 2011</t>
        </is>
      </c>
      <c r="M424" s="6" t="n"/>
      <c r="N424" s="5" t="inlineStr">
        <is>
          <t>Penasquito mayor productor 43904 t de 192062 INEGI = 22.9pct; Penoles empresa casi empatada 43080 t</t>
        </is>
      </c>
      <c r="O424" s="11">
        <f>IF(AND(ISNUMBER(G424),ISNUMBER(J424),J424&lt;&gt;0,H424=K424),G424/J424*100,"")</f>
        <v/>
      </c>
      <c r="P424" s="11">
        <f>IF(AND(ISNUMBER(O424),ISNUMBER(I424)),ROUND(O424-I424,2),"")</f>
        <v/>
      </c>
    </row>
    <row r="425">
      <c r="A425" s="9" t="inlineStr">
        <is>
          <t>Manganeso</t>
        </is>
      </c>
      <c r="B425" s="9" t="n">
        <v>2010</v>
      </c>
      <c r="C425" s="9" t="inlineStr">
        <is>
          <t>empresa</t>
        </is>
      </c>
      <c r="D425" s="9" t="n"/>
      <c r="E425" s="9" t="inlineStr">
        <is>
          <t>Compania Minera Autlan</t>
        </is>
      </c>
      <c r="F425" s="9" t="n"/>
      <c r="G425" s="9" t="n"/>
      <c r="H425" s="9" t="inlineStr">
        <is>
          <t>toneladas</t>
        </is>
      </c>
      <c r="I425" s="9" t="n">
        <v>100</v>
      </c>
      <c r="J425" s="9" t="n">
        <v>174761</v>
      </c>
      <c r="K425" s="9" t="inlineStr">
        <is>
          <t>toneladas</t>
        </is>
      </c>
      <c r="L425" s="8" t="inlineStr">
        <is>
          <t>Informe CAMIMEX + INEGI B3</t>
        </is>
      </c>
      <c r="M425" s="9" t="n"/>
      <c r="N425" s="8" t="inlineStr">
        <is>
          <t>Productor unico nacional (monopolio 1993-2025)</t>
        </is>
      </c>
      <c r="O425" s="11">
        <f>IF(AND(ISNUMBER(G425),ISNUMBER(J425),J425&lt;&gt;0,H425=K425),G425/J425*100,"")</f>
        <v/>
      </c>
      <c r="P425" s="11">
        <f>IF(AND(ISNUMBER(O425),ISNUMBER(I425)),ROUND(O425-I425,2),"")</f>
        <v/>
      </c>
    </row>
    <row r="426">
      <c r="A426" s="6" t="inlineStr">
        <is>
          <t>Barita</t>
        </is>
      </c>
      <c r="B426" s="6" t="n">
        <v>2010</v>
      </c>
      <c r="C426" s="6" t="inlineStr">
        <is>
          <t>empresa</t>
        </is>
      </c>
      <c r="D426" s="6" t="n"/>
      <c r="E426" s="6" t="inlineStr">
        <is>
          <t>Baramin</t>
        </is>
      </c>
      <c r="F426" s="6" t="n"/>
      <c r="G426" s="6" t="n"/>
      <c r="H426" s="6" t="inlineStr">
        <is>
          <t>toneladas</t>
        </is>
      </c>
      <c r="I426" s="6" t="n"/>
      <c r="J426" s="6" t="n">
        <v>143225</v>
      </c>
      <c r="K426" s="6" t="inlineStr">
        <is>
          <t>toneladas</t>
        </is>
      </c>
      <c r="L426" s="5" t="inlineStr">
        <is>
          <t>Informe CAMIMEX 2011 + INEGI B3</t>
        </is>
      </c>
      <c r="M426" s="6" t="n"/>
      <c r="N426" s="5" t="inlineStr">
        <is>
          <t>Sin mencion de Baramin en Informe 2011; implicito ~98 mil t (Informe 2012: 96562 en 2011 = -1.7pct vs 2010) = ~68.6pct</t>
        </is>
      </c>
      <c r="O426" s="11">
        <f>IF(AND(ISNUMBER(G426),ISNUMBER(J426),J426&lt;&gt;0,H426=K426),G426/J426*100,"")</f>
        <v/>
      </c>
      <c r="P426" s="11">
        <f>IF(AND(ISNUMBER(O426),ISNUMBER(I426)),ROUND(O426-I426,2),"")</f>
        <v/>
      </c>
    </row>
    <row r="427">
      <c r="A427" s="9" t="inlineStr">
        <is>
          <t>Fluorita</t>
        </is>
      </c>
      <c r="B427" s="9" t="n">
        <v>2010</v>
      </c>
      <c r="C427" s="9" t="inlineStr">
        <is>
          <t>empresa</t>
        </is>
      </c>
      <c r="D427" s="9" t="n"/>
      <c r="E427" s="9" t="inlineStr">
        <is>
          <t>Cia. Minera Las Cuevas (Mexichem)</t>
        </is>
      </c>
      <c r="F427" s="9" t="inlineStr">
        <is>
          <t>San Luis Potosi</t>
        </is>
      </c>
      <c r="G427" s="9" t="n"/>
      <c r="H427" s="9" t="inlineStr">
        <is>
          <t>toneladas</t>
        </is>
      </c>
      <c r="I427" s="9" t="n">
        <v>77.61</v>
      </c>
      <c r="J427" s="9" t="n">
        <v>1067386</v>
      </c>
      <c r="K427" s="9" t="inlineStr">
        <is>
          <t>toneladas</t>
        </is>
      </c>
      <c r="L427" s="8" t="inlineStr">
        <is>
          <t>Informe CAMIMEX 2011 + INEGI B3</t>
        </is>
      </c>
      <c r="M427" s="9" t="n"/>
      <c r="N427" s="8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2011; Informe 2012: Mexichem record 2011 +27.6pct vs 2010 (implica ~991 mil t en 2010); monopolio de facto'</t>
        </is>
      </c>
      <c r="O427" s="11">
        <f>IF(AND(ISNUMBER(G427),ISNUMBER(J427),J427&lt;&gt;0,H427=K427),G427/J427*100,"")</f>
        <v/>
      </c>
      <c r="P427" s="11">
        <f>IF(AND(ISNUMBER(O427),ISNUMBER(I427)),ROUND(O427-I427,2),"")</f>
        <v/>
      </c>
    </row>
    <row r="428">
      <c r="A428" s="6" t="inlineStr">
        <is>
          <t>Fluorita</t>
        </is>
      </c>
      <c r="B428" s="6" t="n">
        <v>2010</v>
      </c>
      <c r="C428" s="6" t="inlineStr">
        <is>
          <t>empresa</t>
        </is>
      </c>
      <c r="D428" s="6" t="n"/>
      <c r="E428" s="6" t="inlineStr">
        <is>
          <t>Fluorita de Mexico (Corp. Alfil 51% / Applied Industrial Minerals 49%)</t>
        </is>
      </c>
      <c r="F428" s="6" t="inlineStr">
        <is>
          <t>Coahuila</t>
        </is>
      </c>
      <c r="G428" s="6" t="n"/>
      <c r="H428" s="6" t="inlineStr">
        <is>
          <t>toneladas</t>
        </is>
      </c>
      <c r="I428" s="6" t="n">
        <v>22.39</v>
      </c>
      <c r="J428" s="6" t="n">
        <v>1067386</v>
      </c>
      <c r="K428" s="6" t="inlineStr">
        <is>
          <t>toneladas</t>
        </is>
      </c>
      <c r="L428" s="5" t="inlineStr">
        <is>
          <t>Informe CAMIMEX 2011 + INEGI B3</t>
        </is>
      </c>
      <c r="M428" s="6" t="n"/>
      <c r="N428" s="5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2011; Informe 2012: Mexichem record 2011 +27.6pct vs 2010 (implica ~991 mil t en 2010); monopolio de facto'</t>
        </is>
      </c>
      <c r="O428" s="11">
        <f>IF(AND(ISNUMBER(G428),ISNUMBER(J428),J428&lt;&gt;0,H428=K428),G428/J428*100,"")</f>
        <v/>
      </c>
      <c r="P428" s="11">
        <f>IF(AND(ISNUMBER(O428),ISNUMBER(I428)),ROUND(O428-I428,2),"")</f>
        <v/>
      </c>
    </row>
    <row r="429">
      <c r="A429" s="9" t="inlineStr">
        <is>
          <t>Silice</t>
        </is>
      </c>
      <c r="B429" s="9" t="n">
        <v>2010</v>
      </c>
      <c r="C429" s="9" t="inlineStr">
        <is>
          <t>empresa</t>
        </is>
      </c>
      <c r="D429" s="9" t="n"/>
      <c r="E429" s="9" t="inlineStr">
        <is>
          <t>Grupo Materias Primas</t>
        </is>
      </c>
      <c r="F429" s="9" t="n"/>
      <c r="G429" s="9" t="n">
        <v>1700000</v>
      </c>
      <c r="H429" s="9" t="inlineStr">
        <is>
          <t>toneladas</t>
        </is>
      </c>
      <c r="I429" s="9" t="n">
        <v>65.2</v>
      </c>
      <c r="J429" s="9" t="n">
        <v>2607650</v>
      </c>
      <c r="K429" s="9" t="inlineStr">
        <is>
          <t>toneladas</t>
        </is>
      </c>
      <c r="L429" s="8" t="inlineStr">
        <is>
          <t>Informe CAMIMEX 2011</t>
        </is>
      </c>
      <c r="M429" s="9" t="n"/>
      <c r="N429" s="8" t="inlineStr">
        <is>
          <t>GMP principal productor: 1.7Mt de 2.6Mt nacional (INEGI B3 2607650) = 65.2pct</t>
        </is>
      </c>
      <c r="O429" s="11">
        <f>IF(AND(ISNUMBER(G429),ISNUMBER(J429),J429&lt;&gt;0,H429=K429),G429/J429*100,"")</f>
        <v/>
      </c>
      <c r="P429" s="11">
        <f>IF(AND(ISNUMBER(O429),ISNUMBER(I429)),ROUND(O429-I429,2),"")</f>
        <v/>
      </c>
    </row>
    <row r="430">
      <c r="A430" s="6" t="inlineStr">
        <is>
          <t>Grafito</t>
        </is>
      </c>
      <c r="B430" s="6" t="n">
        <v>2010</v>
      </c>
      <c r="C430" s="6" t="inlineStr">
        <is>
          <t>empresa</t>
        </is>
      </c>
      <c r="D430" s="6" t="n"/>
      <c r="E430" s="6" t="inlineStr">
        <is>
          <t>ninguno</t>
        </is>
      </c>
      <c r="F430" s="6" t="n"/>
      <c r="G430" s="6" t="n"/>
      <c r="H430" s="6" t="inlineStr">
        <is>
          <t>toneladas</t>
        </is>
      </c>
      <c r="I430" s="6" t="n"/>
      <c r="J430" s="6" t="n">
        <v>6628</v>
      </c>
      <c r="K430" s="6" t="inlineStr">
        <is>
          <t>toneladas</t>
        </is>
      </c>
      <c r="L430" s="5" t="inlineStr">
        <is>
          <t>CAMIMEX no desglosa</t>
        </is>
      </c>
      <c r="M430" s="6" t="n"/>
      <c r="N430" s="5" t="inlineStr">
        <is>
          <t>Caso de contraste; atomizado; total INEGI B3</t>
        </is>
      </c>
      <c r="O430" s="11">
        <f>IF(AND(ISNUMBER(G430),ISNUMBER(J430),J430&lt;&gt;0,H430=K430),G430/J430*100,"")</f>
        <v/>
      </c>
      <c r="P430" s="11">
        <f>IF(AND(ISNUMBER(O430),ISNUMBER(I430)),ROUND(O430-I430,2),"")</f>
        <v/>
      </c>
    </row>
    <row r="431">
      <c r="A431" s="9" t="inlineStr">
        <is>
          <t>Oro</t>
        </is>
      </c>
      <c r="B431" s="9" t="n">
        <v>2009</v>
      </c>
      <c r="C431" s="9" t="inlineStr">
        <is>
          <t>empresa</t>
        </is>
      </c>
      <c r="D431" s="9" t="n"/>
      <c r="E431" s="9" t="inlineStr">
        <is>
          <t>Goldcorp</t>
        </is>
      </c>
      <c r="F431" s="9" t="n"/>
      <c r="G431" s="9" t="n">
        <v>646</v>
      </c>
      <c r="H431" s="9" t="inlineStr">
        <is>
          <t>miles oz</t>
        </is>
      </c>
      <c r="I431" s="9" t="n">
        <v>36</v>
      </c>
      <c r="J431" s="9" t="n">
        <v>62.5</v>
      </c>
      <c r="K431" s="9" t="inlineStr">
        <is>
          <t>toneladas</t>
        </is>
      </c>
      <c r="L431" s="8" t="inlineStr">
        <is>
          <t>Informe CAMIMEX 2010</t>
        </is>
      </c>
      <c r="M431" s="9" t="n"/>
      <c r="N431" s="8" t="inlineStr">
        <is>
          <t>Principal productora: 646 mil oz en 4 unidades = 36pct publicado; total 2009 derivado (Informe 2011: 79.4 t en 2010 = +27pct); Herradura (Fresnillo) mayor mina 258.8 mil oz</t>
        </is>
      </c>
      <c r="O431" s="11">
        <f>IF(AND(ISNUMBER(G431),ISNUMBER(J431),J431&lt;&gt;0,H431=K431),G431/J431*100,"")</f>
        <v/>
      </c>
      <c r="P431" s="11">
        <f>IF(AND(ISNUMBER(O431),ISNUMBER(I431)),ROUND(O431-I431,2),"")</f>
        <v/>
      </c>
    </row>
    <row r="432">
      <c r="A432" s="6" t="inlineStr">
        <is>
          <t>Plata</t>
        </is>
      </c>
      <c r="B432" s="6" t="n">
        <v>2009</v>
      </c>
      <c r="C432" s="6" t="inlineStr">
        <is>
          <t>empresa</t>
        </is>
      </c>
      <c r="D432" s="6" t="n"/>
      <c r="E432" s="6" t="inlineStr">
        <is>
          <t>Fresnillo plc</t>
        </is>
      </c>
      <c r="F432" s="6" t="n"/>
      <c r="G432" s="6" t="n">
        <v>37.9</v>
      </c>
      <c r="H432" s="6" t="inlineStr">
        <is>
          <t>millones oz</t>
        </is>
      </c>
      <c r="I432" s="6" t="n">
        <v>33.2</v>
      </c>
      <c r="J432" s="6" t="n">
        <v>114.3</v>
      </c>
      <c r="K432" s="6" t="inlineStr">
        <is>
          <t>millones oz</t>
        </is>
      </c>
      <c r="L432" s="5" t="inlineStr">
        <is>
          <t>Informe CAMIMEX 2010 + USGS MYB</t>
        </is>
      </c>
      <c r="M432" s="6" t="n">
        <v>9</v>
      </c>
      <c r="N432" s="5" t="inlineStr">
        <is>
          <t>BASE MINERA (decision 2026-07-20): mina Fresnillo 37.9 Moz de 114.3 Moz mineras (USGS 3553841 kg) = 33.2pct; CAMIMEX publico 36pct (base metalurgica ~105 Moz); Penasquito aun en arranque</t>
        </is>
      </c>
      <c r="O432" s="11">
        <f>IF(AND(ISNUMBER(G432),ISNUMBER(J432),J432&lt;&gt;0,H432=K432),G432/J432*100,"")</f>
        <v/>
      </c>
      <c r="P432" s="11">
        <f>IF(AND(ISNUMBER(O432),ISNUMBER(I432)),ROUND(O432-I432,2),"")</f>
        <v/>
      </c>
    </row>
    <row r="433">
      <c r="A433" s="9" t="inlineStr">
        <is>
          <t>Cobre</t>
        </is>
      </c>
      <c r="B433" s="9" t="n">
        <v>2009</v>
      </c>
      <c r="C433" s="9" t="inlineStr">
        <is>
          <t>empresa</t>
        </is>
      </c>
      <c r="D433" s="9" t="n"/>
      <c r="E433" s="9" t="inlineStr">
        <is>
          <t>Grupo Mexico</t>
        </is>
      </c>
      <c r="F433" s="9" t="n"/>
      <c r="G433" s="9" t="n">
        <v>130616</v>
      </c>
      <c r="H433" s="9" t="inlineStr">
        <is>
          <t>toneladas</t>
        </is>
      </c>
      <c r="I433" s="9" t="n"/>
      <c r="J433" s="9" t="n">
        <v>241193</v>
      </c>
      <c r="K433" s="9" t="inlineStr">
        <is>
          <t>toneladas</t>
        </is>
      </c>
      <c r="L433" s="8" t="inlineStr">
        <is>
          <t>Informe CAMIMEX 2010</t>
        </is>
      </c>
      <c r="M433" s="9" t="n"/>
      <c r="N433" s="8" t="inlineStr">
        <is>
          <t>La Caridad mayor productor 130616 t (Cananea en huelga); total 2009 derivado (Informe 2011: 270136 en 2010 = +12pct); Penoles Milpillas 20345</t>
        </is>
      </c>
      <c r="O433" s="11">
        <f>IF(AND(ISNUMBER(G433),ISNUMBER(J433),J433&lt;&gt;0,H433=K433),G433/J433*100,"")</f>
        <v/>
      </c>
      <c r="P433" s="11">
        <f>IF(AND(ISNUMBER(O433),ISNUMBER(I433)),ROUND(O433-I433,2),"")</f>
        <v/>
      </c>
    </row>
    <row r="434">
      <c r="A434" s="6" t="inlineStr">
        <is>
          <t>Zinc</t>
        </is>
      </c>
      <c r="B434" s="6" t="n">
        <v>2009</v>
      </c>
      <c r="C434" s="6" t="inlineStr">
        <is>
          <t>empresa</t>
        </is>
      </c>
      <c r="D434" s="6" t="n"/>
      <c r="E434" s="6" t="inlineStr">
        <is>
          <t>Industrias Penoles</t>
        </is>
      </c>
      <c r="F434" s="6" t="n"/>
      <c r="G434" s="6" t="n">
        <v>165900</v>
      </c>
      <c r="H434" s="6" t="inlineStr">
        <is>
          <t>toneladas</t>
        </is>
      </c>
      <c r="I434" s="6" t="n">
        <v>33.9</v>
      </c>
      <c r="J434" s="6" t="n">
        <v>489766</v>
      </c>
      <c r="K434" s="6" t="inlineStr">
        <is>
          <t>toneladas</t>
        </is>
      </c>
      <c r="L434" s="5" t="inlineStr">
        <is>
          <t>Informe CAMIMEX 2010 + USGS MYB</t>
        </is>
      </c>
      <c r="M434" s="6" t="n"/>
      <c r="N434" s="5" t="inlineStr">
        <is>
          <t>Lider inferido: Penoles 165.9 mil t (tabla Penoles Informe 2012) de 489766 minero USGS = 33.9pct calculado; Charcas (GMexico) mayor unidad 62033; metalurgica INEGI 391384</t>
        </is>
      </c>
      <c r="O434" s="11">
        <f>IF(AND(ISNUMBER(G434),ISNUMBER(J434),J434&lt;&gt;0,H434=K434),G434/J434*100,"")</f>
        <v/>
      </c>
      <c r="P434" s="11">
        <f>IF(AND(ISNUMBER(O434),ISNUMBER(I434)),ROUND(O434-I434,2),"")</f>
        <v/>
      </c>
    </row>
    <row r="435">
      <c r="A435" s="9" t="inlineStr">
        <is>
          <t>Plomo</t>
        </is>
      </c>
      <c r="B435" s="9" t="n">
        <v>2009</v>
      </c>
      <c r="C435" s="9" t="inlineStr">
        <is>
          <t>empresa</t>
        </is>
      </c>
      <c r="D435" s="9" t="n"/>
      <c r="E435" s="9" t="inlineStr">
        <is>
          <t>Industrias Penoles</t>
        </is>
      </c>
      <c r="F435" s="9" t="n"/>
      <c r="G435" s="9" t="n"/>
      <c r="H435" s="9" t="inlineStr">
        <is>
          <t>toneladas</t>
        </is>
      </c>
      <c r="I435" s="9" t="n"/>
      <c r="J435" s="9" t="n">
        <v>143838</v>
      </c>
      <c r="K435" s="9" t="inlineStr">
        <is>
          <t>toneladas</t>
        </is>
      </c>
      <c r="L435" s="8" t="inlineStr">
        <is>
          <t>Informe CAMIMEX 2010 + USGS MYB</t>
        </is>
      </c>
      <c r="M435" s="9" t="n"/>
      <c r="N435" s="8" t="inlineStr">
        <is>
          <t>Lider inferido: Naica (Penoles) mayor unidad 20747 t (14.4pct del total); total minero USGS MYB 143838; metalurgica INEGI 100361; sin pct publicado</t>
        </is>
      </c>
      <c r="O435" s="11">
        <f>IF(AND(ISNUMBER(G435),ISNUMBER(J435),J435&lt;&gt;0,H435=K435),G435/J435*100,"")</f>
        <v/>
      </c>
      <c r="P435" s="11">
        <f>IF(AND(ISNUMBER(O435),ISNUMBER(I435)),ROUND(O435-I435,2),"")</f>
        <v/>
      </c>
    </row>
    <row r="436">
      <c r="A436" s="6" t="inlineStr">
        <is>
          <t>Manganeso</t>
        </is>
      </c>
      <c r="B436" s="6" t="n">
        <v>2009</v>
      </c>
      <c r="C436" s="6" t="inlineStr">
        <is>
          <t>empresa</t>
        </is>
      </c>
      <c r="D436" s="6" t="n"/>
      <c r="E436" s="6" t="inlineStr">
        <is>
          <t>Compania Minera Autlan</t>
        </is>
      </c>
      <c r="F436" s="6" t="n"/>
      <c r="G436" s="6" t="n"/>
      <c r="H436" s="6" t="inlineStr">
        <is>
          <t>toneladas</t>
        </is>
      </c>
      <c r="I436" s="6" t="n">
        <v>100</v>
      </c>
      <c r="J436" s="6" t="n">
        <v>118578</v>
      </c>
      <c r="K436" s="6" t="inlineStr">
        <is>
          <t>toneladas</t>
        </is>
      </c>
      <c r="L436" s="5" t="inlineStr">
        <is>
          <t>Informe CAMIMEX + INEGI B3</t>
        </is>
      </c>
      <c r="M436" s="6" t="n"/>
      <c r="N436" s="5" t="inlineStr">
        <is>
          <t>Productor unico nacional (monopolio 1993-2025)</t>
        </is>
      </c>
      <c r="O436" s="11">
        <f>IF(AND(ISNUMBER(G436),ISNUMBER(J436),J436&lt;&gt;0,H436=K436),G436/J436*100,"")</f>
        <v/>
      </c>
      <c r="P436" s="11">
        <f>IF(AND(ISNUMBER(O436),ISNUMBER(I436)),ROUND(O436-I436,2),"")</f>
        <v/>
      </c>
    </row>
    <row r="437">
      <c r="A437" s="9" t="inlineStr">
        <is>
          <t>Barita</t>
        </is>
      </c>
      <c r="B437" s="9" t="n">
        <v>2009</v>
      </c>
      <c r="C437" s="9" t="inlineStr">
        <is>
          <t>empresa</t>
        </is>
      </c>
      <c r="D437" s="9" t="n"/>
      <c r="E437" s="9" t="inlineStr">
        <is>
          <t>Baramin</t>
        </is>
      </c>
      <c r="F437" s="9" t="n"/>
      <c r="G437" s="9" t="n">
        <v>120000</v>
      </c>
      <c r="H437" s="9" t="inlineStr">
        <is>
          <t>toneladas</t>
        </is>
      </c>
      <c r="I437" s="9" t="n">
        <v>79.09999999999999</v>
      </c>
      <c r="J437" s="9" t="n">
        <v>151791</v>
      </c>
      <c r="K437" s="9" t="inlineStr">
        <is>
          <t>toneladas</t>
        </is>
      </c>
      <c r="L437" s="8" t="inlineStr">
        <is>
          <t>Informe CAMIMEX 2010</t>
        </is>
      </c>
      <c r="M437" s="9" t="n">
        <v>116</v>
      </c>
      <c r="N437" s="8" t="inlineStr">
        <is>
          <t>Baramin 120 mil t de 151791 INEGI = 79.1pct</t>
        </is>
      </c>
      <c r="O437" s="11">
        <f>IF(AND(ISNUMBER(G437),ISNUMBER(J437),J437&lt;&gt;0,H437=K437),G437/J437*100,"")</f>
        <v/>
      </c>
      <c r="P437" s="11">
        <f>IF(AND(ISNUMBER(O437),ISNUMBER(I437)),ROUND(O437-I437,2),"")</f>
        <v/>
      </c>
    </row>
    <row r="438">
      <c r="A438" s="6" t="inlineStr">
        <is>
          <t>Fluorita</t>
        </is>
      </c>
      <c r="B438" s="6" t="n">
        <v>2009</v>
      </c>
      <c r="C438" s="6" t="inlineStr">
        <is>
          <t>empresa</t>
        </is>
      </c>
      <c r="D438" s="6" t="n"/>
      <c r="E438" s="6" t="inlineStr">
        <is>
          <t>Cia. Minera Las Cuevas (Mexichem)</t>
        </is>
      </c>
      <c r="F438" s="6" t="inlineStr">
        <is>
          <t>San Luis Potosi</t>
        </is>
      </c>
      <c r="G438" s="6" t="n"/>
      <c r="H438" s="6" t="inlineStr">
        <is>
          <t>toneladas</t>
        </is>
      </c>
      <c r="I438" s="6" t="n">
        <v>77.61</v>
      </c>
      <c r="J438" s="6" t="n">
        <v>1045940</v>
      </c>
      <c r="K438" s="6" t="inlineStr">
        <is>
          <t>toneladas</t>
        </is>
      </c>
      <c r="L438" s="5" t="inlineStr">
        <is>
          <t>Informe CAMIMEX 2010 + INEGI B3</t>
        </is>
      </c>
      <c r="M438" s="6" t="n"/>
      <c r="N438" s="5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2010; monopolio de facto (Mexichem); CAMIMEX tabla reporta 982650 preliminar vs B3 1045940'</t>
        </is>
      </c>
      <c r="O438" s="11">
        <f>IF(AND(ISNUMBER(G438),ISNUMBER(J438),J438&lt;&gt;0,H438=K438),G438/J438*100,"")</f>
        <v/>
      </c>
      <c r="P438" s="11">
        <f>IF(AND(ISNUMBER(O438),ISNUMBER(I438)),ROUND(O438-I438,2),"")</f>
        <v/>
      </c>
    </row>
    <row r="439">
      <c r="A439" s="9" t="inlineStr">
        <is>
          <t>Fluorita</t>
        </is>
      </c>
      <c r="B439" s="9" t="n">
        <v>2009</v>
      </c>
      <c r="C439" s="9" t="inlineStr">
        <is>
          <t>empresa</t>
        </is>
      </c>
      <c r="D439" s="9" t="n"/>
      <c r="E439" s="9" t="inlineStr">
        <is>
          <t>Fluorita de Mexico (Corp. Alfil 51% / Applied Industrial Minerals 49%)</t>
        </is>
      </c>
      <c r="F439" s="9" t="inlineStr">
        <is>
          <t>Coahuila</t>
        </is>
      </c>
      <c r="G439" s="9" t="n"/>
      <c r="H439" s="9" t="inlineStr">
        <is>
          <t>toneladas</t>
        </is>
      </c>
      <c r="I439" s="9" t="n">
        <v>22.39</v>
      </c>
      <c r="J439" s="9" t="n">
        <v>1045940</v>
      </c>
      <c r="K439" s="9" t="inlineStr">
        <is>
          <t>toneladas</t>
        </is>
      </c>
      <c r="L439" s="8" t="inlineStr">
        <is>
          <t>Informe CAMIMEX 2010 + INEGI B3</t>
        </is>
      </c>
      <c r="M439" s="9" t="n"/>
      <c r="N439" s="8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2010; monopolio de facto (Mexichem); CAMIMEX tabla reporta 982650 preliminar vs B3 1045940'</t>
        </is>
      </c>
      <c r="O439" s="11">
        <f>IF(AND(ISNUMBER(G439),ISNUMBER(J439),J439&lt;&gt;0,H439=K439),G439/J439*100,"")</f>
        <v/>
      </c>
      <c r="P439" s="11">
        <f>IF(AND(ISNUMBER(O439),ISNUMBER(I439)),ROUND(O439-I439,2),"")</f>
        <v/>
      </c>
    </row>
    <row r="440">
      <c r="A440" s="6" t="inlineStr">
        <is>
          <t>Silice</t>
        </is>
      </c>
      <c r="B440" s="6" t="n">
        <v>2009</v>
      </c>
      <c r="C440" s="6" t="inlineStr">
        <is>
          <t>empresa</t>
        </is>
      </c>
      <c r="D440" s="6" t="n"/>
      <c r="E440" s="6" t="inlineStr">
        <is>
          <t>Grupo Materias Primas</t>
        </is>
      </c>
      <c r="F440" s="6" t="n"/>
      <c r="G440" s="6" t="n">
        <v>1600000</v>
      </c>
      <c r="H440" s="6" t="inlineStr">
        <is>
          <t>toneladas</t>
        </is>
      </c>
      <c r="I440" s="6" t="n">
        <v>64.40000000000001</v>
      </c>
      <c r="J440" s="6" t="n">
        <v>2483605</v>
      </c>
      <c r="K440" s="6" t="inlineStr">
        <is>
          <t>toneladas</t>
        </is>
      </c>
      <c r="L440" s="5" t="inlineStr">
        <is>
          <t>Informe CAMIMEX 2010</t>
        </is>
      </c>
      <c r="M440" s="6" t="n"/>
      <c r="N440" s="5" t="inlineStr">
        <is>
          <t>GMP principal empresa productora: 1.6Mt de 2483605 INEGI = 64.4pct; mercado total estimado por CAMIMEX 2.7Mt</t>
        </is>
      </c>
      <c r="O440" s="11">
        <f>IF(AND(ISNUMBER(G440),ISNUMBER(J440),J440&lt;&gt;0,H440=K440),G440/J440*100,"")</f>
        <v/>
      </c>
      <c r="P440" s="11">
        <f>IF(AND(ISNUMBER(O440),ISNUMBER(I440)),ROUND(O440-I440,2),"")</f>
        <v/>
      </c>
    </row>
    <row r="441">
      <c r="A441" s="9" t="inlineStr">
        <is>
          <t>Grafito</t>
        </is>
      </c>
      <c r="B441" s="9" t="n">
        <v>2009</v>
      </c>
      <c r="C441" s="9" t="inlineStr">
        <is>
          <t>empresa</t>
        </is>
      </c>
      <c r="D441" s="9" t="n"/>
      <c r="E441" s="9" t="inlineStr">
        <is>
          <t>ninguno</t>
        </is>
      </c>
      <c r="F441" s="9" t="n"/>
      <c r="G441" s="9" t="n"/>
      <c r="H441" s="9" t="inlineStr">
        <is>
          <t>toneladas</t>
        </is>
      </c>
      <c r="I441" s="9" t="n"/>
      <c r="J441" s="9" t="n">
        <v>5105</v>
      </c>
      <c r="K441" s="9" t="inlineStr">
        <is>
          <t>toneladas</t>
        </is>
      </c>
      <c r="L441" s="8" t="inlineStr">
        <is>
          <t>CAMIMEX no desglosa</t>
        </is>
      </c>
      <c r="M441" s="9" t="n"/>
      <c r="N441" s="8" t="inlineStr">
        <is>
          <t>Caso de contraste; atomizado; total INEGI B3</t>
        </is>
      </c>
      <c r="O441" s="11">
        <f>IF(AND(ISNUMBER(G441),ISNUMBER(J441),J441&lt;&gt;0,H441=K441),G441/J441*100,"")</f>
        <v/>
      </c>
      <c r="P441" s="11">
        <f>IF(AND(ISNUMBER(O441),ISNUMBER(I441)),ROUND(O441-I441,2),"")</f>
        <v/>
      </c>
    </row>
    <row r="442">
      <c r="A442" s="6" t="inlineStr">
        <is>
          <t>Oro</t>
        </is>
      </c>
      <c r="B442" s="6" t="n">
        <v>2008</v>
      </c>
      <c r="C442" s="6" t="inlineStr">
        <is>
          <t>empresa</t>
        </is>
      </c>
      <c r="D442" s="6" t="n"/>
      <c r="E442" s="6" t="inlineStr">
        <is>
          <t>Goldcorp</t>
        </is>
      </c>
      <c r="F442" s="6" t="n"/>
      <c r="G442" s="6" t="n">
        <v>594.4</v>
      </c>
      <c r="H442" s="6" t="inlineStr">
        <is>
          <t>miles oz</t>
        </is>
      </c>
      <c r="I442" s="6" t="n">
        <v>36</v>
      </c>
      <c r="J442" s="6" t="n">
        <v>1651</v>
      </c>
      <c r="K442" s="6" t="inlineStr">
        <is>
          <t>miles oz</t>
        </is>
      </c>
      <c r="L442" s="5" t="inlineStr">
        <is>
          <t>Informe CAMIMEX 2009</t>
        </is>
      </c>
      <c r="M442" s="6" t="n">
        <v>9</v>
      </c>
      <c r="N442" s="5" t="inlineStr">
        <is>
          <t>Mayor productora: 594.4 mil oz (Los Filos + El Sauzal + Tayoltita + Penasquito preop) = 36pct publicado; total implicito ~1651 mil oz; Fresnillo (Herradura+Cienega) 335.7</t>
        </is>
      </c>
      <c r="O442" s="11">
        <f>IF(AND(ISNUMBER(G442),ISNUMBER(J442),J442&lt;&gt;0,H442=K442),G442/J442*100,"")</f>
        <v/>
      </c>
      <c r="P442" s="11">
        <f>IF(AND(ISNUMBER(O442),ISNUMBER(I442)),ROUND(O442-I442,2),"")</f>
        <v/>
      </c>
    </row>
    <row r="443">
      <c r="A443" s="9" t="inlineStr">
        <is>
          <t>Plata</t>
        </is>
      </c>
      <c r="B443" s="9" t="n">
        <v>2008</v>
      </c>
      <c r="C443" s="9" t="inlineStr">
        <is>
          <t>empresa</t>
        </is>
      </c>
      <c r="D443" s="9" t="n"/>
      <c r="E443" s="9" t="inlineStr">
        <is>
          <t>Fresnillo plc</t>
        </is>
      </c>
      <c r="F443" s="9" t="n"/>
      <c r="G443" s="9" t="n">
        <v>33</v>
      </c>
      <c r="H443" s="9" t="inlineStr">
        <is>
          <t>millones oz</t>
        </is>
      </c>
      <c r="I443" s="9" t="n">
        <v>31.7</v>
      </c>
      <c r="J443" s="9" t="n">
        <v>104</v>
      </c>
      <c r="K443" s="9" t="inlineStr">
        <is>
          <t>millones oz</t>
        </is>
      </c>
      <c r="L443" s="8" t="inlineStr">
        <is>
          <t>Informe CAMIMEX 2009</t>
        </is>
      </c>
      <c r="M443" s="9" t="n">
        <v>10</v>
      </c>
      <c r="N443" s="8" t="inlineStr">
        <is>
          <t>BASE MINERA (decision 2026-07-20): mina Fresnillo 33 Moz de 104 Moz mineras (3241 t record; USGS 3236312 kg) = 31.7pct; CAMIMEX publico 32.5pct; Pan American (Alamo Dorado 6.9 + La Colorada 3.8)</t>
        </is>
      </c>
      <c r="O443" s="11">
        <f>IF(AND(ISNUMBER(G443),ISNUMBER(J443),J443&lt;&gt;0,H443=K443),G443/J443*100,"")</f>
        <v/>
      </c>
      <c r="P443" s="11">
        <f>IF(AND(ISNUMBER(O443),ISNUMBER(I443)),ROUND(O443-I443,2),"")</f>
        <v/>
      </c>
    </row>
    <row r="444">
      <c r="A444" s="6" t="inlineStr">
        <is>
          <t>Cobre</t>
        </is>
      </c>
      <c r="B444" s="6" t="n">
        <v>2008</v>
      </c>
      <c r="C444" s="6" t="inlineStr">
        <is>
          <t>empresa</t>
        </is>
      </c>
      <c r="D444" s="6" t="n"/>
      <c r="E444" s="6" t="inlineStr">
        <is>
          <t>Grupo Mexico</t>
        </is>
      </c>
      <c r="F444" s="6" t="n"/>
      <c r="G444" s="6" t="n">
        <v>134989</v>
      </c>
      <c r="H444" s="6" t="inlineStr">
        <is>
          <t>toneladas</t>
        </is>
      </c>
      <c r="I444" s="6" t="n">
        <v>50.7</v>
      </c>
      <c r="J444" s="6" t="n">
        <v>265996</v>
      </c>
      <c r="K444" s="6" t="inlineStr">
        <is>
          <t>toneladas</t>
        </is>
      </c>
      <c r="L444" s="5" t="inlineStr">
        <is>
          <t>Informe CAMIMEX 2009</t>
        </is>
      </c>
      <c r="M444" s="6" t="n"/>
      <c r="N444" s="5" t="inlineStr">
        <is>
          <t>Principal productor nacional: Mexicana de Cobre 119 mil + Cananea 15989 (huelga desde jul-2007) = 50.7pct calculado; Penoles Milpillas 14307</t>
        </is>
      </c>
      <c r="O444" s="11">
        <f>IF(AND(ISNUMBER(G444),ISNUMBER(J444),J444&lt;&gt;0,H444=K444),G444/J444*100,"")</f>
        <v/>
      </c>
      <c r="P444" s="11">
        <f>IF(AND(ISNUMBER(O444),ISNUMBER(I444)),ROUND(O444-I444,2),"")</f>
        <v/>
      </c>
    </row>
    <row r="445">
      <c r="A445" s="9" t="inlineStr">
        <is>
          <t>Zinc</t>
        </is>
      </c>
      <c r="B445" s="9" t="n">
        <v>2008</v>
      </c>
      <c r="C445" s="9" t="inlineStr">
        <is>
          <t>empresa</t>
        </is>
      </c>
      <c r="D445" s="9" t="n"/>
      <c r="E445" s="9" t="inlineStr">
        <is>
          <t>Industrias Penoles</t>
        </is>
      </c>
      <c r="F445" s="9" t="n"/>
      <c r="G445" s="9" t="n"/>
      <c r="H445" s="9" t="inlineStr">
        <is>
          <t>toneladas</t>
        </is>
      </c>
      <c r="I445" s="9" t="n"/>
      <c r="J445" s="9" t="n">
        <v>453588</v>
      </c>
      <c r="K445" s="9" t="inlineStr">
        <is>
          <t>toneladas</t>
        </is>
      </c>
      <c r="L445" s="8" t="inlineStr">
        <is>
          <t>Informe CAMIMEX 2009 + USGS MYB</t>
        </is>
      </c>
      <c r="M445" s="9" t="n"/>
      <c r="N445" s="8" t="inlineStr">
        <is>
          <t>Lider inferido (FIM 57693 + Tizapa Sabinas Naica Bismark); Charcas (GMexico) mayor unidad 63900 (14.1pct); Tayahua (Frisco) 52000; total minero USGS MYB 453588; metalurgica 397306</t>
        </is>
      </c>
      <c r="O445" s="11">
        <f>IF(AND(ISNUMBER(G445),ISNUMBER(J445),J445&lt;&gt;0,H445=K445),G445/J445*100,"")</f>
        <v/>
      </c>
      <c r="P445" s="11">
        <f>IF(AND(ISNUMBER(O445),ISNUMBER(I445)),ROUND(O445-I445,2),"")</f>
        <v/>
      </c>
    </row>
    <row r="446">
      <c r="A446" s="6" t="inlineStr">
        <is>
          <t>Plomo</t>
        </is>
      </c>
      <c r="B446" s="6" t="n">
        <v>2008</v>
      </c>
      <c r="C446" s="6" t="inlineStr">
        <is>
          <t>empresa</t>
        </is>
      </c>
      <c r="D446" s="6" t="n"/>
      <c r="E446" s="6" t="inlineStr">
        <is>
          <t>Industrias Penoles</t>
        </is>
      </c>
      <c r="F446" s="6" t="n"/>
      <c r="G446" s="6" t="n"/>
      <c r="H446" s="6" t="inlineStr">
        <is>
          <t>toneladas</t>
        </is>
      </c>
      <c r="I446" s="6" t="n"/>
      <c r="J446" s="6" t="n">
        <v>141173</v>
      </c>
      <c r="K446" s="6" t="inlineStr">
        <is>
          <t>toneladas</t>
        </is>
      </c>
      <c r="L446" s="5" t="inlineStr">
        <is>
          <t>Informe CAMIMEX 2009 + USGS MYB</t>
        </is>
      </c>
      <c r="M446" s="6" t="n">
        <v>13</v>
      </c>
      <c r="N446" s="5" t="inlineStr">
        <is>
          <t>Lider inferido: Naica mayor unidad 20839 (14.8pct del total) + FIM 10788; Minera Mexico 19695; total minero USGS MYB 141173; metalurgica 102425</t>
        </is>
      </c>
      <c r="O446" s="11">
        <f>IF(AND(ISNUMBER(G446),ISNUMBER(J446),J446&lt;&gt;0,H446=K446),G446/J446*100,"")</f>
        <v/>
      </c>
      <c r="P446" s="11">
        <f>IF(AND(ISNUMBER(O446),ISNUMBER(I446)),ROUND(O446-I446,2),"")</f>
        <v/>
      </c>
    </row>
    <row r="447">
      <c r="A447" s="9" t="inlineStr">
        <is>
          <t>Manganeso</t>
        </is>
      </c>
      <c r="B447" s="9" t="n">
        <v>2008</v>
      </c>
      <c r="C447" s="9" t="inlineStr">
        <is>
          <t>empresa</t>
        </is>
      </c>
      <c r="D447" s="9" t="n"/>
      <c r="E447" s="9" t="inlineStr">
        <is>
          <t>Compania Minera Autlan</t>
        </is>
      </c>
      <c r="F447" s="9" t="n"/>
      <c r="G447" s="9" t="n"/>
      <c r="H447" s="9" t="inlineStr">
        <is>
          <t>toneladas</t>
        </is>
      </c>
      <c r="I447" s="9" t="n">
        <v>100</v>
      </c>
      <c r="J447" s="9" t="n">
        <v>169908</v>
      </c>
      <c r="K447" s="9" t="inlineStr">
        <is>
          <t>toneladas</t>
        </is>
      </c>
      <c r="L447" s="8" t="inlineStr">
        <is>
          <t>Informe CAMIMEX + INEGI B3</t>
        </is>
      </c>
      <c r="M447" s="9" t="n"/>
      <c r="N447" s="8" t="inlineStr">
        <is>
          <t>Productor unico nacional (monopolio 1993-2025)</t>
        </is>
      </c>
      <c r="O447" s="11">
        <f>IF(AND(ISNUMBER(G447),ISNUMBER(J447),J447&lt;&gt;0,H447=K447),G447/J447*100,"")</f>
        <v/>
      </c>
      <c r="P447" s="11">
        <f>IF(AND(ISNUMBER(O447),ISNUMBER(I447)),ROUND(O447-I447,2),"")</f>
        <v/>
      </c>
    </row>
    <row r="448">
      <c r="A448" s="6" t="inlineStr">
        <is>
          <t>Barita</t>
        </is>
      </c>
      <c r="B448" s="6" t="n">
        <v>2008</v>
      </c>
      <c r="C448" s="6" t="inlineStr">
        <is>
          <t>empresa</t>
        </is>
      </c>
      <c r="D448" s="6" t="n"/>
      <c r="E448" s="6" t="inlineStr">
        <is>
          <t>Baramin</t>
        </is>
      </c>
      <c r="F448" s="6" t="n"/>
      <c r="G448" s="6" t="n"/>
      <c r="H448" s="6" t="inlineStr">
        <is>
          <t>toneladas</t>
        </is>
      </c>
      <c r="I448" s="6" t="n"/>
      <c r="J448" s="6" t="n">
        <v>170051</v>
      </c>
      <c r="K448" s="6" t="inlineStr">
        <is>
          <t>toneladas</t>
        </is>
      </c>
      <c r="L448" s="5" t="inlineStr">
        <is>
          <t>Informe CAMIMEX 2009</t>
        </is>
      </c>
      <c r="M448" s="6" t="n"/>
      <c r="N448" s="5" t="inlineStr">
        <is>
          <t>Sin mencion de Baramin en Informe 2009 (Informe 2010: Baramin 120 mil t en 2009); total CAMIMEX 170051 (B3 revisado 140066); NL 86pct Coah 14pct</t>
        </is>
      </c>
      <c r="O448" s="11">
        <f>IF(AND(ISNUMBER(G448),ISNUMBER(J448),J448&lt;&gt;0,H448=K448),G448/J448*100,"")</f>
        <v/>
      </c>
      <c r="P448" s="11">
        <f>IF(AND(ISNUMBER(O448),ISNUMBER(I448)),ROUND(O448-I448,2),"")</f>
        <v/>
      </c>
    </row>
    <row r="449">
      <c r="A449" s="9" t="inlineStr">
        <is>
          <t>Fluorita</t>
        </is>
      </c>
      <c r="B449" s="9" t="n">
        <v>2008</v>
      </c>
      <c r="C449" s="9" t="inlineStr">
        <is>
          <t>empresa</t>
        </is>
      </c>
      <c r="D449" s="9" t="n"/>
      <c r="E449" s="9" t="inlineStr">
        <is>
          <t>Cia. Minera Las Cuevas (Mexichem)</t>
        </is>
      </c>
      <c r="F449" s="9" t="inlineStr">
        <is>
          <t>San Luis Potosi</t>
        </is>
      </c>
      <c r="G449" s="9" t="n"/>
      <c r="H449" s="9" t="inlineStr">
        <is>
          <t>toneladas</t>
        </is>
      </c>
      <c r="I449" s="9" t="n">
        <v>77.61</v>
      </c>
      <c r="J449" s="9" t="n">
        <v>1010647</v>
      </c>
      <c r="K449" s="9" t="inlineStr">
        <is>
          <t>toneladas</t>
        </is>
      </c>
      <c r="L449" s="8" t="inlineStr">
        <is>
          <t>Informe CAMIMEX 2009</t>
        </is>
      </c>
      <c r="M449" s="9" t="n"/>
      <c r="N449" s="8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2009; monopolio de facto (Mexichem); total CAMIMEX 1010647 (B3 revisado 1057649); SLP 84pct Coah 16pct'</t>
        </is>
      </c>
      <c r="O449" s="11">
        <f>IF(AND(ISNUMBER(G449),ISNUMBER(J449),J449&lt;&gt;0,H449=K449),G449/J449*100,"")</f>
        <v/>
      </c>
      <c r="P449" s="11">
        <f>IF(AND(ISNUMBER(O449),ISNUMBER(I449)),ROUND(O449-I449,2),"")</f>
        <v/>
      </c>
    </row>
    <row r="450">
      <c r="A450" s="6" t="inlineStr">
        <is>
          <t>Fluorita</t>
        </is>
      </c>
      <c r="B450" s="6" t="n">
        <v>2008</v>
      </c>
      <c r="C450" s="6" t="inlineStr">
        <is>
          <t>empresa</t>
        </is>
      </c>
      <c r="D450" s="6" t="n"/>
      <c r="E450" s="6" t="inlineStr">
        <is>
          <t>Fluorita de Mexico (Corp. Alfil 51% / Applied Industrial Minerals 49%)</t>
        </is>
      </c>
      <c r="F450" s="6" t="inlineStr">
        <is>
          <t>Coahuila</t>
        </is>
      </c>
      <c r="G450" s="6" t="n"/>
      <c r="H450" s="6" t="inlineStr">
        <is>
          <t>toneladas</t>
        </is>
      </c>
      <c r="I450" s="6" t="n">
        <v>22.39</v>
      </c>
      <c r="J450" s="6" t="n">
        <v>1010647</v>
      </c>
      <c r="K450" s="6" t="inlineStr">
        <is>
          <t>toneladas</t>
        </is>
      </c>
      <c r="L450" s="5" t="inlineStr">
        <is>
          <t>Informe CAMIMEX 2009</t>
        </is>
      </c>
      <c r="M450" s="6" t="n"/>
      <c r="N450" s="5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2009; monopolio de facto (Mexichem); total CAMIMEX 1010647 (B3 revisado 1057649); SLP 84pct Coah 16pct'</t>
        </is>
      </c>
      <c r="O450" s="11">
        <f>IF(AND(ISNUMBER(G450),ISNUMBER(J450),J450&lt;&gt;0,H450=K450),G450/J450*100,"")</f>
        <v/>
      </c>
      <c r="P450" s="11">
        <f>IF(AND(ISNUMBER(O450),ISNUMBER(I450)),ROUND(O450-I450,2),"")</f>
        <v/>
      </c>
    </row>
    <row r="451">
      <c r="A451" s="9" t="inlineStr">
        <is>
          <t>Silice</t>
        </is>
      </c>
      <c r="B451" s="9" t="n">
        <v>2008</v>
      </c>
      <c r="C451" s="9" t="inlineStr">
        <is>
          <t>empresa</t>
        </is>
      </c>
      <c r="D451" s="9" t="n"/>
      <c r="E451" s="9" t="inlineStr">
        <is>
          <t>Grupo Materias Primas</t>
        </is>
      </c>
      <c r="F451" s="9" t="n"/>
      <c r="G451" s="9" t="n"/>
      <c r="H451" s="9" t="inlineStr">
        <is>
          <t>toneladas</t>
        </is>
      </c>
      <c r="I451" s="9" t="n"/>
      <c r="J451" s="9" t="n">
        <v>2779075</v>
      </c>
      <c r="K451" s="9" t="inlineStr">
        <is>
          <t>toneladas</t>
        </is>
      </c>
      <c r="L451" s="8" t="inlineStr">
        <is>
          <t>Informe CAMIMEX 2009</t>
        </is>
      </c>
      <c r="M451" s="9" t="n"/>
      <c r="N451" s="8" t="inlineStr">
        <is>
          <t>GMP principal productora de silice y feldespato (sin volumen publicado); total INEGI B3 2779075 (CAMIMEX 2.8Mt)</t>
        </is>
      </c>
      <c r="O451" s="11">
        <f>IF(AND(ISNUMBER(G451),ISNUMBER(J451),J451&lt;&gt;0,H451=K451),G451/J451*100,"")</f>
        <v/>
      </c>
      <c r="P451" s="11">
        <f>IF(AND(ISNUMBER(O451),ISNUMBER(I451)),ROUND(O451-I451,2),"")</f>
        <v/>
      </c>
    </row>
    <row r="452">
      <c r="A452" s="6" t="inlineStr">
        <is>
          <t>Grafito</t>
        </is>
      </c>
      <c r="B452" s="6" t="n">
        <v>2008</v>
      </c>
      <c r="C452" s="6" t="inlineStr">
        <is>
          <t>empresa</t>
        </is>
      </c>
      <c r="D452" s="6" t="n"/>
      <c r="E452" s="6" t="inlineStr">
        <is>
          <t>ninguno</t>
        </is>
      </c>
      <c r="F452" s="6" t="n"/>
      <c r="G452" s="6" t="n"/>
      <c r="H452" s="6" t="inlineStr">
        <is>
          <t>toneladas</t>
        </is>
      </c>
      <c r="I452" s="6" t="n"/>
      <c r="J452" s="6" t="n">
        <v>7229</v>
      </c>
      <c r="K452" s="6" t="inlineStr">
        <is>
          <t>toneladas</t>
        </is>
      </c>
      <c r="L452" s="5" t="inlineStr">
        <is>
          <t>CAMIMEX no desglosa</t>
        </is>
      </c>
      <c r="M452" s="6" t="n"/>
      <c r="N452" s="5" t="inlineStr">
        <is>
          <t>Caso de contraste; atomizado; total INEGI B3</t>
        </is>
      </c>
      <c r="O452" s="11">
        <f>IF(AND(ISNUMBER(G452),ISNUMBER(J452),J452&lt;&gt;0,H452=K452),G452/J452*100,"")</f>
        <v/>
      </c>
      <c r="P452" s="11">
        <f>IF(AND(ISNUMBER(O452),ISNUMBER(I452)),ROUND(O452-I452,2),"")</f>
        <v/>
      </c>
    </row>
    <row r="453">
      <c r="A453" s="9" t="inlineStr">
        <is>
          <t>Oro</t>
        </is>
      </c>
      <c r="B453" s="9" t="n">
        <v>2007</v>
      </c>
      <c r="C453" s="9" t="inlineStr">
        <is>
          <t>empresa</t>
        </is>
      </c>
      <c r="D453" s="9" t="n"/>
      <c r="E453" s="9" t="inlineStr">
        <is>
          <t>Industrias Penoles</t>
        </is>
      </c>
      <c r="F453" s="9" t="n"/>
      <c r="G453" s="9" t="n">
        <v>339</v>
      </c>
      <c r="H453" s="9" t="inlineStr">
        <is>
          <t>miles oz</t>
        </is>
      </c>
      <c r="I453" s="9" t="n">
        <v>26.5</v>
      </c>
      <c r="J453" s="9" t="n">
        <v>1279</v>
      </c>
      <c r="K453" s="9" t="inlineStr">
        <is>
          <t>miles oz</t>
        </is>
      </c>
      <c r="L453" s="8" t="inlineStr">
        <is>
          <t>Informe CAMIMEX 2008</t>
        </is>
      </c>
      <c r="M453" s="9" t="n"/>
      <c r="N453" s="8" t="inlineStr">
        <is>
          <t>Lider inferido: Herradura (Penmont) 196 + Cienega 143 = 339 mil oz; El Sauzal (Goldcorp) mayor unidad 306.9 mil oz = 24pct publicado (base total ~1279 mil oz)</t>
        </is>
      </c>
      <c r="O453" s="11">
        <f>IF(AND(ISNUMBER(G453),ISNUMBER(J453),J453&lt;&gt;0,H453=K453),G453/J453*100,"")</f>
        <v/>
      </c>
      <c r="P453" s="11">
        <f>IF(AND(ISNUMBER(O453),ISNUMBER(I453)),ROUND(O453-I453,2),"")</f>
        <v/>
      </c>
    </row>
    <row r="454">
      <c r="A454" s="6" t="inlineStr">
        <is>
          <t>Plata</t>
        </is>
      </c>
      <c r="B454" s="6" t="n">
        <v>2007</v>
      </c>
      <c r="C454" s="6" t="inlineStr">
        <is>
          <t>empresa</t>
        </is>
      </c>
      <c r="D454" s="6" t="n"/>
      <c r="E454" s="6" t="inlineStr">
        <is>
          <t>Industrias Penoles</t>
        </is>
      </c>
      <c r="F454" s="6" t="n"/>
      <c r="G454" s="6" t="n">
        <v>1043</v>
      </c>
      <c r="H454" s="6" t="inlineStr">
        <is>
          <t>toneladas</t>
        </is>
      </c>
      <c r="I454" s="6" t="n">
        <v>33.3</v>
      </c>
      <c r="J454" s="6" t="n">
        <v>3135.43</v>
      </c>
      <c r="K454" s="6" t="inlineStr">
        <is>
          <t>toneladas</t>
        </is>
      </c>
      <c r="L454" s="5" t="inlineStr">
        <is>
          <t>Informe CAMIMEX 2008 + USGS MYB</t>
        </is>
      </c>
      <c r="M454" s="6" t="n"/>
      <c r="N454" s="5" t="inlineStr">
        <is>
          <t>BASE MINERA (decision 2026-07-20): mina Proano 1043 t de 3135.43 t mineras (USGS) = 33.3pct; CAMIMEX publico 45pct (base metalurgica 2311 t); Fresnillo plc aun no existia (spin-off 2008)</t>
        </is>
      </c>
      <c r="O454" s="11">
        <f>IF(AND(ISNUMBER(G454),ISNUMBER(J454),J454&lt;&gt;0,H454=K454),G454/J454*100,"")</f>
        <v/>
      </c>
      <c r="P454" s="11">
        <f>IF(AND(ISNUMBER(O454),ISNUMBER(I454)),ROUND(O454-I454,2),"")</f>
        <v/>
      </c>
    </row>
    <row r="455">
      <c r="A455" s="9" t="inlineStr">
        <is>
          <t>Cobre</t>
        </is>
      </c>
      <c r="B455" s="9" t="n">
        <v>2007</v>
      </c>
      <c r="C455" s="9" t="inlineStr">
        <is>
          <t>empresa</t>
        </is>
      </c>
      <c r="D455" s="9" t="n"/>
      <c r="E455" s="9" t="inlineStr">
        <is>
          <t>Grupo Mexico</t>
        </is>
      </c>
      <c r="F455" s="9" t="n"/>
      <c r="G455" s="9" t="n"/>
      <c r="H455" s="9" t="inlineStr">
        <is>
          <t>toneladas</t>
        </is>
      </c>
      <c r="I455" s="9" t="n"/>
      <c r="J455" s="9" t="n">
        <v>335502</v>
      </c>
      <c r="K455" s="9" t="inlineStr">
        <is>
          <t>toneladas</t>
        </is>
      </c>
      <c r="L455" s="8" t="inlineStr">
        <is>
          <t>Informe CAMIMEX 2008 + USGS MYB</t>
        </is>
      </c>
      <c r="M455" s="9" t="n"/>
      <c r="N455" s="8" t="inlineStr">
        <is>
          <t>Lider (implicito); huelga Cananea 5 meses = -91 mil t segun GMexico; total USGS MYB 335502 (coincide con B3); Frontera Copper 24380 catodos; Milpillas (Penoles) 6400; sin pct publicado</t>
        </is>
      </c>
      <c r="O455" s="11">
        <f>IF(AND(ISNUMBER(G455),ISNUMBER(J455),J455&lt;&gt;0,H455=K455),G455/J455*100,"")</f>
        <v/>
      </c>
      <c r="P455" s="11">
        <f>IF(AND(ISNUMBER(O455),ISNUMBER(I455)),ROUND(O455-I455,2),"")</f>
        <v/>
      </c>
    </row>
    <row r="456">
      <c r="A456" s="6" t="inlineStr">
        <is>
          <t>Zinc</t>
        </is>
      </c>
      <c r="B456" s="6" t="n">
        <v>2007</v>
      </c>
      <c r="C456" s="6" t="inlineStr">
        <is>
          <t>empresa</t>
        </is>
      </c>
      <c r="D456" s="6" t="n"/>
      <c r="E456" s="6" t="inlineStr">
        <is>
          <t>Industrias Penoles</t>
        </is>
      </c>
      <c r="F456" s="6" t="n"/>
      <c r="G456" s="6" t="n"/>
      <c r="H456" s="6" t="inlineStr">
        <is>
          <t>toneladas</t>
        </is>
      </c>
      <c r="I456" s="6" t="n"/>
      <c r="J456" s="6" t="n">
        <v>452012</v>
      </c>
      <c r="K456" s="6" t="inlineStr">
        <is>
          <t>toneladas</t>
        </is>
      </c>
      <c r="L456" s="5" t="inlineStr">
        <is>
          <t>Informe CAMIMEX 2008 + USGS MYB</t>
        </is>
      </c>
      <c r="M456" s="6" t="n"/>
      <c r="N456" s="5" t="inlineStr">
        <is>
          <t>Lider inferido: FIM 61082 + Bismark 40851 + Tizapa Sabinas Naica; Charcas (GMexico) mayor unidad 63974 (14.2pct); paro San Martin y Taxco; total minero USGS MYB 452012; metalurgica 426509</t>
        </is>
      </c>
      <c r="O456" s="11">
        <f>IF(AND(ISNUMBER(G456),ISNUMBER(J456),J456&lt;&gt;0,H456=K456),G456/J456*100,"")</f>
        <v/>
      </c>
      <c r="P456" s="11">
        <f>IF(AND(ISNUMBER(O456),ISNUMBER(I456)),ROUND(O456-I456,2),"")</f>
        <v/>
      </c>
    </row>
    <row r="457">
      <c r="A457" s="9" t="inlineStr">
        <is>
          <t>Plomo</t>
        </is>
      </c>
      <c r="B457" s="9" t="n">
        <v>2007</v>
      </c>
      <c r="C457" s="9" t="inlineStr">
        <is>
          <t>empresa</t>
        </is>
      </c>
      <c r="D457" s="9" t="n"/>
      <c r="E457" s="9" t="inlineStr">
        <is>
          <t>Industrias Penoles</t>
        </is>
      </c>
      <c r="F457" s="9" t="n"/>
      <c r="G457" s="9" t="n">
        <v>28000</v>
      </c>
      <c r="H457" s="9" t="inlineStr">
        <is>
          <t>toneladas</t>
        </is>
      </c>
      <c r="I457" s="9" t="n"/>
      <c r="J457" s="9" t="n">
        <v>137133</v>
      </c>
      <c r="K457" s="9" t="inlineStr">
        <is>
          <t>toneladas</t>
        </is>
      </c>
      <c r="L457" s="8" t="inlineStr">
        <is>
          <t>Informe CAMIMEX 2008 + USGS MYB</t>
        </is>
      </c>
      <c r="M457" s="9" t="n"/>
      <c r="N457" s="8" t="inlineStr">
        <is>
          <t>Naica mayor productor 28 mil t = 20.4pct del total minero USGS 137133 (inundacion inicio 2007); CAMIMEX citaba 99100 (serie metalurgica; B3 89838); sin pct del lider por empresa</t>
        </is>
      </c>
      <c r="O457" s="11">
        <f>IF(AND(ISNUMBER(G457),ISNUMBER(J457),J457&lt;&gt;0,H457=K457),G457/J457*100,"")</f>
        <v/>
      </c>
      <c r="P457" s="11">
        <f>IF(AND(ISNUMBER(O457),ISNUMBER(I457)),ROUND(O457-I457,2),"")</f>
        <v/>
      </c>
    </row>
    <row r="458">
      <c r="A458" s="6" t="inlineStr">
        <is>
          <t>Manganeso</t>
        </is>
      </c>
      <c r="B458" s="6" t="n">
        <v>2007</v>
      </c>
      <c r="C458" s="6" t="inlineStr">
        <is>
          <t>empresa</t>
        </is>
      </c>
      <c r="D458" s="6" t="n"/>
      <c r="E458" s="6" t="inlineStr">
        <is>
          <t>Compania Minera Autlan</t>
        </is>
      </c>
      <c r="F458" s="6" t="n"/>
      <c r="G458" s="6" t="n"/>
      <c r="H458" s="6" t="inlineStr">
        <is>
          <t>toneladas</t>
        </is>
      </c>
      <c r="I458" s="6" t="n">
        <v>100</v>
      </c>
      <c r="J458" s="6" t="n">
        <v>152446</v>
      </c>
      <c r="K458" s="6" t="inlineStr">
        <is>
          <t>toneladas</t>
        </is>
      </c>
      <c r="L458" s="5" t="inlineStr">
        <is>
          <t>Informe CAMIMEX + INEGI B3</t>
        </is>
      </c>
      <c r="M458" s="6" t="n"/>
      <c r="N458" s="5" t="inlineStr">
        <is>
          <t>Productor unico nacional (monopolio 1993-2025)</t>
        </is>
      </c>
      <c r="O458" s="11">
        <f>IF(AND(ISNUMBER(G458),ISNUMBER(J458),J458&lt;&gt;0,H458=K458),G458/J458*100,"")</f>
        <v/>
      </c>
      <c r="P458" s="11">
        <f>IF(AND(ISNUMBER(O458),ISNUMBER(I458)),ROUND(O458-I458,2),"")</f>
        <v/>
      </c>
    </row>
    <row r="459">
      <c r="A459" s="9" t="inlineStr">
        <is>
          <t>Barita</t>
        </is>
      </c>
      <c r="B459" s="9" t="n">
        <v>2007</v>
      </c>
      <c r="C459" s="9" t="inlineStr">
        <is>
          <t>empresa</t>
        </is>
      </c>
      <c r="D459" s="9" t="n"/>
      <c r="E459" s="9" t="inlineStr">
        <is>
          <t>Baramin</t>
        </is>
      </c>
      <c r="F459" s="9" t="n"/>
      <c r="G459" s="9" t="n">
        <v>111250</v>
      </c>
      <c r="H459" s="9" t="inlineStr">
        <is>
          <t>toneladas</t>
        </is>
      </c>
      <c r="I459" s="9" t="n">
        <v>59.8</v>
      </c>
      <c r="J459" s="9" t="n">
        <v>185921</v>
      </c>
      <c r="K459" s="9" t="inlineStr">
        <is>
          <t>toneladas</t>
        </is>
      </c>
      <c r="L459" s="8" t="inlineStr">
        <is>
          <t>Informe CAMIMEX 2008</t>
        </is>
      </c>
      <c r="M459" s="9" t="n"/>
      <c r="N459" s="8" t="inlineStr">
        <is>
          <t>Baramin 111250 t grado API molida de 185921 B3 = 59.8pct (CAMIMEX preliminar 240780 daria 46.2pct)</t>
        </is>
      </c>
      <c r="O459" s="11">
        <f>IF(AND(ISNUMBER(G459),ISNUMBER(J459),J459&lt;&gt;0,H459=K459),G459/J459*100,"")</f>
        <v/>
      </c>
      <c r="P459" s="11">
        <f>IF(AND(ISNUMBER(O459),ISNUMBER(I459)),ROUND(O459-I459,2),"")</f>
        <v/>
      </c>
    </row>
    <row r="460">
      <c r="A460" s="6" t="inlineStr">
        <is>
          <t>Fluorita</t>
        </is>
      </c>
      <c r="B460" s="6" t="n">
        <v>2007</v>
      </c>
      <c r="C460" s="6" t="inlineStr">
        <is>
          <t>empresa</t>
        </is>
      </c>
      <c r="D460" s="6" t="n"/>
      <c r="E460" s="6" t="inlineStr">
        <is>
          <t>Cia. Minera Las Cuevas (Mexichem)</t>
        </is>
      </c>
      <c r="F460" s="6" t="inlineStr">
        <is>
          <t>San Luis Potosi</t>
        </is>
      </c>
      <c r="G460" s="6" t="n"/>
      <c r="H460" s="6" t="inlineStr">
        <is>
          <t>toneladas</t>
        </is>
      </c>
      <c r="I460" s="6" t="n">
        <v>77.61</v>
      </c>
      <c r="J460" s="6" t="n">
        <v>933361</v>
      </c>
      <c r="K460" s="6" t="inlineStr">
        <is>
          <t>toneladas</t>
        </is>
      </c>
      <c r="L460" s="5" t="inlineStr">
        <is>
          <t>Informe CAMIMEX 2008 + INEGI B3</t>
        </is>
      </c>
      <c r="M460" s="6" t="n"/>
      <c r="N460" s="5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2008; monopolio de facto (Mexichem); total INEGI B3'</t>
        </is>
      </c>
      <c r="O460" s="11">
        <f>IF(AND(ISNUMBER(G460),ISNUMBER(J460),J460&lt;&gt;0,H460=K460),G460/J460*100,"")</f>
        <v/>
      </c>
      <c r="P460" s="11">
        <f>IF(AND(ISNUMBER(O460),ISNUMBER(I460)),ROUND(O460-I460,2),"")</f>
        <v/>
      </c>
    </row>
    <row r="461">
      <c r="A461" s="9" t="inlineStr">
        <is>
          <t>Fluorita</t>
        </is>
      </c>
      <c r="B461" s="9" t="n">
        <v>2007</v>
      </c>
      <c r="C461" s="9" t="inlineStr">
        <is>
          <t>empresa</t>
        </is>
      </c>
      <c r="D461" s="9" t="n"/>
      <c r="E461" s="9" t="inlineStr">
        <is>
          <t>Fluorita de Mexico (Corp. Alfil 51% / Applied Industrial Minerals 49%)</t>
        </is>
      </c>
      <c r="F461" s="9" t="inlineStr">
        <is>
          <t>Coahuila</t>
        </is>
      </c>
      <c r="G461" s="9" t="n"/>
      <c r="H461" s="9" t="inlineStr">
        <is>
          <t>toneladas</t>
        </is>
      </c>
      <c r="I461" s="9" t="n">
        <v>22.39</v>
      </c>
      <c r="J461" s="9" t="n">
        <v>933361</v>
      </c>
      <c r="K461" s="9" t="inlineStr">
        <is>
          <t>toneladas</t>
        </is>
      </c>
      <c r="L461" s="8" t="inlineStr">
        <is>
          <t>Informe CAMIMEX 2008 + INEGI B3</t>
        </is>
      </c>
      <c r="M461" s="9" t="n"/>
      <c r="N461" s="8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2008; monopolio de facto (Mexichem); total INEGI B3'</t>
        </is>
      </c>
      <c r="O461" s="11">
        <f>IF(AND(ISNUMBER(G461),ISNUMBER(J461),J461&lt;&gt;0,H461=K461),G461/J461*100,"")</f>
        <v/>
      </c>
      <c r="P461" s="11">
        <f>IF(AND(ISNUMBER(O461),ISNUMBER(I461)),ROUND(O461-I461,2),"")</f>
        <v/>
      </c>
    </row>
    <row r="462">
      <c r="A462" s="6" t="inlineStr">
        <is>
          <t>Silice</t>
        </is>
      </c>
      <c r="B462" s="6" t="n">
        <v>2007</v>
      </c>
      <c r="C462" s="6" t="inlineStr">
        <is>
          <t>empresa</t>
        </is>
      </c>
      <c r="D462" s="6" t="n"/>
      <c r="E462" s="6" t="inlineStr">
        <is>
          <t>Grupo Materias Primas</t>
        </is>
      </c>
      <c r="F462" s="6" t="n"/>
      <c r="G462" s="6" t="n">
        <v>1930000</v>
      </c>
      <c r="H462" s="6" t="inlineStr">
        <is>
          <t>toneladas</t>
        </is>
      </c>
      <c r="I462" s="6" t="n">
        <v>66.40000000000001</v>
      </c>
      <c r="J462" s="6" t="n">
        <v>2904537</v>
      </c>
      <c r="K462" s="6" t="inlineStr">
        <is>
          <t>toneladas</t>
        </is>
      </c>
      <c r="L462" s="5" t="inlineStr">
        <is>
          <t>Informe CAMIMEX 2008</t>
        </is>
      </c>
      <c r="M462" s="6" t="n"/>
      <c r="N462" s="5" t="inlineStr">
        <is>
          <t>GMP principal productora: 1.93Mt (+4pct vs 2006) de 2904537 CAMIMEX = 66.4pct (B3 2950438 daria 65.4pct)</t>
        </is>
      </c>
      <c r="O462" s="11">
        <f>IF(AND(ISNUMBER(G462),ISNUMBER(J462),J462&lt;&gt;0,H462=K462),G462/J462*100,"")</f>
        <v/>
      </c>
      <c r="P462" s="11">
        <f>IF(AND(ISNUMBER(O462),ISNUMBER(I462)),ROUND(O462-I462,2),"")</f>
        <v/>
      </c>
    </row>
    <row r="463">
      <c r="A463" s="9" t="inlineStr">
        <is>
          <t>Grafito</t>
        </is>
      </c>
      <c r="B463" s="9" t="n">
        <v>2007</v>
      </c>
      <c r="C463" s="9" t="inlineStr">
        <is>
          <t>empresa</t>
        </is>
      </c>
      <c r="D463" s="9" t="n"/>
      <c r="E463" s="9" t="inlineStr">
        <is>
          <t>ninguno</t>
        </is>
      </c>
      <c r="F463" s="9" t="n"/>
      <c r="G463" s="9" t="n"/>
      <c r="H463" s="9" t="inlineStr">
        <is>
          <t>toneladas</t>
        </is>
      </c>
      <c r="I463" s="9" t="n"/>
      <c r="J463" s="9" t="n">
        <v>9900</v>
      </c>
      <c r="K463" s="9" t="inlineStr">
        <is>
          <t>toneladas</t>
        </is>
      </c>
      <c r="L463" s="8" t="inlineStr">
        <is>
          <t>CAMIMEX no desglosa</t>
        </is>
      </c>
      <c r="M463" s="9" t="n"/>
      <c r="N463" s="8" t="inlineStr">
        <is>
          <t>Caso de contraste; atomizado; total INEGI B3</t>
        </is>
      </c>
      <c r="O463" s="11">
        <f>IF(AND(ISNUMBER(G463),ISNUMBER(J463),J463&lt;&gt;0,H463=K463),G463/J463*100,"")</f>
        <v/>
      </c>
      <c r="P463" s="11">
        <f>IF(AND(ISNUMBER(O463),ISNUMBER(I463)),ROUND(O463-I463,2),"")</f>
        <v/>
      </c>
    </row>
    <row r="464">
      <c r="A464" s="6" t="inlineStr">
        <is>
          <t>Oro</t>
        </is>
      </c>
      <c r="B464" s="6" t="n">
        <v>2006</v>
      </c>
      <c r="C464" s="6" t="inlineStr">
        <is>
          <t>empresa</t>
        </is>
      </c>
      <c r="D464" s="6" t="n"/>
      <c r="E464" s="6" t="inlineStr">
        <is>
          <t>Goldcorp</t>
        </is>
      </c>
      <c r="F464" s="6" t="n"/>
      <c r="G464" s="6" t="n"/>
      <c r="H464" s="6" t="inlineStr">
        <is>
          <t>miles oz</t>
        </is>
      </c>
      <c r="I464" s="6" t="n"/>
      <c r="J464" s="6" t="n">
        <v>38.961</v>
      </c>
      <c r="K464" s="6" t="inlineStr">
        <is>
          <t>toneladas</t>
        </is>
      </c>
      <c r="L464" s="5" t="inlineStr">
        <is>
          <t>Informe CAMIMEX 2007 + USGS MYB</t>
        </is>
      </c>
      <c r="M464" s="6" t="n"/>
      <c r="N464" s="5" t="inlineStr">
        <is>
          <t>Lider inferido al cierre: con Glamis (nov-2006) controla El Sauzal (Urique 24.6pct municipal) + Tayoltita (San Dimas 12.8pct); Penoles (Caborca 15 + Cienega) ~23pct; liderazgo del anio calendario ambiguo; total minero USGS MYB 38961 kg</t>
        </is>
      </c>
      <c r="O464" s="11">
        <f>IF(AND(ISNUMBER(G464),ISNUMBER(J464),J464&lt;&gt;0,H464=K464),G464/J464*100,"")</f>
        <v/>
      </c>
      <c r="P464" s="11">
        <f>IF(AND(ISNUMBER(O464),ISNUMBER(I464)),ROUND(O464-I464,2),"")</f>
        <v/>
      </c>
    </row>
    <row r="465">
      <c r="A465" s="9" t="inlineStr">
        <is>
          <t>Plata</t>
        </is>
      </c>
      <c r="B465" s="9" t="n">
        <v>2006</v>
      </c>
      <c r="C465" s="9" t="inlineStr">
        <is>
          <t>empresa</t>
        </is>
      </c>
      <c r="D465" s="9" t="n"/>
      <c r="E465" s="9" t="inlineStr">
        <is>
          <t>Industrias Penoles</t>
        </is>
      </c>
      <c r="F465" s="9" t="n"/>
      <c r="G465" s="9" t="n"/>
      <c r="H465" s="9" t="inlineStr">
        <is>
          <t>toneladas</t>
        </is>
      </c>
      <c r="I465" s="9" t="n">
        <v>34.9</v>
      </c>
      <c r="J465" s="9" t="n">
        <v>3028.4</v>
      </c>
      <c r="K465" s="9" t="inlineStr">
        <is>
          <t>toneladas</t>
        </is>
      </c>
      <c r="L465" s="8" t="inlineStr">
        <is>
          <t>Informe CAMIMEX 2007 + USGS MYB</t>
        </is>
      </c>
      <c r="M465" s="9" t="n"/>
      <c r="N465" s="8" t="inlineStr">
        <is>
          <t>Lider; municipio Fresnillo (mina Proano) = 34.9pct municipal INEGI; total minero USGS MYB 3028395 kg (97.4 Moz); metalurgica 2413 t; San Dimas (Goldcorp) 2do 8.8pct</t>
        </is>
      </c>
      <c r="O465" s="11">
        <f>IF(AND(ISNUMBER(G465),ISNUMBER(J465),J465&lt;&gt;0,H465=K465),G465/J465*100,"")</f>
        <v/>
      </c>
      <c r="P465" s="11">
        <f>IF(AND(ISNUMBER(O465),ISNUMBER(I465)),ROUND(O465-I465,2),"")</f>
        <v/>
      </c>
    </row>
    <row r="466">
      <c r="A466" s="6" t="inlineStr">
        <is>
          <t>Cobre</t>
        </is>
      </c>
      <c r="B466" s="6" t="n">
        <v>2006</v>
      </c>
      <c r="C466" s="6" t="inlineStr">
        <is>
          <t>empresa</t>
        </is>
      </c>
      <c r="D466" s="6" t="n"/>
      <c r="E466" s="6" t="inlineStr">
        <is>
          <t>Grupo Mexico</t>
        </is>
      </c>
      <c r="F466" s="6" t="n"/>
      <c r="G466" s="6" t="n"/>
      <c r="H466" s="6" t="inlineStr">
        <is>
          <t>toneladas</t>
        </is>
      </c>
      <c r="I466" s="6" t="n">
        <v>82.5</v>
      </c>
      <c r="J466" s="6" t="n">
        <v>327536</v>
      </c>
      <c r="K466" s="6" t="inlineStr">
        <is>
          <t>toneladas</t>
        </is>
      </c>
      <c r="L466" s="5" t="inlineStr">
        <is>
          <t>Informe CAMIMEX 2007 + USGS MYB</t>
        </is>
      </c>
      <c r="M466" s="6" t="n"/>
      <c r="N466" s="5" t="inlineStr">
        <is>
          <t>Lider; suma municipal Cananea 61.4 + Nacozari 21.1 = 82.5pct (proxy municipal INEGI); total USGS MYB 327536 (coincide con B3)</t>
        </is>
      </c>
      <c r="O466" s="11">
        <f>IF(AND(ISNUMBER(G466),ISNUMBER(J466),J466&lt;&gt;0,H466=K466),G466/J466*100,"")</f>
        <v/>
      </c>
      <c r="P466" s="11">
        <f>IF(AND(ISNUMBER(O466),ISNUMBER(I466)),ROUND(O466-I466,2),"")</f>
        <v/>
      </c>
    </row>
    <row r="467">
      <c r="A467" s="9" t="inlineStr">
        <is>
          <t>Zinc</t>
        </is>
      </c>
      <c r="B467" s="9" t="n">
        <v>2006</v>
      </c>
      <c r="C467" s="9" t="inlineStr">
        <is>
          <t>empresa</t>
        </is>
      </c>
      <c r="D467" s="9" t="n"/>
      <c r="E467" s="9" t="inlineStr">
        <is>
          <t>Industrias Penoles</t>
        </is>
      </c>
      <c r="F467" s="9" t="n"/>
      <c r="G467" s="9" t="n"/>
      <c r="H467" s="9" t="inlineStr">
        <is>
          <t>toneladas</t>
        </is>
      </c>
      <c r="I467" s="9" t="n"/>
      <c r="J467" s="9" t="n">
        <v>468924</v>
      </c>
      <c r="K467" s="9" t="inlineStr">
        <is>
          <t>toneladas</t>
        </is>
      </c>
      <c r="L467" s="8" t="inlineStr">
        <is>
          <t>Informe CAMIMEX 2007 + USGS MYB</t>
        </is>
      </c>
      <c r="M467" s="9" t="n"/>
      <c r="N467" s="8" t="inlineStr">
        <is>
          <t>Lider inferido por municipios de sus unidades (Morelos 13.6 + Sombrerete + Ascension + Zacazonapan + Saucillo ~40pct); Charcas mayor unidad municipal 14.6pct; total minero USGS MYB 468924; metalurgica 432347</t>
        </is>
      </c>
      <c r="O467" s="11">
        <f>IF(AND(ISNUMBER(G467),ISNUMBER(J467),J467&lt;&gt;0,H467=K467),G467/J467*100,"")</f>
        <v/>
      </c>
      <c r="P467" s="11">
        <f>IF(AND(ISNUMBER(O467),ISNUMBER(I467)),ROUND(O467-I467,2),"")</f>
        <v/>
      </c>
    </row>
    <row r="468">
      <c r="A468" s="6" t="inlineStr">
        <is>
          <t>Plomo</t>
        </is>
      </c>
      <c r="B468" s="6" t="n">
        <v>2006</v>
      </c>
      <c r="C468" s="6" t="inlineStr">
        <is>
          <t>empresa</t>
        </is>
      </c>
      <c r="D468" s="6" t="n"/>
      <c r="E468" s="6" t="inlineStr">
        <is>
          <t>Industrias Penoles</t>
        </is>
      </c>
      <c r="F468" s="6" t="n"/>
      <c r="G468" s="6" t="n"/>
      <c r="H468" s="6" t="inlineStr">
        <is>
          <t>toneladas</t>
        </is>
      </c>
      <c r="I468" s="6" t="n"/>
      <c r="J468" s="6" t="n">
        <v>135025</v>
      </c>
      <c r="K468" s="6" t="inlineStr">
        <is>
          <t>toneladas</t>
        </is>
      </c>
      <c r="L468" s="5" t="inlineStr">
        <is>
          <t>Informe CAMIMEX 2007 + USGS MYB</t>
        </is>
      </c>
      <c r="M468" s="6" t="n"/>
      <c r="N468" s="5" t="inlineStr">
        <is>
          <t>Lider inferido: Saucillo (Naica) 23 + Fresnillo 8.5 + Morelos 7.2 = ~38.7pct municipal; total minero USGS MYB 135025; metalurgica 120450</t>
        </is>
      </c>
      <c r="O468" s="11">
        <f>IF(AND(ISNUMBER(G468),ISNUMBER(J468),J468&lt;&gt;0,H468=K468),G468/J468*100,"")</f>
        <v/>
      </c>
      <c r="P468" s="11">
        <f>IF(AND(ISNUMBER(O468),ISNUMBER(I468)),ROUND(O468-I468,2),"")</f>
        <v/>
      </c>
    </row>
    <row r="469">
      <c r="A469" s="9" t="inlineStr">
        <is>
          <t>Manganeso</t>
        </is>
      </c>
      <c r="B469" s="9" t="n">
        <v>2006</v>
      </c>
      <c r="C469" s="9" t="inlineStr">
        <is>
          <t>empresa</t>
        </is>
      </c>
      <c r="D469" s="9" t="n"/>
      <c r="E469" s="9" t="inlineStr">
        <is>
          <t>Compania Minera Autlan</t>
        </is>
      </c>
      <c r="F469" s="9" t="n"/>
      <c r="G469" s="9" t="n"/>
      <c r="H469" s="9" t="inlineStr">
        <is>
          <t>toneladas</t>
        </is>
      </c>
      <c r="I469" s="9" t="n">
        <v>100</v>
      </c>
      <c r="J469" s="9" t="n">
        <v>124417</v>
      </c>
      <c r="K469" s="9" t="inlineStr">
        <is>
          <t>toneladas</t>
        </is>
      </c>
      <c r="L469" s="8" t="inlineStr">
        <is>
          <t>Informe CAMIMEX + INEGI B3</t>
        </is>
      </c>
      <c r="M469" s="9" t="n"/>
      <c r="N469" s="8" t="inlineStr">
        <is>
          <t>Productor unico nacional (monopolio 1993-2025)</t>
        </is>
      </c>
      <c r="O469" s="11">
        <f>IF(AND(ISNUMBER(G469),ISNUMBER(J469),J469&lt;&gt;0,H469=K469),G469/J469*100,"")</f>
        <v/>
      </c>
      <c r="P469" s="11">
        <f>IF(AND(ISNUMBER(O469),ISNUMBER(I469)),ROUND(O469-I469,2),"")</f>
        <v/>
      </c>
    </row>
    <row r="470">
      <c r="A470" s="6" t="inlineStr">
        <is>
          <t>Barita</t>
        </is>
      </c>
      <c r="B470" s="6" t="n">
        <v>2006</v>
      </c>
      <c r="C470" s="6" t="inlineStr">
        <is>
          <t>empresa</t>
        </is>
      </c>
      <c r="D470" s="6" t="n"/>
      <c r="E470" s="6" t="inlineStr">
        <is>
          <t>Baramin</t>
        </is>
      </c>
      <c r="F470" s="6" t="n"/>
      <c r="G470" s="6" t="n">
        <v>150000</v>
      </c>
      <c r="H470" s="6" t="inlineStr">
        <is>
          <t>toneladas</t>
        </is>
      </c>
      <c r="I470" s="6" t="n">
        <v>75.2</v>
      </c>
      <c r="J470" s="6" t="n">
        <v>199605</v>
      </c>
      <c r="K470" s="6" t="inlineStr">
        <is>
          <t>toneladas</t>
        </is>
      </c>
      <c r="L470" s="5" t="inlineStr">
        <is>
          <t>Informe CAMIMEX 2007</t>
        </is>
      </c>
      <c r="M470" s="6" t="n"/>
      <c r="N470" s="5" t="inlineStr">
        <is>
          <t>Baramin principal productora: mas de 150 mil t de 199605 B3 = 75.2pct (CAMIMEX preliminar 206106 daria 72.8pct)</t>
        </is>
      </c>
      <c r="O470" s="11">
        <f>IF(AND(ISNUMBER(G470),ISNUMBER(J470),J470&lt;&gt;0,H470=K470),G470/J470*100,"")</f>
        <v/>
      </c>
      <c r="P470" s="11">
        <f>IF(AND(ISNUMBER(O470),ISNUMBER(I470)),ROUND(O470-I470,2),"")</f>
        <v/>
      </c>
    </row>
    <row r="471">
      <c r="A471" s="9" t="inlineStr">
        <is>
          <t>Fluorita</t>
        </is>
      </c>
      <c r="B471" s="9" t="n">
        <v>2006</v>
      </c>
      <c r="C471" s="9" t="inlineStr">
        <is>
          <t>empresa</t>
        </is>
      </c>
      <c r="D471" s="9" t="n"/>
      <c r="E471" s="9" t="inlineStr">
        <is>
          <t>Cia. Minera Las Cuevas (Mexichem)</t>
        </is>
      </c>
      <c r="F471" s="9" t="inlineStr">
        <is>
          <t>San Luis Potosi</t>
        </is>
      </c>
      <c r="G471" s="9" t="n"/>
      <c r="H471" s="9" t="inlineStr">
        <is>
          <t>toneladas</t>
        </is>
      </c>
      <c r="I471" s="9" t="n">
        <v>77.61</v>
      </c>
      <c r="J471" s="9" t="n">
        <v>936433</v>
      </c>
      <c r="K471" s="9" t="inlineStr">
        <is>
          <t>toneladas</t>
        </is>
      </c>
      <c r="L471" s="8" t="inlineStr">
        <is>
          <t>Informe CAMIMEX 2007 + INEGI B3</t>
        </is>
      </c>
      <c r="M471" s="9" t="n"/>
      <c r="N471" s="8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2007; monopolio de facto (Mexichem/Quimica Fluor); total INEGI B3'</t>
        </is>
      </c>
      <c r="O471" s="11">
        <f>IF(AND(ISNUMBER(G471),ISNUMBER(J471),J471&lt;&gt;0,H471=K471),G471/J471*100,"")</f>
        <v/>
      </c>
      <c r="P471" s="11">
        <f>IF(AND(ISNUMBER(O471),ISNUMBER(I471)),ROUND(O471-I471,2),"")</f>
        <v/>
      </c>
    </row>
    <row r="472">
      <c r="A472" s="6" t="inlineStr">
        <is>
          <t>Fluorita</t>
        </is>
      </c>
      <c r="B472" s="6" t="n">
        <v>2006</v>
      </c>
      <c r="C472" s="6" t="inlineStr">
        <is>
          <t>empresa</t>
        </is>
      </c>
      <c r="D472" s="6" t="n"/>
      <c r="E472" s="6" t="inlineStr">
        <is>
          <t>Fluorita de Mexico (Corp. Alfil 51% / Applied Industrial Minerals 49%)</t>
        </is>
      </c>
      <c r="F472" s="6" t="inlineStr">
        <is>
          <t>Coahuila</t>
        </is>
      </c>
      <c r="G472" s="6" t="n"/>
      <c r="H472" s="6" t="inlineStr">
        <is>
          <t>toneladas</t>
        </is>
      </c>
      <c r="I472" s="6" t="n">
        <v>22.39</v>
      </c>
      <c r="J472" s="6" t="n">
        <v>936433</v>
      </c>
      <c r="K472" s="6" t="inlineStr">
        <is>
          <t>toneladas</t>
        </is>
      </c>
      <c r="L472" s="5" t="inlineStr">
        <is>
          <t>Informe CAMIMEX 2007 + INEGI B3</t>
        </is>
      </c>
      <c r="M472" s="6" t="n"/>
      <c r="N472" s="5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2007; monopolio de facto (Mexichem/Quimica Fluor); total INEGI B3'</t>
        </is>
      </c>
      <c r="O472" s="11">
        <f>IF(AND(ISNUMBER(G472),ISNUMBER(J472),J472&lt;&gt;0,H472=K472),G472/J472*100,"")</f>
        <v/>
      </c>
      <c r="P472" s="11">
        <f>IF(AND(ISNUMBER(O472),ISNUMBER(I472)),ROUND(O472-I472,2),"")</f>
        <v/>
      </c>
    </row>
    <row r="473">
      <c r="A473" s="9" t="inlineStr">
        <is>
          <t>Silice</t>
        </is>
      </c>
      <c r="B473" s="9" t="n">
        <v>2006</v>
      </c>
      <c r="C473" s="9" t="inlineStr">
        <is>
          <t>empresa</t>
        </is>
      </c>
      <c r="D473" s="9" t="n"/>
      <c r="E473" s="9" t="inlineStr">
        <is>
          <t>Grupo Materias Primas</t>
        </is>
      </c>
      <c r="F473" s="9" t="n"/>
      <c r="G473" s="9" t="n">
        <v>1933407</v>
      </c>
      <c r="H473" s="9" t="inlineStr">
        <is>
          <t>toneladas</t>
        </is>
      </c>
      <c r="I473" s="9" t="n">
        <v>72.59999999999999</v>
      </c>
      <c r="J473" s="9" t="n">
        <v>2661770</v>
      </c>
      <c r="K473" s="9" t="inlineStr">
        <is>
          <t>toneladas</t>
        </is>
      </c>
      <c r="L473" s="8" t="inlineStr">
        <is>
          <t>Informe CAMIMEX 2007</t>
        </is>
      </c>
      <c r="M473" s="9" t="n"/>
      <c r="N473" s="8" t="inlineStr">
        <is>
          <t>GMP principal productor: 1933407 t (+4pct vs 2005) de 2661770 B3 = 72.6pct</t>
        </is>
      </c>
      <c r="O473" s="11">
        <f>IF(AND(ISNUMBER(G473),ISNUMBER(J473),J473&lt;&gt;0,H473=K473),G473/J473*100,"")</f>
        <v/>
      </c>
      <c r="P473" s="11">
        <f>IF(AND(ISNUMBER(O473),ISNUMBER(I473)),ROUND(O473-I473,2),"")</f>
        <v/>
      </c>
    </row>
    <row r="474">
      <c r="A474" s="6" t="inlineStr">
        <is>
          <t>Grafito</t>
        </is>
      </c>
      <c r="B474" s="6" t="n">
        <v>2006</v>
      </c>
      <c r="C474" s="6" t="inlineStr">
        <is>
          <t>empresa</t>
        </is>
      </c>
      <c r="D474" s="6" t="n"/>
      <c r="E474" s="6" t="inlineStr">
        <is>
          <t>ninguno</t>
        </is>
      </c>
      <c r="F474" s="6" t="n"/>
      <c r="G474" s="6" t="n"/>
      <c r="H474" s="6" t="inlineStr">
        <is>
          <t>toneladas</t>
        </is>
      </c>
      <c r="I474" s="6" t="n"/>
      <c r="J474" s="6" t="n">
        <v>11773</v>
      </c>
      <c r="K474" s="6" t="inlineStr">
        <is>
          <t>toneladas</t>
        </is>
      </c>
      <c r="L474" s="5" t="inlineStr">
        <is>
          <t>CAMIMEX no desglosa</t>
        </is>
      </c>
      <c r="M474" s="6" t="n"/>
      <c r="N474" s="5" t="inlineStr">
        <is>
          <t>Caso de contraste; atomizado; total INEGI B3</t>
        </is>
      </c>
      <c r="O474" s="11">
        <f>IF(AND(ISNUMBER(G474),ISNUMBER(J474),J474&lt;&gt;0,H474=K474),G474/J474*100,"")</f>
        <v/>
      </c>
      <c r="P474" s="11">
        <f>IF(AND(ISNUMBER(O474),ISNUMBER(I474)),ROUND(O474-I474,2),"")</f>
        <v/>
      </c>
    </row>
    <row r="475">
      <c r="A475" s="9" t="inlineStr">
        <is>
          <t>Oro</t>
        </is>
      </c>
      <c r="B475" s="9" t="n">
        <v>2005</v>
      </c>
      <c r="C475" s="9" t="inlineStr">
        <is>
          <t>empresa</t>
        </is>
      </c>
      <c r="D475" s="9" t="n"/>
      <c r="E475" s="9" t="inlineStr">
        <is>
          <t>Industrias Penoles</t>
        </is>
      </c>
      <c r="F475" s="9" t="n"/>
      <c r="G475" s="9" t="n"/>
      <c r="H475" s="9" t="inlineStr">
        <is>
          <t>miles oz</t>
        </is>
      </c>
      <c r="I475" s="9" t="n">
        <v>34.6</v>
      </c>
      <c r="J475" s="9" t="n">
        <v>31.555</v>
      </c>
      <c r="K475" s="9" t="inlineStr">
        <is>
          <t>toneladas</t>
        </is>
      </c>
      <c r="L475" s="8" t="inlineStr">
        <is>
          <t>Informe CAMIMEX 2006</t>
        </is>
      </c>
      <c r="M475" s="9" t="n">
        <v>51</v>
      </c>
      <c r="N475" s="8" t="inlineStr">
        <is>
          <t>Lider inferido municipal: Caborca (Herradura) 18.5 + Santiago Papasquiaro (Cienega) 16.1 = 34.6pct; Urique (El Sauzal Glamis) mayor municipio 19.4pct; total 31555 kg CAMIMEX</t>
        </is>
      </c>
      <c r="O475" s="11">
        <f>IF(AND(ISNUMBER(G475),ISNUMBER(J475),J475&lt;&gt;0,H475=K475),G475/J475*100,"")</f>
        <v/>
      </c>
      <c r="P475" s="11">
        <f>IF(AND(ISNUMBER(O475),ISNUMBER(I475)),ROUND(O475-I475,2),"")</f>
        <v/>
      </c>
    </row>
    <row r="476">
      <c r="A476" s="6" t="inlineStr">
        <is>
          <t>Plata</t>
        </is>
      </c>
      <c r="B476" s="6" t="n">
        <v>2005</v>
      </c>
      <c r="C476" s="6" t="inlineStr">
        <is>
          <t>empresa</t>
        </is>
      </c>
      <c r="D476" s="6" t="n"/>
      <c r="E476" s="6" t="inlineStr">
        <is>
          <t>Industrias Penoles</t>
        </is>
      </c>
      <c r="F476" s="6" t="n"/>
      <c r="G476" s="6" t="n"/>
      <c r="H476" s="6" t="inlineStr">
        <is>
          <t>toneladas</t>
        </is>
      </c>
      <c r="I476" s="6" t="n">
        <v>36.3</v>
      </c>
      <c r="J476" s="6" t="n">
        <v>93.09999999999999</v>
      </c>
      <c r="K476" s="6" t="inlineStr">
        <is>
          <t>millones oz</t>
        </is>
      </c>
      <c r="L476" s="5" t="inlineStr">
        <is>
          <t>Informe CAMIMEX 2006 + USGS MYB</t>
        </is>
      </c>
      <c r="M476" s="6" t="n">
        <v>52</v>
      </c>
      <c r="N476" s="5" t="inlineStr">
        <is>
          <t>Lider; municipio Fresnillo (Proano) = 36.3pct municipal INEGI; total minero USGS MYB 2894161 kg = 93.1 Moz; San Dimas 2do 7.1pct</t>
        </is>
      </c>
      <c r="O476" s="11">
        <f>IF(AND(ISNUMBER(G476),ISNUMBER(J476),J476&lt;&gt;0,H476=K476),G476/J476*100,"")</f>
        <v/>
      </c>
      <c r="P476" s="11">
        <f>IF(AND(ISNUMBER(O476),ISNUMBER(I476)),ROUND(O476-I476,2),"")</f>
        <v/>
      </c>
    </row>
    <row r="477">
      <c r="A477" s="9" t="inlineStr">
        <is>
          <t>Cobre</t>
        </is>
      </c>
      <c r="B477" s="9" t="n">
        <v>2005</v>
      </c>
      <c r="C477" s="9" t="inlineStr">
        <is>
          <t>empresa</t>
        </is>
      </c>
      <c r="D477" s="9" t="n"/>
      <c r="E477" s="9" t="inlineStr">
        <is>
          <t>Grupo Mexico</t>
        </is>
      </c>
      <c r="F477" s="9" t="n"/>
      <c r="G477" s="9" t="n">
        <v>371100</v>
      </c>
      <c r="H477" s="9" t="inlineStr">
        <is>
          <t>toneladas</t>
        </is>
      </c>
      <c r="I477" s="9" t="n">
        <v>86.59999999999999</v>
      </c>
      <c r="J477" s="9" t="n">
        <v>428632</v>
      </c>
      <c r="K477" s="9" t="inlineStr">
        <is>
          <t>toneladas</t>
        </is>
      </c>
      <c r="L477" s="8" t="inlineStr">
        <is>
          <t>Informe CAMIMEX 2006</t>
        </is>
      </c>
      <c r="M477" s="9" t="n"/>
      <c r="N477" s="8" t="inlineStr">
        <is>
          <t>Lider: Cananea 223334 + Nacozari 147766 = 371100 de 428632 municipal INEGI = 86.6pct</t>
        </is>
      </c>
      <c r="O477" s="11">
        <f>IF(AND(ISNUMBER(G477),ISNUMBER(J477),J477&lt;&gt;0,H477=K477),G477/J477*100,"")</f>
        <v/>
      </c>
      <c r="P477" s="11">
        <f>IF(AND(ISNUMBER(O477),ISNUMBER(I477)),ROUND(O477-I477,2),"")</f>
        <v/>
      </c>
    </row>
    <row r="478">
      <c r="A478" s="6" t="inlineStr">
        <is>
          <t>Zinc</t>
        </is>
      </c>
      <c r="B478" s="6" t="n">
        <v>2005</v>
      </c>
      <c r="C478" s="6" t="inlineStr">
        <is>
          <t>empresa</t>
        </is>
      </c>
      <c r="D478" s="6" t="n"/>
      <c r="E478" s="6" t="inlineStr">
        <is>
          <t>Industrias Penoles</t>
        </is>
      </c>
      <c r="F478" s="6" t="n"/>
      <c r="G478" s="6" t="n"/>
      <c r="H478" s="6" t="inlineStr">
        <is>
          <t>toneladas</t>
        </is>
      </c>
      <c r="I478" s="6" t="n"/>
      <c r="J478" s="6" t="n">
        <v>455625</v>
      </c>
      <c r="K478" s="6" t="inlineStr">
        <is>
          <t>toneladas</t>
        </is>
      </c>
      <c r="L478" s="5" t="inlineStr">
        <is>
          <t>Informe CAMIMEX 2006 + USGS MYB</t>
        </is>
      </c>
      <c r="M478" s="6" t="n">
        <v>55</v>
      </c>
      <c r="N478" s="5" t="inlineStr">
        <is>
          <t>Lider inferido municipal: Morelos 13.9 + Sombrerete 11.7 + Ascension 9.7 + Saucillo 4.4 = ~39.7pct; Mazapil (Tayahua Frisco) 2do 12.6; total minero USGS MYB 455625; metalurgica 427061</t>
        </is>
      </c>
      <c r="O478" s="11">
        <f>IF(AND(ISNUMBER(G478),ISNUMBER(J478),J478&lt;&gt;0,H478=K478),G478/J478*100,"")</f>
        <v/>
      </c>
      <c r="P478" s="11">
        <f>IF(AND(ISNUMBER(O478),ISNUMBER(I478)),ROUND(O478-I478,2),"")</f>
        <v/>
      </c>
    </row>
    <row r="479">
      <c r="A479" s="9" t="inlineStr">
        <is>
          <t>Plomo</t>
        </is>
      </c>
      <c r="B479" s="9" t="n">
        <v>2005</v>
      </c>
      <c r="C479" s="9" t="inlineStr">
        <is>
          <t>empresa</t>
        </is>
      </c>
      <c r="D479" s="9" t="n"/>
      <c r="E479" s="9" t="inlineStr">
        <is>
          <t>Industrias Penoles</t>
        </is>
      </c>
      <c r="F479" s="9" t="n"/>
      <c r="G479" s="9" t="n"/>
      <c r="H479" s="9" t="inlineStr">
        <is>
          <t>toneladas</t>
        </is>
      </c>
      <c r="I479" s="9" t="n"/>
      <c r="J479" s="9" t="n">
        <v>134388</v>
      </c>
      <c r="K479" s="9" t="inlineStr">
        <is>
          <t>toneladas</t>
        </is>
      </c>
      <c r="L479" s="8" t="inlineStr">
        <is>
          <t>Informe CAMIMEX 2006 + USGS MYB</t>
        </is>
      </c>
      <c r="M479" s="9" t="n">
        <v>54</v>
      </c>
      <c r="N479" s="8" t="inlineStr">
        <is>
          <t>Lider inferido municipal: Saucillo (Naica) 18.7 mayor municipio + Sombrerete + Morelos + Fresnillo; Mazapil (Frisco) 16.9; total minero USGS MYB 134388; metalurgica 121669</t>
        </is>
      </c>
      <c r="O479" s="11">
        <f>IF(AND(ISNUMBER(G479),ISNUMBER(J479),J479&lt;&gt;0,H479=K479),G479/J479*100,"")</f>
        <v/>
      </c>
      <c r="P479" s="11">
        <f>IF(AND(ISNUMBER(O479),ISNUMBER(I479)),ROUND(O479-I479,2),"")</f>
        <v/>
      </c>
    </row>
    <row r="480">
      <c r="A480" s="6" t="inlineStr">
        <is>
          <t>Manganeso</t>
        </is>
      </c>
      <c r="B480" s="6" t="n">
        <v>2005</v>
      </c>
      <c r="C480" s="6" t="inlineStr">
        <is>
          <t>empresa</t>
        </is>
      </c>
      <c r="D480" s="6" t="n"/>
      <c r="E480" s="6" t="inlineStr">
        <is>
          <t>Compania Minera Autlan</t>
        </is>
      </c>
      <c r="F480" s="6" t="n"/>
      <c r="G480" s="6" t="n"/>
      <c r="H480" s="6" t="inlineStr">
        <is>
          <t>toneladas</t>
        </is>
      </c>
      <c r="I480" s="6" t="n">
        <v>100</v>
      </c>
      <c r="J480" s="6" t="n">
        <v>132872</v>
      </c>
      <c r="K480" s="6" t="inlineStr">
        <is>
          <t>toneladas</t>
        </is>
      </c>
      <c r="L480" s="5" t="inlineStr">
        <is>
          <t>Informe CAMIMEX + INEGI B3</t>
        </is>
      </c>
      <c r="M480" s="6" t="n"/>
      <c r="N480" s="5" t="inlineStr">
        <is>
          <t>Productor unico nacional (monopolio 1993-2025)</t>
        </is>
      </c>
      <c r="O480" s="11">
        <f>IF(AND(ISNUMBER(G480),ISNUMBER(J480),J480&lt;&gt;0,H480=K480),G480/J480*100,"")</f>
        <v/>
      </c>
      <c r="P480" s="11">
        <f>IF(AND(ISNUMBER(O480),ISNUMBER(I480)),ROUND(O480-I480,2),"")</f>
        <v/>
      </c>
    </row>
    <row r="481">
      <c r="A481" s="9" t="inlineStr">
        <is>
          <t>Barita</t>
        </is>
      </c>
      <c r="B481" s="9" t="n">
        <v>2005</v>
      </c>
      <c r="C481" s="9" t="inlineStr">
        <is>
          <t>empresa</t>
        </is>
      </c>
      <c r="D481" s="9" t="n"/>
      <c r="E481" s="9" t="inlineStr">
        <is>
          <t>Baramin</t>
        </is>
      </c>
      <c r="F481" s="9" t="n"/>
      <c r="G481" s="9" t="n"/>
      <c r="H481" s="9" t="inlineStr">
        <is>
          <t>toneladas</t>
        </is>
      </c>
      <c r="I481" s="9" t="n"/>
      <c r="J481" s="9" t="n">
        <v>268657</v>
      </c>
      <c r="K481" s="9" t="inlineStr">
        <is>
          <t>toneladas</t>
        </is>
      </c>
      <c r="L481" s="8" t="inlineStr">
        <is>
          <t>Informe CAMIMEX 2006 + INEGI B3</t>
        </is>
      </c>
      <c r="M481" s="9" t="n"/>
      <c r="N481" s="8" t="inlineStr">
        <is>
          <t>Sin mencion de Baramin en Informe 2006 (Informe 2007: Baramin &gt;150 mil t en 2006); total INEGI B3</t>
        </is>
      </c>
      <c r="O481" s="11">
        <f>IF(AND(ISNUMBER(G481),ISNUMBER(J481),J481&lt;&gt;0,H481=K481),G481/J481*100,"")</f>
        <v/>
      </c>
      <c r="P481" s="11">
        <f>IF(AND(ISNUMBER(O481),ISNUMBER(I481)),ROUND(O481-I481,2),"")</f>
        <v/>
      </c>
    </row>
    <row r="482">
      <c r="A482" s="6" t="inlineStr">
        <is>
          <t>Fluorita</t>
        </is>
      </c>
      <c r="B482" s="6" t="n">
        <v>2005</v>
      </c>
      <c r="C482" s="6" t="inlineStr">
        <is>
          <t>empresa</t>
        </is>
      </c>
      <c r="D482" s="6" t="n"/>
      <c r="E482" s="6" t="inlineStr">
        <is>
          <t>Cia. Minera Las Cuevas (Mexichem)</t>
        </is>
      </c>
      <c r="F482" s="6" t="inlineStr">
        <is>
          <t>San Luis Potosi</t>
        </is>
      </c>
      <c r="G482" s="6" t="n"/>
      <c r="H482" s="6" t="inlineStr">
        <is>
          <t>toneladas</t>
        </is>
      </c>
      <c r="I482" s="6" t="n">
        <v>77.61</v>
      </c>
      <c r="J482" s="6" t="n">
        <v>875450</v>
      </c>
      <c r="K482" s="6" t="inlineStr">
        <is>
          <t>toneladas</t>
        </is>
      </c>
      <c r="L482" s="5" t="inlineStr">
        <is>
          <t>Informe CAMIMEX 2006 + INEGI B3</t>
        </is>
      </c>
      <c r="M482" s="6" t="n"/>
      <c r="N482" s="5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2006; monopolio de facto (Quimica Fluor/Mexichem); total INEGI B3'</t>
        </is>
      </c>
      <c r="O482" s="11">
        <f>IF(AND(ISNUMBER(G482),ISNUMBER(J482),J482&lt;&gt;0,H482=K482),G482/J482*100,"")</f>
        <v/>
      </c>
      <c r="P482" s="11">
        <f>IF(AND(ISNUMBER(O482),ISNUMBER(I482)),ROUND(O482-I482,2),"")</f>
        <v/>
      </c>
    </row>
    <row r="483">
      <c r="A483" s="9" t="inlineStr">
        <is>
          <t>Fluorita</t>
        </is>
      </c>
      <c r="B483" s="9" t="n">
        <v>2005</v>
      </c>
      <c r="C483" s="9" t="inlineStr">
        <is>
          <t>empresa</t>
        </is>
      </c>
      <c r="D483" s="9" t="n"/>
      <c r="E483" s="9" t="inlineStr">
        <is>
          <t>Fluorita de Mexico (Corp. Alfil 51% / Applied Industrial Minerals 49%)</t>
        </is>
      </c>
      <c r="F483" s="9" t="inlineStr">
        <is>
          <t>Coahuila</t>
        </is>
      </c>
      <c r="G483" s="9" t="n"/>
      <c r="H483" s="9" t="inlineStr">
        <is>
          <t>toneladas</t>
        </is>
      </c>
      <c r="I483" s="9" t="n">
        <v>22.39</v>
      </c>
      <c r="J483" s="9" t="n">
        <v>875450</v>
      </c>
      <c r="K483" s="9" t="inlineStr">
        <is>
          <t>toneladas</t>
        </is>
      </c>
      <c r="L483" s="8" t="inlineStr">
        <is>
          <t>Informe CAMIMEX 2006 + INEGI B3</t>
        </is>
      </c>
      <c r="M483" s="9" t="n"/>
      <c r="N483" s="8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'Sin empresa nombrada en Informe 2006; monopolio de facto (Quimica Fluor/Mexichem); total INEGI B3'</t>
        </is>
      </c>
      <c r="O483" s="11">
        <f>IF(AND(ISNUMBER(G483),ISNUMBER(J483),J483&lt;&gt;0,H483=K483),G483/J483*100,"")</f>
        <v/>
      </c>
      <c r="P483" s="11">
        <f>IF(AND(ISNUMBER(O483),ISNUMBER(I483)),ROUND(O483-I483,2),"")</f>
        <v/>
      </c>
    </row>
    <row r="484">
      <c r="A484" s="6" t="inlineStr">
        <is>
          <t>Silice</t>
        </is>
      </c>
      <c r="B484" s="6" t="n">
        <v>2005</v>
      </c>
      <c r="C484" s="6" t="inlineStr">
        <is>
          <t>empresa</t>
        </is>
      </c>
      <c r="D484" s="6" t="n"/>
      <c r="E484" s="6" t="inlineStr">
        <is>
          <t>Grupo Materias Primas</t>
        </is>
      </c>
      <c r="F484" s="6" t="n"/>
      <c r="G484" s="6" t="n"/>
      <c r="H484" s="6" t="inlineStr">
        <is>
          <t>toneladas</t>
        </is>
      </c>
      <c r="I484" s="6" t="n"/>
      <c r="J484" s="6" t="n">
        <v>2120878</v>
      </c>
      <c r="K484" s="6" t="inlineStr">
        <is>
          <t>toneladas</t>
        </is>
      </c>
      <c r="L484" s="5" t="inlineStr">
        <is>
          <t>Informe CAMIMEX 2006 + INEGI B3</t>
        </is>
      </c>
      <c r="M484" s="6" t="n"/>
      <c r="N484" s="5" t="inlineStr">
        <is>
          <t>GMP principal productor; implicito ~1.86Mt (Informe 2007: 1933407 en 2006 = +4pct) = ~87.7pct de 2120878 B3</t>
        </is>
      </c>
      <c r="O484" s="11">
        <f>IF(AND(ISNUMBER(G484),ISNUMBER(J484),J484&lt;&gt;0,H484=K484),G484/J484*100,"")</f>
        <v/>
      </c>
      <c r="P484" s="11">
        <f>IF(AND(ISNUMBER(O484),ISNUMBER(I484)),ROUND(O484-I484,2),"")</f>
        <v/>
      </c>
    </row>
    <row r="485">
      <c r="A485" s="9" t="inlineStr">
        <is>
          <t>Grafito</t>
        </is>
      </c>
      <c r="B485" s="9" t="n">
        <v>2005</v>
      </c>
      <c r="C485" s="9" t="inlineStr">
        <is>
          <t>empresa</t>
        </is>
      </c>
      <c r="D485" s="9" t="n"/>
      <c r="E485" s="9" t="inlineStr">
        <is>
          <t>ninguno</t>
        </is>
      </c>
      <c r="F485" s="9" t="n"/>
      <c r="G485" s="9" t="n"/>
      <c r="H485" s="9" t="inlineStr">
        <is>
          <t>toneladas</t>
        </is>
      </c>
      <c r="I485" s="9" t="n"/>
      <c r="J485" s="9" t="n">
        <v>12357</v>
      </c>
      <c r="K485" s="9" t="inlineStr">
        <is>
          <t>toneladas</t>
        </is>
      </c>
      <c r="L485" s="8" t="inlineStr">
        <is>
          <t>CAMIMEX no desglosa</t>
        </is>
      </c>
      <c r="M485" s="9" t="n"/>
      <c r="N485" s="8" t="inlineStr">
        <is>
          <t>Caso de contraste; atomizado; total INEGI B3</t>
        </is>
      </c>
      <c r="O485" s="11">
        <f>IF(AND(ISNUMBER(G485),ISNUMBER(J485),J485&lt;&gt;0,H485=K485),G485/J485*100,"")</f>
        <v/>
      </c>
      <c r="P485" s="11">
        <f>IF(AND(ISNUMBER(O485),ISNUMBER(I485)),ROUND(O485-I485,2),"")</f>
        <v/>
      </c>
    </row>
    <row r="486">
      <c r="A486" s="6" t="inlineStr">
        <is>
          <t>Oro</t>
        </is>
      </c>
      <c r="B486" s="6" t="n">
        <v>2004</v>
      </c>
      <c r="C486" s="6" t="inlineStr">
        <is>
          <t>empresa</t>
        </is>
      </c>
      <c r="D486" s="6" t="n"/>
      <c r="E486" s="6" t="inlineStr">
        <is>
          <t>Industrias Penoles</t>
        </is>
      </c>
      <c r="F486" s="6" t="n"/>
      <c r="G486" s="6" t="n"/>
      <c r="H486" s="6" t="inlineStr">
        <is>
          <t>miles oz</t>
        </is>
      </c>
      <c r="I486" s="6" t="n">
        <v>45.2</v>
      </c>
      <c r="J486" s="6" t="n">
        <v>24.496</v>
      </c>
      <c r="K486" s="6" t="inlineStr">
        <is>
          <t>toneladas</t>
        </is>
      </c>
      <c r="L486" s="5" t="inlineStr">
        <is>
          <t>Informe CAMIMEX 2005</t>
        </is>
      </c>
      <c r="M486" s="6" t="n">
        <v>59</v>
      </c>
      <c r="N486" s="5" t="inlineStr">
        <is>
          <t>Lider inferido municipal: Caborca (Herradura) 25.8 + Santiago Papasquiaro (Cienega) 19.4 = 45.2pct; San Dimas (Luismin) 12.1; total 24496 kg (Informe 2006); El Sauzal arranco fines 2004</t>
        </is>
      </c>
      <c r="O486" s="11">
        <f>IF(AND(ISNUMBER(G486),ISNUMBER(J486),J486&lt;&gt;0,H486=K486),G486/J486*100,"")</f>
        <v/>
      </c>
      <c r="P486" s="11">
        <f>IF(AND(ISNUMBER(O486),ISNUMBER(I486)),ROUND(O486-I486,2),"")</f>
        <v/>
      </c>
    </row>
    <row r="487">
      <c r="A487" s="9" t="inlineStr">
        <is>
          <t>Plata</t>
        </is>
      </c>
      <c r="B487" s="9" t="n">
        <v>2004</v>
      </c>
      <c r="C487" s="9" t="inlineStr">
        <is>
          <t>empresa</t>
        </is>
      </c>
      <c r="D487" s="9" t="n"/>
      <c r="E487" s="9" t="inlineStr">
        <is>
          <t>Industrias Penoles</t>
        </is>
      </c>
      <c r="F487" s="9" t="n"/>
      <c r="G487" s="9" t="n"/>
      <c r="H487" s="9" t="inlineStr">
        <is>
          <t>toneladas</t>
        </is>
      </c>
      <c r="I487" s="9" t="n"/>
      <c r="J487" s="9" t="n">
        <v>82.59999999999999</v>
      </c>
      <c r="K487" s="9" t="inlineStr">
        <is>
          <t>millones oz</t>
        </is>
      </c>
      <c r="L487" s="8" t="inlineStr">
        <is>
          <t>Informe CAMIMEX 2005 + USGS MYB</t>
        </is>
      </c>
      <c r="M487" s="9" t="n"/>
      <c r="N487" s="8" t="inlineStr">
        <is>
          <t>Lider inferido: mina Proano mayor productora nacional; total minero USGS MYB 2569478 kg = 82.6 Moz; metalurgica B3 2453 t; sin pct publicado</t>
        </is>
      </c>
      <c r="O487" s="11">
        <f>IF(AND(ISNUMBER(G487),ISNUMBER(J487),J487&lt;&gt;0,H487=K487),G487/J487*100,"")</f>
        <v/>
      </c>
      <c r="P487" s="11">
        <f>IF(AND(ISNUMBER(O487),ISNUMBER(I487)),ROUND(O487-I487,2),"")</f>
        <v/>
      </c>
    </row>
    <row r="488">
      <c r="A488" s="6" t="inlineStr">
        <is>
          <t>Cobre</t>
        </is>
      </c>
      <c r="B488" s="6" t="n">
        <v>2004</v>
      </c>
      <c r="C488" s="6" t="inlineStr">
        <is>
          <t>empresa</t>
        </is>
      </c>
      <c r="D488" s="6" t="n"/>
      <c r="E488" s="6" t="inlineStr">
        <is>
          <t>Grupo Mexico</t>
        </is>
      </c>
      <c r="F488" s="6" t="n"/>
      <c r="G488" s="6" t="n"/>
      <c r="H488" s="6" t="inlineStr">
        <is>
          <t>toneladas</t>
        </is>
      </c>
      <c r="I488" s="6" t="n"/>
      <c r="J488" s="6" t="n">
        <v>405540</v>
      </c>
      <c r="K488" s="6" t="inlineStr">
        <is>
          <t>toneladas</t>
        </is>
      </c>
      <c r="L488" s="5" t="inlineStr">
        <is>
          <t>Informe CAMIMEX 2005 + USGS MYB</t>
        </is>
      </c>
      <c r="M488" s="6" t="n"/>
      <c r="N488" s="5" t="inlineStr">
        <is>
          <t>Lider: Nacozari (La Caridad) 208944 t municipal (51.5pct del total); Cananea sin cifra legible; total minero USGS MYB 405540; metalurgica B3 352286; sin pct publicado</t>
        </is>
      </c>
      <c r="O488" s="11">
        <f>IF(AND(ISNUMBER(G488),ISNUMBER(J488),J488&lt;&gt;0,H488=K488),G488/J488*100,"")</f>
        <v/>
      </c>
      <c r="P488" s="11">
        <f>IF(AND(ISNUMBER(O488),ISNUMBER(I488)),ROUND(O488-I488,2),"")</f>
        <v/>
      </c>
    </row>
    <row r="489">
      <c r="A489" s="9" t="inlineStr">
        <is>
          <t>Zinc</t>
        </is>
      </c>
      <c r="B489" s="9" t="n">
        <v>2004</v>
      </c>
      <c r="C489" s="9" t="inlineStr">
        <is>
          <t>empresa</t>
        </is>
      </c>
      <c r="D489" s="9" t="n"/>
      <c r="E489" s="9" t="inlineStr">
        <is>
          <t>Industrias Penoles</t>
        </is>
      </c>
      <c r="F489" s="9" t="n"/>
      <c r="G489" s="9" t="n"/>
      <c r="H489" s="9" t="inlineStr">
        <is>
          <t>toneladas</t>
        </is>
      </c>
      <c r="I489" s="9" t="n"/>
      <c r="J489" s="9" t="n">
        <v>426360</v>
      </c>
      <c r="K489" s="9" t="inlineStr">
        <is>
          <t>toneladas</t>
        </is>
      </c>
      <c r="L489" s="8" t="inlineStr">
        <is>
          <t>Informe CAMIMEX 2005 + USGS MYB</t>
        </is>
      </c>
      <c r="M489" s="9" t="n"/>
      <c r="N489" s="8" t="inlineStr">
        <is>
          <t>Lider inferido (FIM Sabinas Bismark Tizapa Naica); patron consistente 2005-2012; total minero USGS MYB 426360; metalurgica B3 374428; sin pct publicado</t>
        </is>
      </c>
      <c r="O489" s="11">
        <f>IF(AND(ISNUMBER(G489),ISNUMBER(J489),J489&lt;&gt;0,H489=K489),G489/J489*100,"")</f>
        <v/>
      </c>
      <c r="P489" s="11">
        <f>IF(AND(ISNUMBER(O489),ISNUMBER(I489)),ROUND(O489-I489,2),"")</f>
        <v/>
      </c>
    </row>
    <row r="490">
      <c r="A490" s="6" t="inlineStr">
        <is>
          <t>Plomo</t>
        </is>
      </c>
      <c r="B490" s="6" t="n">
        <v>2004</v>
      </c>
      <c r="C490" s="6" t="inlineStr">
        <is>
          <t>empresa</t>
        </is>
      </c>
      <c r="D490" s="6" t="n"/>
      <c r="E490" s="6" t="inlineStr">
        <is>
          <t>Industrias Penoles</t>
        </is>
      </c>
      <c r="F490" s="6" t="n"/>
      <c r="G490" s="6" t="n"/>
      <c r="H490" s="6" t="inlineStr">
        <is>
          <t>toneladas</t>
        </is>
      </c>
      <c r="I490" s="6" t="n"/>
      <c r="J490" s="6" t="n">
        <v>118484</v>
      </c>
      <c r="K490" s="6" t="inlineStr">
        <is>
          <t>toneladas</t>
        </is>
      </c>
      <c r="L490" s="5" t="inlineStr">
        <is>
          <t>Informe CAMIMEX 2005 + USGS MYB</t>
        </is>
      </c>
      <c r="M490" s="6" t="n"/>
      <c r="N490" s="5" t="inlineStr">
        <is>
          <t>Lider inferido: Naica (Saucillo) mayor unidad nacional; patron consistente 2005-2009; total minero USGS MYB 118484; metalurgica B3 110931; sin pct publicado</t>
        </is>
      </c>
      <c r="O490" s="11">
        <f>IF(AND(ISNUMBER(G490),ISNUMBER(J490),J490&lt;&gt;0,H490=K490),G490/J490*100,"")</f>
        <v/>
      </c>
      <c r="P490" s="11">
        <f>IF(AND(ISNUMBER(O490),ISNUMBER(I490)),ROUND(O490-I490,2),"")</f>
        <v/>
      </c>
    </row>
    <row r="491">
      <c r="A491" s="9" t="inlineStr">
        <is>
          <t>Manganeso</t>
        </is>
      </c>
      <c r="B491" s="9" t="n">
        <v>2004</v>
      </c>
      <c r="C491" s="9" t="inlineStr">
        <is>
          <t>empresa</t>
        </is>
      </c>
      <c r="D491" s="9" t="n"/>
      <c r="E491" s="9" t="inlineStr">
        <is>
          <t>Compania Minera Autlan</t>
        </is>
      </c>
      <c r="F491" s="9" t="n"/>
      <c r="G491" s="9" t="n"/>
      <c r="H491" s="9" t="inlineStr">
        <is>
          <t>toneladas</t>
        </is>
      </c>
      <c r="I491" s="9" t="n">
        <v>100</v>
      </c>
      <c r="J491" s="9" t="n">
        <v>135893</v>
      </c>
      <c r="K491" s="9" t="inlineStr">
        <is>
          <t>toneladas</t>
        </is>
      </c>
      <c r="L491" s="8" t="inlineStr">
        <is>
          <t>Informe CAMIMEX + INEGI B3</t>
        </is>
      </c>
      <c r="M491" s="9" t="n"/>
      <c r="N491" s="8" t="inlineStr">
        <is>
          <t>Productor unico nacional (monopolio 1993-2025)</t>
        </is>
      </c>
      <c r="O491" s="11">
        <f>IF(AND(ISNUMBER(G491),ISNUMBER(J491),J491&lt;&gt;0,H491=K491),G491/J491*100,"")</f>
        <v/>
      </c>
      <c r="P491" s="11">
        <f>IF(AND(ISNUMBER(O491),ISNUMBER(I491)),ROUND(O491-I491,2),"")</f>
        <v/>
      </c>
    </row>
    <row r="492">
      <c r="A492" s="6" t="inlineStr">
        <is>
          <t>Barita</t>
        </is>
      </c>
      <c r="B492" s="6" t="n">
        <v>2004</v>
      </c>
      <c r="C492" s="6" t="inlineStr">
        <is>
          <t>empresa</t>
        </is>
      </c>
      <c r="D492" s="6" t="n"/>
      <c r="E492" s="6" t="inlineStr">
        <is>
          <t>Baramin</t>
        </is>
      </c>
      <c r="F492" s="6" t="n"/>
      <c r="G492" s="6" t="n">
        <v>170000</v>
      </c>
      <c r="H492" s="6" t="inlineStr">
        <is>
          <t>toneladas</t>
        </is>
      </c>
      <c r="I492" s="6" t="n">
        <v>55.4</v>
      </c>
      <c r="J492" s="6" t="n">
        <v>306668</v>
      </c>
      <c r="K492" s="6" t="inlineStr">
        <is>
          <t>toneladas</t>
        </is>
      </c>
      <c r="L492" s="5" t="inlineStr">
        <is>
          <t>Informe CAMIMEX 2005</t>
        </is>
      </c>
      <c r="M492" s="6" t="n"/>
      <c r="N492" s="5" t="inlineStr">
        <is>
          <t>Baramin 170 mil t de 306668 B3 = 55.4pct (CAMIMEX 298495 daria 57pct)</t>
        </is>
      </c>
      <c r="O492" s="11">
        <f>IF(AND(ISNUMBER(G492),ISNUMBER(J492),J492&lt;&gt;0,H492=K492),G492/J492*100,"")</f>
        <v/>
      </c>
      <c r="P492" s="11">
        <f>IF(AND(ISNUMBER(O492),ISNUMBER(I492)),ROUND(O492-I492,2),"")</f>
        <v/>
      </c>
    </row>
    <row r="493">
      <c r="A493" s="9" t="inlineStr">
        <is>
          <t>Fluorita</t>
        </is>
      </c>
      <c r="B493" s="9" t="n">
        <v>2004</v>
      </c>
      <c r="C493" s="9" t="inlineStr">
        <is>
          <t>empresa</t>
        </is>
      </c>
      <c r="D493" s="9" t="n"/>
      <c r="E493" s="9" t="inlineStr">
        <is>
          <t>Cia. Minera Las Cuevas (Mexichem)</t>
        </is>
      </c>
      <c r="F493" s="9" t="inlineStr">
        <is>
          <t>San Luis Potosi</t>
        </is>
      </c>
      <c r="G493" s="9" t="n">
        <v>627048</v>
      </c>
      <c r="H493" s="9" t="inlineStr">
        <is>
          <t>toneladas</t>
        </is>
      </c>
      <c r="I493" s="9" t="n">
        <v>74.43000000000001</v>
      </c>
      <c r="J493" s="9" t="n">
        <v>842698</v>
      </c>
      <c r="K493" s="9" t="inlineStr">
        <is>
          <t>toneladas</t>
        </is>
      </c>
      <c r="L493" s="8" t="inlineStr">
        <is>
          <t>Informe CAMIMEX 2005</t>
        </is>
      </c>
      <c r="M493" s="9" t="n"/>
      <c r="N493" s="8" t="inlineStr">
        <is>
          <t>Mina Las Cuevas; Zaragoza SLP; cap. 520 kt.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'Minera Las Cuevas + Fluorita de Mexico = 807927 t de 842698 B3 = 95.9pct; monopolio de facto documentado'</t>
        </is>
      </c>
      <c r="O493" s="11">
        <f>IF(AND(ISNUMBER(G493),ISNUMBER(J493),J493&lt;&gt;0,H493=K493),G493/J493*100,"")</f>
        <v/>
      </c>
      <c r="P493" s="11">
        <f>IF(AND(ISNUMBER(O493),ISNUMBER(I493)),ROUND(O493-I493,2),"")</f>
        <v/>
      </c>
    </row>
    <row r="494">
      <c r="A494" s="6" t="inlineStr">
        <is>
          <t>Fluorita</t>
        </is>
      </c>
      <c r="B494" s="6" t="n">
        <v>2004</v>
      </c>
      <c r="C494" s="6" t="inlineStr">
        <is>
          <t>empresa</t>
        </is>
      </c>
      <c r="D494" s="6" t="n"/>
      <c r="E494" s="6" t="inlineStr">
        <is>
          <t>Fluorita de Mexico (Corp. Alfil 51% / Applied Industrial Minerals 49%)</t>
        </is>
      </c>
      <c r="F494" s="6" t="inlineStr">
        <is>
          <t>Coahuila</t>
        </is>
      </c>
      <c r="G494" s="6" t="n">
        <v>180879</v>
      </c>
      <c r="H494" s="6" t="inlineStr">
        <is>
          <t>toneladas</t>
        </is>
      </c>
      <c r="I494" s="6" t="n">
        <v>21.47</v>
      </c>
      <c r="J494" s="6" t="n">
        <v>842698</v>
      </c>
      <c r="K494" s="6" t="inlineStr">
        <is>
          <t>toneladas</t>
        </is>
      </c>
      <c r="L494" s="5" t="inlineStr">
        <is>
          <t>Informe CAMIMEX 2005</t>
        </is>
      </c>
      <c r="M494" s="6" t="n"/>
      <c r="N494" s="5" t="inlineStr">
        <is>
          <t>Minas distrito La Encantada; planta Muzquiz Coah.; cap. 150 kt. Grupo INDEPENDIENTE de Mexichem hasta enero 2012. Reparto por capacidad instalada USGS MYB Tabla 2 (Las Cuevas 520 kt / Fluorita de Mexico 150 kt = 77.6/22.4). DUOPOLIO: Mexichem adquirio Fluorita de Mexico en ENERO 2012 (CAMIMEX Informe 2013 tabla 'Fusiones y adquisiciones en Mexico en 2012' + USGS MYB 2012); la fecha 'enero 2013' usada antes era un error de lectura del ano de publicacion del Informe. Correccion 2026-07-21. Nota previa: 'Minera Las Cuevas + Fluorita de Mexico = 807927 t de 842698 B3 = 95.9pct; monopolio de facto documentado'</t>
        </is>
      </c>
      <c r="O494" s="11">
        <f>IF(AND(ISNUMBER(G494),ISNUMBER(J494),J494&lt;&gt;0,H494=K494),G494/J494*100,"")</f>
        <v/>
      </c>
      <c r="P494" s="11">
        <f>IF(AND(ISNUMBER(O494),ISNUMBER(I494)),ROUND(O494-I494,2),"")</f>
        <v/>
      </c>
    </row>
    <row r="495">
      <c r="A495" s="9" t="inlineStr">
        <is>
          <t>Silice</t>
        </is>
      </c>
      <c r="B495" s="9" t="n">
        <v>2004</v>
      </c>
      <c r="C495" s="9" t="inlineStr">
        <is>
          <t>empresa</t>
        </is>
      </c>
      <c r="D495" s="9" t="n"/>
      <c r="E495" s="9" t="inlineStr">
        <is>
          <t>Grupo Materias Primas</t>
        </is>
      </c>
      <c r="F495" s="9" t="n"/>
      <c r="G495" s="9" t="n"/>
      <c r="H495" s="9" t="inlineStr">
        <is>
          <t>toneladas</t>
        </is>
      </c>
      <c r="I495" s="9" t="n"/>
      <c r="J495" s="9" t="n">
        <v>2055940</v>
      </c>
      <c r="K495" s="9" t="inlineStr">
        <is>
          <t>toneladas</t>
        </is>
      </c>
      <c r="L495" s="8" t="inlineStr">
        <is>
          <t>Informe CAMIMEX 2005 + INEGI B3</t>
        </is>
      </c>
      <c r="M495" s="9" t="n"/>
      <c r="N495" s="8" t="inlineStr">
        <is>
          <t>Sin volumen de GMP en Informe 2005 (348281 t citadas ahi son feldespato); GMP principal productor segun informes posteriores; total INEGI B3</t>
        </is>
      </c>
      <c r="O495" s="11">
        <f>IF(AND(ISNUMBER(G495),ISNUMBER(J495),J495&lt;&gt;0,H495=K495),G495/J495*100,"")</f>
        <v/>
      </c>
      <c r="P495" s="11">
        <f>IF(AND(ISNUMBER(O495),ISNUMBER(I495)),ROUND(O495-I495,2),"")</f>
        <v/>
      </c>
    </row>
    <row r="496">
      <c r="A496" s="6" t="inlineStr">
        <is>
          <t>Grafito</t>
        </is>
      </c>
      <c r="B496" s="6" t="n">
        <v>2004</v>
      </c>
      <c r="C496" s="6" t="inlineStr">
        <is>
          <t>empresa</t>
        </is>
      </c>
      <c r="D496" s="6" t="n"/>
      <c r="E496" s="6" t="inlineStr">
        <is>
          <t>ninguno</t>
        </is>
      </c>
      <c r="F496" s="6" t="n"/>
      <c r="G496" s="6" t="n"/>
      <c r="H496" s="6" t="inlineStr">
        <is>
          <t>toneladas</t>
        </is>
      </c>
      <c r="I496" s="6" t="n"/>
      <c r="J496" s="6" t="n">
        <v>14769</v>
      </c>
      <c r="K496" s="6" t="inlineStr">
        <is>
          <t>toneladas</t>
        </is>
      </c>
      <c r="L496" s="5" t="inlineStr">
        <is>
          <t>CAMIMEX no desglosa</t>
        </is>
      </c>
      <c r="M496" s="6" t="n"/>
      <c r="N496" s="5" t="inlineStr">
        <is>
          <t>Caso de contraste; atomizado; total INEGI B3</t>
        </is>
      </c>
      <c r="O496" s="11">
        <f>IF(AND(ISNUMBER(G496),ISNUMBER(J496),J496&lt;&gt;0,H496=K496),G496/J496*100,"")</f>
        <v/>
      </c>
      <c r="P496" s="11">
        <f>IF(AND(ISNUMBER(O496),ISNUMBER(I496)),ROUND(O496-I496,2),"")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95" topLeftCell="A196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2" customWidth="1" min="4" max="4"/>
    <col width="18" customWidth="1" min="5" max="5"/>
    <col width="34" customWidth="1" min="6" max="6"/>
    <col width="60" customWidth="1" min="7" max="7"/>
  </cols>
  <sheetData>
    <row r="1" ht="24" customHeight="1">
      <c r="A1" s="1" t="inlineStr">
        <is>
          <t>HHI - serie consolidada por mineral-anio (1994-2024)</t>
        </is>
      </c>
    </row>
    <row r="2" ht="40" customHeight="1">
      <c r="A2" s="2" t="inlineStr">
        <is>
          <t>HHI = suma de cuotas al cuadrado (0-10000). Cada fila trae su 'metodo' y 'cobertura_pct': 2021-2024 por mina (comparable); 2004-2020 por regimen (cota inferior); 1994-2003 reconstruido de USGS MYB. Los niveles 1994-2020 se leen por TRAYECTORIA, no por nivel exacto. Resultado del script (incluye residual atomistico).</t>
        </is>
      </c>
    </row>
    <row r="3">
      <c r="A3" s="3" t="inlineStr">
        <is>
          <t>mineral</t>
        </is>
      </c>
      <c r="B3" s="3" t="inlineStr">
        <is>
          <t>anio</t>
        </is>
      </c>
      <c r="C3" s="3" t="inlineStr">
        <is>
          <t>hhi</t>
        </is>
      </c>
      <c r="D3" s="3" t="inlineStr">
        <is>
          <t>cobertura_pct</t>
        </is>
      </c>
      <c r="E3" s="3" t="inlineStr">
        <is>
          <t>lider</t>
        </is>
      </c>
      <c r="F3" s="3" t="inlineStr">
        <is>
          <t>metodo</t>
        </is>
      </c>
      <c r="G3" s="3" t="inlineStr">
        <is>
          <t>nota</t>
        </is>
      </c>
    </row>
    <row r="4">
      <c r="A4" s="6" t="inlineStr">
        <is>
          <t>cobre</t>
        </is>
      </c>
      <c r="B4" s="6" t="n">
        <v>1997</v>
      </c>
      <c r="C4" s="6" t="n">
        <v>6241</v>
      </c>
      <c r="D4" s="6" t="n">
        <v>79</v>
      </c>
      <c r="E4" s="6" t="inlineStr">
        <is>
          <t>Grupo Mexico ~79%</t>
        </is>
      </c>
      <c r="F4" s="5" t="inlineStr">
        <is>
          <t>lider-grupo Grupo Mexico (narrativa USGS)</t>
        </is>
      </c>
      <c r="G4" s="5" t="inlineStr">
        <is>
          <t>USGS MYB Mexico 1994-2003, Tabla 2 + narrativa: La Caridad+Cananea 79% del cobre mina nacional; cota inferior; nivel grupo (no comparable con 2004+)</t>
        </is>
      </c>
    </row>
    <row r="5">
      <c r="A5" s="9" t="inlineStr">
        <is>
          <t>cobre</t>
        </is>
      </c>
      <c r="B5" s="9" t="n">
        <v>1998</v>
      </c>
      <c r="C5" s="9" t="n">
        <v>6724</v>
      </c>
      <c r="D5" s="9" t="n">
        <v>82</v>
      </c>
      <c r="E5" s="9" t="inlineStr">
        <is>
          <t>Grupo Mexico ~82%</t>
        </is>
      </c>
      <c r="F5" s="8" t="inlineStr">
        <is>
          <t>lider-grupo Grupo Mexico (narrativa USGS)</t>
        </is>
      </c>
      <c r="G5" s="8" t="inlineStr">
        <is>
          <t>USGS MYB Mexico 1994-2003, Tabla 2 + narrativa: La Caridad+Cananea 82% del cobre mina nacional; cota inferior; nivel grupo (no comparable con 2004+)</t>
        </is>
      </c>
    </row>
    <row r="6">
      <c r="A6" s="6" t="inlineStr">
        <is>
          <t>cobre</t>
        </is>
      </c>
      <c r="B6" s="6" t="n">
        <v>2000</v>
      </c>
      <c r="C6" s="6" t="n">
        <v>6400</v>
      </c>
      <c r="D6" s="6" t="n">
        <v>80</v>
      </c>
      <c r="E6" s="6" t="inlineStr">
        <is>
          <t>Grupo Mexico ~80%</t>
        </is>
      </c>
      <c r="F6" s="5" t="inlineStr">
        <is>
          <t>lider-grupo Grupo Mexico (narrativa USGS)</t>
        </is>
      </c>
      <c r="G6" s="5" t="inlineStr">
        <is>
          <t>USGS MYB Mexico 1994-2003, Tabla 2 + narrativa: La Caridad+Cananea 80% del cobre mina nacional; cota inferior; nivel grupo (no comparable con 2004+)</t>
        </is>
      </c>
    </row>
    <row r="7">
      <c r="A7" s="9" t="inlineStr">
        <is>
          <t>cobre</t>
        </is>
      </c>
      <c r="B7" s="9" t="n">
        <v>2001</v>
      </c>
      <c r="C7" s="9" t="n">
        <v>7225</v>
      </c>
      <c r="D7" s="9" t="n">
        <v>85</v>
      </c>
      <c r="E7" s="9" t="inlineStr">
        <is>
          <t>Grupo Mexico ~85%</t>
        </is>
      </c>
      <c r="F7" s="8" t="inlineStr">
        <is>
          <t>lider-grupo Grupo Mexico (narrativa USGS)</t>
        </is>
      </c>
      <c r="G7" s="8" t="inlineStr">
        <is>
          <t>USGS MYB Mexico 1994-2003, Tabla 2 + narrativa: La Caridad+Cananea 85% del cobre mina nacional; cota inferior; nivel grupo (no comparable con 2004+)</t>
        </is>
      </c>
    </row>
    <row r="8">
      <c r="A8" s="6" t="inlineStr">
        <is>
          <t>cobre</t>
        </is>
      </c>
      <c r="B8" s="6" t="n">
        <v>2002</v>
      </c>
      <c r="C8" s="6" t="n">
        <v>6889</v>
      </c>
      <c r="D8" s="6" t="n">
        <v>83</v>
      </c>
      <c r="E8" s="6" t="inlineStr">
        <is>
          <t>Grupo Mexico ~83%</t>
        </is>
      </c>
      <c r="F8" s="5" t="inlineStr">
        <is>
          <t>lider-grupo Grupo Mexico (narrativa USGS)</t>
        </is>
      </c>
      <c r="G8" s="5" t="inlineStr">
        <is>
          <t>USGS MYB Mexico 1994-2003, Tabla 2 + narrativa: La Caridad+Cananea 83% del cobre mina nacional; cota inferior; nivel grupo (no comparable con 2004+)</t>
        </is>
      </c>
    </row>
    <row r="9">
      <c r="A9" s="9" t="inlineStr">
        <is>
          <t>cobre</t>
        </is>
      </c>
      <c r="B9" s="9" t="n">
        <v>2003</v>
      </c>
      <c r="C9" s="9" t="n">
        <v>6400</v>
      </c>
      <c r="D9" s="9" t="n">
        <v>80</v>
      </c>
      <c r="E9" s="9" t="inlineStr">
        <is>
          <t>Grupo Mexico ~80%</t>
        </is>
      </c>
      <c r="F9" s="8" t="inlineStr">
        <is>
          <t>lider-grupo Grupo Mexico (narrativa USGS)</t>
        </is>
      </c>
      <c r="G9" s="8" t="inlineStr">
        <is>
          <t>USGS MYB Mexico 1994-2003, Tabla 2 + narrativa: La Caridad+Cananea 80% del cobre mina nacional; cota inferior; nivel grupo (no comparable con 2004+)</t>
        </is>
      </c>
    </row>
    <row r="10">
      <c r="A10" s="6" t="inlineStr">
        <is>
          <t>cobre</t>
        </is>
      </c>
      <c r="B10" s="6" t="n">
        <v>2005</v>
      </c>
      <c r="C10" s="6" t="n">
        <v>7500</v>
      </c>
      <c r="D10" s="6" t="n">
        <v>87</v>
      </c>
      <c r="E10" s="6" t="inlineStr">
        <is>
          <t>Grupo Mexico 86.6%</t>
        </is>
      </c>
      <c r="F10" s="5" t="inlineStr">
        <is>
          <t>lider/grupos conocidos + residual atomistico (aprox.)</t>
        </is>
      </c>
      <c r="G10" s="5" t="inlineStr">
        <is>
          <t>cota inferior: solo participaciones documentadas; residual tratado como atomistico</t>
        </is>
      </c>
    </row>
    <row r="11">
      <c r="A11" s="9" t="inlineStr">
        <is>
          <t>cobre</t>
        </is>
      </c>
      <c r="B11" s="9" t="n">
        <v>2006</v>
      </c>
      <c r="C11" s="9" t="n">
        <v>6806</v>
      </c>
      <c r="D11" s="9" t="n">
        <v>82</v>
      </c>
      <c r="E11" s="9" t="inlineStr">
        <is>
          <t>Grupo Mexico 82.5%</t>
        </is>
      </c>
      <c r="F11" s="8" t="inlineStr">
        <is>
          <t>lider/grupos conocidos + residual atomistico (aprox.)</t>
        </is>
      </c>
      <c r="G11" s="8" t="inlineStr">
        <is>
          <t>cota inferior: solo participaciones documentadas; residual tratado como atomistico</t>
        </is>
      </c>
    </row>
    <row r="12">
      <c r="A12" s="6" t="inlineStr">
        <is>
          <t>cobre</t>
        </is>
      </c>
      <c r="B12" s="6" t="n">
        <v>2008</v>
      </c>
      <c r="C12" s="6" t="n">
        <v>2570</v>
      </c>
      <c r="D12" s="6" t="n">
        <v>51</v>
      </c>
      <c r="E12" s="6" t="inlineStr">
        <is>
          <t>Grupo Mexico 50.7%</t>
        </is>
      </c>
      <c r="F12" s="5" t="inlineStr">
        <is>
          <t>lider/grupos conocidos + residual atomistico (aprox.)</t>
        </is>
      </c>
      <c r="G12" s="5" t="inlineStr">
        <is>
          <t>cota inferior: solo participaciones documentadas; residual tratado como atomistico</t>
        </is>
      </c>
    </row>
    <row r="13">
      <c r="A13" s="9" t="inlineStr">
        <is>
          <t>cobre</t>
        </is>
      </c>
      <c r="B13" s="9" t="n">
        <v>2010</v>
      </c>
      <c r="C13" s="9" t="n">
        <v>2621</v>
      </c>
      <c r="D13" s="9" t="n">
        <v>51</v>
      </c>
      <c r="E13" s="9" t="inlineStr">
        <is>
          <t>Grupo Mexico 51.2%</t>
        </is>
      </c>
      <c r="F13" s="8" t="inlineStr">
        <is>
          <t>lider/grupos conocidos + residual atomistico (aprox.)</t>
        </is>
      </c>
      <c r="G13" s="8" t="inlineStr">
        <is>
          <t>cota inferior: solo participaciones documentadas; residual tratado como atomistico</t>
        </is>
      </c>
    </row>
    <row r="14">
      <c r="A14" s="6" t="inlineStr">
        <is>
          <t>cobre</t>
        </is>
      </c>
      <c r="B14" s="6" t="n">
        <v>2011</v>
      </c>
      <c r="C14" s="6" t="n">
        <v>4356</v>
      </c>
      <c r="D14" s="6" t="n">
        <v>66</v>
      </c>
      <c r="E14" s="6" t="inlineStr">
        <is>
          <t>Grupo Mexico 66.0%</t>
        </is>
      </c>
      <c r="F14" s="5" t="inlineStr">
        <is>
          <t>lider/grupos conocidos + residual atomistico (aprox.)</t>
        </is>
      </c>
      <c r="G14" s="5" t="inlineStr">
        <is>
          <t>cota inferior: solo participaciones documentadas; residual tratado como atomistico</t>
        </is>
      </c>
    </row>
    <row r="15">
      <c r="A15" s="9" t="inlineStr">
        <is>
          <t>cobre</t>
        </is>
      </c>
      <c r="B15" s="9" t="n">
        <v>2013</v>
      </c>
      <c r="C15" s="9" t="n">
        <v>4147</v>
      </c>
      <c r="D15" s="9" t="n">
        <v>64</v>
      </c>
      <c r="E15" s="9" t="inlineStr">
        <is>
          <t>Grupo Mexico 64.4%</t>
        </is>
      </c>
      <c r="F15" s="8" t="inlineStr">
        <is>
          <t>lider/grupos conocidos + residual atomistico (aprox.)</t>
        </is>
      </c>
      <c r="G15" s="8" t="inlineStr">
        <is>
          <t>cota inferior: solo participaciones documentadas; residual tratado como atomistico</t>
        </is>
      </c>
    </row>
    <row r="16">
      <c r="A16" s="6" t="inlineStr">
        <is>
          <t>cobre</t>
        </is>
      </c>
      <c r="B16" s="6" t="n">
        <v>2018</v>
      </c>
      <c r="C16" s="6" t="n">
        <v>5417</v>
      </c>
      <c r="D16" s="6" t="n">
        <v>74</v>
      </c>
      <c r="E16" s="6" t="inlineStr">
        <is>
          <t>Grupo Mexico 73.6%</t>
        </is>
      </c>
      <c r="F16" s="5" t="inlineStr">
        <is>
          <t>lider/grupos conocidos + residual atomistico (aprox.)</t>
        </is>
      </c>
      <c r="G16" s="5" t="inlineStr">
        <is>
          <t>cota inferior: solo participaciones documentadas; residual tratado como atomistico</t>
        </is>
      </c>
    </row>
    <row r="17">
      <c r="A17" s="9" t="inlineStr">
        <is>
          <t>cobre</t>
        </is>
      </c>
      <c r="B17" s="9" t="n">
        <v>2019</v>
      </c>
      <c r="C17" s="9" t="n">
        <v>5625</v>
      </c>
      <c r="D17" s="9" t="n">
        <v>75</v>
      </c>
      <c r="E17" s="9" t="inlineStr">
        <is>
          <t>Grupo Mexico 75.0%</t>
        </is>
      </c>
      <c r="F17" s="8" t="inlineStr">
        <is>
          <t>lider/grupos conocidos + residual atomistico (aprox.)</t>
        </is>
      </c>
      <c r="G17" s="8" t="inlineStr">
        <is>
          <t>cota inferior: solo participaciones documentadas; residual tratado como atomistico</t>
        </is>
      </c>
    </row>
    <row r="18">
      <c r="A18" s="6" t="inlineStr">
        <is>
          <t>cobre</t>
        </is>
      </c>
      <c r="B18" s="6" t="n">
        <v>2020</v>
      </c>
      <c r="C18" s="6" t="n">
        <v>6209</v>
      </c>
      <c r="D18" s="6" t="n">
        <v>79</v>
      </c>
      <c r="E18" s="6" t="inlineStr">
        <is>
          <t>Grupo Mexico 78.8%</t>
        </is>
      </c>
      <c r="F18" s="5" t="inlineStr">
        <is>
          <t>lider/grupos conocidos + residual atomistico (aprox.)</t>
        </is>
      </c>
      <c r="G18" s="5" t="inlineStr">
        <is>
          <t>cota inferior: solo participaciones documentadas; residual tratado como atomistico</t>
        </is>
      </c>
    </row>
    <row r="19">
      <c r="A19" s="9" t="inlineStr">
        <is>
          <t>cobre</t>
        </is>
      </c>
      <c r="B19" s="9" t="n">
        <v>2021</v>
      </c>
      <c r="C19" s="9" t="n">
        <v>3841</v>
      </c>
      <c r="D19" s="9" t="n">
        <v>76</v>
      </c>
      <c r="E19" s="9" t="inlineStr">
        <is>
          <t>Grupo Mexico 62%</t>
        </is>
      </c>
      <c r="F19" s="8" t="inlineStr">
        <is>
          <t>mina-&gt;grupo vs total nacional</t>
        </is>
      </c>
      <c r="G19" s="8" t="n"/>
    </row>
    <row r="20">
      <c r="A20" s="6" t="inlineStr">
        <is>
          <t>cobre</t>
        </is>
      </c>
      <c r="B20" s="6" t="n">
        <v>2022</v>
      </c>
      <c r="C20" s="6" t="n">
        <v>3362</v>
      </c>
      <c r="D20" s="6" t="n">
        <v>75</v>
      </c>
      <c r="E20" s="6" t="inlineStr">
        <is>
          <t>Grupo Mexico 58%</t>
        </is>
      </c>
      <c r="F20" s="5" t="inlineStr">
        <is>
          <t>mina-&gt;grupo vs total nacional</t>
        </is>
      </c>
      <c r="G20" s="5" t="n"/>
    </row>
    <row r="21">
      <c r="A21" s="9" t="inlineStr">
        <is>
          <t>cobre</t>
        </is>
      </c>
      <c r="B21" s="9" t="n">
        <v>2023</v>
      </c>
      <c r="C21" s="9" t="n">
        <v>3764</v>
      </c>
      <c r="D21" s="9" t="n">
        <v>77</v>
      </c>
      <c r="E21" s="9" t="inlineStr">
        <is>
          <t>Grupo Mexico 61%</t>
        </is>
      </c>
      <c r="F21" s="8" t="inlineStr">
        <is>
          <t>mina-&gt;grupo vs total nacional</t>
        </is>
      </c>
      <c r="G21" s="8" t="n"/>
    </row>
    <row r="22">
      <c r="A22" s="6" t="inlineStr">
        <is>
          <t>cobre</t>
        </is>
      </c>
      <c r="B22" s="6" t="n">
        <v>2024</v>
      </c>
      <c r="C22" s="6" t="n">
        <v>3557</v>
      </c>
      <c r="D22" s="6" t="n">
        <v>74</v>
      </c>
      <c r="E22" s="6" t="inlineStr">
        <is>
          <t>Grupo Mexico 59%</t>
        </is>
      </c>
      <c r="F22" s="5" t="inlineStr">
        <is>
          <t>mina-&gt;grupo vs total nacional (total cobre estimado)</t>
        </is>
      </c>
      <c r="G22" s="5" t="inlineStr">
        <is>
          <t>detalle por mina 2024 (CAMIMEX/SGM); total nacional 2024 estimado ~755,000 t (grafico SGM)</t>
        </is>
      </c>
    </row>
    <row r="23">
      <c r="A23" s="9" t="inlineStr">
        <is>
          <t>zinc</t>
        </is>
      </c>
      <c r="B23" s="9" t="n">
        <v>2009</v>
      </c>
      <c r="C23" s="9" t="n">
        <v>1149</v>
      </c>
      <c r="D23" s="9" t="n">
        <v>34</v>
      </c>
      <c r="E23" s="9" t="inlineStr">
        <is>
          <t>Industrias Penoles 33.9%</t>
        </is>
      </c>
      <c r="F23" s="8" t="inlineStr">
        <is>
          <t>lider/grupos conocidos + residual atomistico (aprox.)</t>
        </is>
      </c>
      <c r="G23" s="8" t="inlineStr">
        <is>
          <t>cota inferior: solo participaciones documentadas; residual tratado como atomistico</t>
        </is>
      </c>
    </row>
    <row r="24">
      <c r="A24" s="6" t="inlineStr">
        <is>
          <t>zinc</t>
        </is>
      </c>
      <c r="B24" s="6" t="n">
        <v>2010</v>
      </c>
      <c r="C24" s="6" t="n">
        <v>773</v>
      </c>
      <c r="D24" s="6" t="n">
        <v>28</v>
      </c>
      <c r="E24" s="6" t="inlineStr">
        <is>
          <t>Industrias Penoles 27.8%</t>
        </is>
      </c>
      <c r="F24" s="5" t="inlineStr">
        <is>
          <t>lider/grupos conocidos + residual atomistico (aprox.)</t>
        </is>
      </c>
      <c r="G24" s="5" t="inlineStr">
        <is>
          <t>cota inferior: solo participaciones documentadas; residual tratado como atomistico</t>
        </is>
      </c>
    </row>
    <row r="25">
      <c r="A25" s="9" t="inlineStr">
        <is>
          <t>zinc</t>
        </is>
      </c>
      <c r="B25" s="9" t="n">
        <v>2011</v>
      </c>
      <c r="C25" s="9" t="n">
        <v>635</v>
      </c>
      <c r="D25" s="9" t="n">
        <v>25</v>
      </c>
      <c r="E25" s="9" t="inlineStr">
        <is>
          <t>Industrias Penoles 25.2%</t>
        </is>
      </c>
      <c r="F25" s="8" t="inlineStr">
        <is>
          <t>lider/grupos conocidos + residual atomistico (aprox.)</t>
        </is>
      </c>
      <c r="G25" s="8" t="inlineStr">
        <is>
          <t>cota inferior: solo participaciones documentadas; residual tratado como atomistico</t>
        </is>
      </c>
    </row>
    <row r="26">
      <c r="A26" s="6" t="inlineStr">
        <is>
          <t>zinc</t>
        </is>
      </c>
      <c r="B26" s="6" t="n">
        <v>2012</v>
      </c>
      <c r="C26" s="6" t="n">
        <v>566</v>
      </c>
      <c r="D26" s="6" t="n">
        <v>24</v>
      </c>
      <c r="E26" s="6" t="inlineStr">
        <is>
          <t>Industrias Penoles 23.8%</t>
        </is>
      </c>
      <c r="F26" s="5" t="inlineStr">
        <is>
          <t>lider/grupos conocidos + residual atomistico (aprox.)</t>
        </is>
      </c>
      <c r="G26" s="5" t="inlineStr">
        <is>
          <t>cota inferior: solo participaciones documentadas; residual tratado como atomistico</t>
        </is>
      </c>
    </row>
    <row r="27">
      <c r="A27" s="9" t="inlineStr">
        <is>
          <t>zinc</t>
        </is>
      </c>
      <c r="B27" s="9" t="n">
        <v>2015</v>
      </c>
      <c r="C27" s="9" t="n">
        <v>1024</v>
      </c>
      <c r="D27" s="9" t="n">
        <v>32</v>
      </c>
      <c r="E27" s="9" t="inlineStr">
        <is>
          <t>Industrias Penoles 32.0%</t>
        </is>
      </c>
      <c r="F27" s="8" t="inlineStr">
        <is>
          <t>lider/grupos conocidos + residual atomistico (aprox.)</t>
        </is>
      </c>
      <c r="G27" s="8" t="inlineStr">
        <is>
          <t>cota inferior: solo participaciones documentadas; residual tratado como atomistico</t>
        </is>
      </c>
    </row>
    <row r="28">
      <c r="A28" s="6" t="inlineStr">
        <is>
          <t>zinc</t>
        </is>
      </c>
      <c r="B28" s="6" t="n">
        <v>2020</v>
      </c>
      <c r="C28" s="6" t="n">
        <v>692</v>
      </c>
      <c r="D28" s="6" t="n">
        <v>26</v>
      </c>
      <c r="E28" s="6" t="inlineStr">
        <is>
          <t>Industrias Penoles 26.3%</t>
        </is>
      </c>
      <c r="F28" s="5" t="inlineStr">
        <is>
          <t>lider/grupos conocidos + residual atomistico (aprox.)</t>
        </is>
      </c>
      <c r="G28" s="5" t="inlineStr">
        <is>
          <t>cota inferior: solo participaciones documentadas; residual tratado como atomistico</t>
        </is>
      </c>
    </row>
    <row r="29">
      <c r="A29" s="9" t="inlineStr">
        <is>
          <t>zinc</t>
        </is>
      </c>
      <c r="B29" s="9" t="n">
        <v>2021</v>
      </c>
      <c r="C29" s="9" t="n">
        <v>1591</v>
      </c>
      <c r="D29" s="9" t="n">
        <v>83</v>
      </c>
      <c r="E29" s="9" t="inlineStr">
        <is>
          <t>Newmont 28%</t>
        </is>
      </c>
      <c r="F29" s="8" t="inlineStr">
        <is>
          <t>mina-&gt;grupo vs total nacional</t>
        </is>
      </c>
      <c r="G29" s="8" t="n"/>
    </row>
    <row r="30">
      <c r="A30" s="6" t="inlineStr">
        <is>
          <t>zinc</t>
        </is>
      </c>
      <c r="B30" s="6" t="n">
        <v>2022</v>
      </c>
      <c r="C30" s="6" t="n">
        <v>1199</v>
      </c>
      <c r="D30" s="6" t="n">
        <v>80</v>
      </c>
      <c r="E30" s="6" t="inlineStr">
        <is>
          <t>Newmont 23%</t>
        </is>
      </c>
      <c r="F30" s="5" t="inlineStr">
        <is>
          <t>mina-&gt;grupo vs total nacional</t>
        </is>
      </c>
      <c r="G30" s="5" t="n"/>
    </row>
    <row r="31">
      <c r="A31" s="9" t="inlineStr">
        <is>
          <t>zinc</t>
        </is>
      </c>
      <c r="B31" s="9" t="n">
        <v>2023</v>
      </c>
      <c r="C31" s="9" t="n">
        <v>1551</v>
      </c>
      <c r="D31" s="9" t="n">
        <v>87</v>
      </c>
      <c r="E31" s="9" t="inlineStr">
        <is>
          <t>Industrias Penoles 28%</t>
        </is>
      </c>
      <c r="F31" s="8" t="inlineStr">
        <is>
          <t>mina-&gt;grupo vs total nacional</t>
        </is>
      </c>
      <c r="G31" s="8" t="n"/>
    </row>
    <row r="32">
      <c r="A32" s="6" t="inlineStr">
        <is>
          <t>zinc</t>
        </is>
      </c>
      <c r="B32" s="6" t="n">
        <v>2024</v>
      </c>
      <c r="C32" s="6" t="n">
        <v>1683</v>
      </c>
      <c r="D32" s="6" t="n">
        <v>81</v>
      </c>
      <c r="E32" s="6" t="inlineStr">
        <is>
          <t>Newmont 33%</t>
        </is>
      </c>
      <c r="F32" s="5" t="inlineStr">
        <is>
          <t>mina-&gt;grupo vs total nacional</t>
        </is>
      </c>
      <c r="G32" s="5" t="inlineStr">
        <is>
          <t>detalle por mina 2024 (CAMIMEX/SGM)</t>
        </is>
      </c>
    </row>
    <row r="33">
      <c r="A33" s="9" t="inlineStr">
        <is>
          <t>plomo</t>
        </is>
      </c>
      <c r="B33" s="9" t="n">
        <v>2010</v>
      </c>
      <c r="C33" s="9" t="n">
        <v>524</v>
      </c>
      <c r="D33" s="9" t="n">
        <v>23</v>
      </c>
      <c r="E33" s="9" t="inlineStr">
        <is>
          <t>Goldcorp 22.9%</t>
        </is>
      </c>
      <c r="F33" s="8" t="inlineStr">
        <is>
          <t>lider/grupos conocidos + residual atomistico (aprox.)</t>
        </is>
      </c>
      <c r="G33" s="8" t="inlineStr">
        <is>
          <t>cota inferior: solo participaciones documentadas; residual tratado como atomistico</t>
        </is>
      </c>
    </row>
    <row r="34">
      <c r="A34" s="6" t="inlineStr">
        <is>
          <t>plomo</t>
        </is>
      </c>
      <c r="B34" s="6" t="n">
        <v>2011</v>
      </c>
      <c r="C34" s="6" t="n">
        <v>986</v>
      </c>
      <c r="D34" s="6" t="n">
        <v>31</v>
      </c>
      <c r="E34" s="6" t="inlineStr">
        <is>
          <t>Goldcorp 31.4%</t>
        </is>
      </c>
      <c r="F34" s="5" t="inlineStr">
        <is>
          <t>lider/grupos conocidos + residual atomistico (aprox.)</t>
        </is>
      </c>
      <c r="G34" s="5" t="inlineStr">
        <is>
          <t>cota inferior: solo participaciones documentadas; residual tratado como atomistico</t>
        </is>
      </c>
    </row>
    <row r="35">
      <c r="A35" s="9" t="inlineStr">
        <is>
          <t>plomo</t>
        </is>
      </c>
      <c r="B35" s="9" t="n">
        <v>2012</v>
      </c>
      <c r="C35" s="9" t="n">
        <v>858</v>
      </c>
      <c r="D35" s="9" t="n">
        <v>29</v>
      </c>
      <c r="E35" s="9" t="inlineStr">
        <is>
          <t>Goldcorp 29.3%</t>
        </is>
      </c>
      <c r="F35" s="8" t="inlineStr">
        <is>
          <t>lider/grupos conocidos + residual atomistico (aprox.)</t>
        </is>
      </c>
      <c r="G35" s="8" t="inlineStr">
        <is>
          <t>cota inferior: solo participaciones documentadas; residual tratado como atomistico</t>
        </is>
      </c>
    </row>
    <row r="36">
      <c r="A36" s="6" t="inlineStr">
        <is>
          <t>plomo</t>
        </is>
      </c>
      <c r="B36" s="6" t="n">
        <v>2013</v>
      </c>
      <c r="C36" s="6" t="n">
        <v>812</v>
      </c>
      <c r="D36" s="6" t="n">
        <v>28</v>
      </c>
      <c r="E36" s="6" t="inlineStr">
        <is>
          <t>Goldcorp 28.5%</t>
        </is>
      </c>
      <c r="F36" s="5" t="inlineStr">
        <is>
          <t>lider/grupos conocidos + residual atomistico (aprox.)</t>
        </is>
      </c>
      <c r="G36" s="5" t="inlineStr">
        <is>
          <t>cota inferior: solo participaciones documentadas; residual tratado como atomistico</t>
        </is>
      </c>
    </row>
    <row r="37">
      <c r="A37" s="9" t="inlineStr">
        <is>
          <t>plomo</t>
        </is>
      </c>
      <c r="B37" s="9" t="n">
        <v>2015</v>
      </c>
      <c r="C37" s="9" t="n">
        <v>961</v>
      </c>
      <c r="D37" s="9" t="n">
        <v>31</v>
      </c>
      <c r="E37" s="9" t="inlineStr">
        <is>
          <t>Goldcorp 31.0%</t>
        </is>
      </c>
      <c r="F37" s="8" t="inlineStr">
        <is>
          <t>lider/grupos conocidos + residual atomistico (aprox.)</t>
        </is>
      </c>
      <c r="G37" s="8" t="inlineStr">
        <is>
          <t>cota inferior: solo participaciones documentadas; residual tratado como atomistico</t>
        </is>
      </c>
    </row>
    <row r="38">
      <c r="A38" s="6" t="inlineStr">
        <is>
          <t>plomo</t>
        </is>
      </c>
      <c r="B38" s="6" t="n">
        <v>2016</v>
      </c>
      <c r="C38" s="6" t="n">
        <v>441</v>
      </c>
      <c r="D38" s="6" t="n">
        <v>21</v>
      </c>
      <c r="E38" s="6" t="inlineStr">
        <is>
          <t>Goldcorp 21.0%</t>
        </is>
      </c>
      <c r="F38" s="5" t="inlineStr">
        <is>
          <t>lider/grupos conocidos + residual atomistico (aprox.)</t>
        </is>
      </c>
      <c r="G38" s="5" t="inlineStr">
        <is>
          <t>cota inferior: solo participaciones documentadas; residual tratado como atomistico</t>
        </is>
      </c>
    </row>
    <row r="39">
      <c r="A39" s="9" t="inlineStr">
        <is>
          <t>plomo</t>
        </is>
      </c>
      <c r="B39" s="9" t="n">
        <v>2020</v>
      </c>
      <c r="C39" s="9" t="n">
        <v>973</v>
      </c>
      <c r="D39" s="9" t="n">
        <v>31</v>
      </c>
      <c r="E39" s="9" t="inlineStr">
        <is>
          <t>Newmont 31.2%</t>
        </is>
      </c>
      <c r="F39" s="8" t="inlineStr">
        <is>
          <t>lider/grupos conocidos + residual atomistico (aprox.)</t>
        </is>
      </c>
      <c r="G39" s="8" t="inlineStr">
        <is>
          <t>cota inferior: solo participaciones documentadas; residual tratado como atomistico</t>
        </is>
      </c>
    </row>
    <row r="40">
      <c r="A40" s="6" t="inlineStr">
        <is>
          <t>plomo</t>
        </is>
      </c>
      <c r="B40" s="6" t="n">
        <v>2021</v>
      </c>
      <c r="C40" s="6" t="n">
        <v>1448</v>
      </c>
      <c r="D40" s="6" t="n">
        <v>80</v>
      </c>
      <c r="E40" s="6" t="inlineStr">
        <is>
          <t>Newmont 29%</t>
        </is>
      </c>
      <c r="F40" s="5" t="inlineStr">
        <is>
          <t>mina-&gt;grupo vs total nacional</t>
        </is>
      </c>
      <c r="G40" s="5" t="n"/>
    </row>
    <row r="41">
      <c r="A41" s="9" t="inlineStr">
        <is>
          <t>plomo</t>
        </is>
      </c>
      <c r="B41" s="9" t="n">
        <v>2022</v>
      </c>
      <c r="C41" s="9" t="n">
        <v>1090</v>
      </c>
      <c r="D41" s="9" t="n">
        <v>76</v>
      </c>
      <c r="E41" s="9" t="inlineStr">
        <is>
          <t>Newmont 25%</t>
        </is>
      </c>
      <c r="F41" s="8" t="inlineStr">
        <is>
          <t>mina-&gt;grupo vs total nacional</t>
        </is>
      </c>
      <c r="G41" s="8" t="n"/>
    </row>
    <row r="42">
      <c r="A42" s="6" t="inlineStr">
        <is>
          <t>plomo</t>
        </is>
      </c>
      <c r="B42" s="6" t="n">
        <v>2023</v>
      </c>
      <c r="C42" s="6" t="n">
        <v>1823</v>
      </c>
      <c r="D42" s="6" t="n">
        <v>100</v>
      </c>
      <c r="E42" s="6" t="inlineStr">
        <is>
          <t>Newmont 28%</t>
        </is>
      </c>
      <c r="F42" s="5" t="inlineStr">
        <is>
          <t>mina-&gt;grupo vs total nacional</t>
        </is>
      </c>
      <c r="G42" s="5" t="n"/>
    </row>
    <row r="43">
      <c r="A43" s="9" t="inlineStr">
        <is>
          <t>plomo</t>
        </is>
      </c>
      <c r="B43" s="9" t="n">
        <v>2024</v>
      </c>
      <c r="C43" s="9" t="n">
        <v>2465</v>
      </c>
      <c r="D43" s="9" t="n">
        <v>94</v>
      </c>
      <c r="E43" s="9" t="inlineStr">
        <is>
          <t>Newmont 41%</t>
        </is>
      </c>
      <c r="F43" s="8" t="inlineStr">
        <is>
          <t>mina-&gt;grupo vs total nacional</t>
        </is>
      </c>
      <c r="G43" s="8" t="inlineStr">
        <is>
          <t>detalle por mina 2024 (CAMIMEX/SGM)</t>
        </is>
      </c>
    </row>
    <row r="44">
      <c r="A44" s="6" t="inlineStr">
        <is>
          <t>oro</t>
        </is>
      </c>
      <c r="B44" s="6" t="n">
        <v>2004</v>
      </c>
      <c r="C44" s="6" t="n">
        <v>2043</v>
      </c>
      <c r="D44" s="6" t="n">
        <v>45</v>
      </c>
      <c r="E44" s="6" t="inlineStr">
        <is>
          <t>Industrias Penoles 45.2%</t>
        </is>
      </c>
      <c r="F44" s="5" t="inlineStr">
        <is>
          <t>lider/grupos conocidos + residual atomistico (aprox.)</t>
        </is>
      </c>
      <c r="G44" s="5" t="inlineStr">
        <is>
          <t>cota inferior: solo participaciones documentadas; residual tratado como atomistico</t>
        </is>
      </c>
    </row>
    <row r="45">
      <c r="A45" s="9" t="inlineStr">
        <is>
          <t>oro</t>
        </is>
      </c>
      <c r="B45" s="9" t="n">
        <v>2005</v>
      </c>
      <c r="C45" s="9" t="n">
        <v>1197</v>
      </c>
      <c r="D45" s="9" t="n">
        <v>35</v>
      </c>
      <c r="E45" s="9" t="inlineStr">
        <is>
          <t>Industrias Penoles 34.6%</t>
        </is>
      </c>
      <c r="F45" s="8" t="inlineStr">
        <is>
          <t>lider/grupos conocidos + residual atomistico (aprox.)</t>
        </is>
      </c>
      <c r="G45" s="8" t="inlineStr">
        <is>
          <t>cota inferior: solo participaciones documentadas; residual tratado como atomistico</t>
        </is>
      </c>
    </row>
    <row r="46">
      <c r="A46" s="6" t="inlineStr">
        <is>
          <t>oro</t>
        </is>
      </c>
      <c r="B46" s="6" t="n">
        <v>2007</v>
      </c>
      <c r="C46" s="6" t="n">
        <v>702</v>
      </c>
      <c r="D46" s="6" t="n">
        <v>26</v>
      </c>
      <c r="E46" s="6" t="inlineStr">
        <is>
          <t>Industrias Penoles 26.5%</t>
        </is>
      </c>
      <c r="F46" s="5" t="inlineStr">
        <is>
          <t>lider/grupos conocidos + residual atomistico (aprox.)</t>
        </is>
      </c>
      <c r="G46" s="5" t="inlineStr">
        <is>
          <t>cota inferior: solo participaciones documentadas; residual tratado como atomistico</t>
        </is>
      </c>
    </row>
    <row r="47">
      <c r="A47" s="9" t="inlineStr">
        <is>
          <t>oro</t>
        </is>
      </c>
      <c r="B47" s="9" t="n">
        <v>2008</v>
      </c>
      <c r="C47" s="9" t="n">
        <v>1296</v>
      </c>
      <c r="D47" s="9" t="n">
        <v>36</v>
      </c>
      <c r="E47" s="9" t="inlineStr">
        <is>
          <t>Goldcorp 36.0%</t>
        </is>
      </c>
      <c r="F47" s="8" t="inlineStr">
        <is>
          <t>lider/grupos conocidos + residual atomistico (aprox.)</t>
        </is>
      </c>
      <c r="G47" s="8" t="inlineStr">
        <is>
          <t>cota inferior: solo participaciones documentadas; residual tratado como atomistico</t>
        </is>
      </c>
    </row>
    <row r="48">
      <c r="A48" s="6" t="inlineStr">
        <is>
          <t>oro</t>
        </is>
      </c>
      <c r="B48" s="6" t="n">
        <v>2009</v>
      </c>
      <c r="C48" s="6" t="n">
        <v>1296</v>
      </c>
      <c r="D48" s="6" t="n">
        <v>36</v>
      </c>
      <c r="E48" s="6" t="inlineStr">
        <is>
          <t>Goldcorp 36.0%</t>
        </is>
      </c>
      <c r="F48" s="5" t="inlineStr">
        <is>
          <t>lider/grupos conocidos + residual atomistico (aprox.)</t>
        </is>
      </c>
      <c r="G48" s="5" t="inlineStr">
        <is>
          <t>cota inferior: solo participaciones documentadas; residual tratado como atomistico</t>
        </is>
      </c>
    </row>
    <row r="49">
      <c r="A49" s="9" t="inlineStr">
        <is>
          <t>oro</t>
        </is>
      </c>
      <c r="B49" s="9" t="n">
        <v>2010</v>
      </c>
      <c r="C49" s="9" t="n">
        <v>708</v>
      </c>
      <c r="D49" s="9" t="n">
        <v>27</v>
      </c>
      <c r="E49" s="9" t="inlineStr">
        <is>
          <t>Goldcorp 26.6%</t>
        </is>
      </c>
      <c r="F49" s="8" t="inlineStr">
        <is>
          <t>lider/grupos conocidos + residual atomistico (aprox.)</t>
        </is>
      </c>
      <c r="G49" s="8" t="inlineStr">
        <is>
          <t>cota inferior: solo participaciones documentadas; residual tratado como atomistico</t>
        </is>
      </c>
    </row>
    <row r="50">
      <c r="A50" s="6" t="inlineStr">
        <is>
          <t>oro</t>
        </is>
      </c>
      <c r="B50" s="6" t="n">
        <v>2011</v>
      </c>
      <c r="C50" s="6" t="n">
        <v>590</v>
      </c>
      <c r="D50" s="6" t="n">
        <v>24</v>
      </c>
      <c r="E50" s="6" t="inlineStr">
        <is>
          <t>Goldcorp 24.3%</t>
        </is>
      </c>
      <c r="F50" s="5" t="inlineStr">
        <is>
          <t>lider/grupos conocidos + residual atomistico (aprox.)</t>
        </is>
      </c>
      <c r="G50" s="5" t="inlineStr">
        <is>
          <t>cota inferior: solo participaciones documentadas; residual tratado como atomistico</t>
        </is>
      </c>
    </row>
    <row r="51">
      <c r="A51" s="9" t="inlineStr">
        <is>
          <t>oro</t>
        </is>
      </c>
      <c r="B51" s="9" t="n">
        <v>2012</v>
      </c>
      <c r="C51" s="9" t="n">
        <v>676</v>
      </c>
      <c r="D51" s="9" t="n">
        <v>26</v>
      </c>
      <c r="E51" s="9" t="inlineStr">
        <is>
          <t>Goldcorp 26.0%</t>
        </is>
      </c>
      <c r="F51" s="8" t="inlineStr">
        <is>
          <t>lider/grupos conocidos + residual atomistico (aprox.)</t>
        </is>
      </c>
      <c r="G51" s="8" t="inlineStr">
        <is>
          <t>cota inferior: solo participaciones documentadas; residual tratado como atomistico</t>
        </is>
      </c>
    </row>
    <row r="52">
      <c r="A52" s="6" t="inlineStr">
        <is>
          <t>oro</t>
        </is>
      </c>
      <c r="B52" s="6" t="n">
        <v>2021</v>
      </c>
      <c r="C52" s="6" t="n">
        <v>771</v>
      </c>
      <c r="D52" s="6" t="n">
        <v>69</v>
      </c>
      <c r="E52" s="6" t="inlineStr">
        <is>
          <t>Newmont 17%</t>
        </is>
      </c>
      <c r="F52" s="5" t="inlineStr">
        <is>
          <t>mina-&gt;grupo vs total nacional</t>
        </is>
      </c>
      <c r="G52" s="5" t="n"/>
    </row>
    <row r="53">
      <c r="A53" s="9" t="inlineStr">
        <is>
          <t>oro</t>
        </is>
      </c>
      <c r="B53" s="9" t="n">
        <v>2022</v>
      </c>
      <c r="C53" s="9" t="n">
        <v>409</v>
      </c>
      <c r="D53" s="9" t="n">
        <v>53</v>
      </c>
      <c r="E53" s="9" t="inlineStr">
        <is>
          <t>Newmont 12%</t>
        </is>
      </c>
      <c r="F53" s="8" t="inlineStr">
        <is>
          <t>mina-&gt;grupo vs total nacional</t>
        </is>
      </c>
      <c r="G53" s="8" t="n"/>
    </row>
    <row r="54">
      <c r="A54" s="6" t="inlineStr">
        <is>
          <t>oro</t>
        </is>
      </c>
      <c r="B54" s="6" t="n">
        <v>2023</v>
      </c>
      <c r="C54" s="6" t="n">
        <v>312</v>
      </c>
      <c r="D54" s="6" t="n">
        <v>49</v>
      </c>
      <c r="E54" s="6" t="inlineStr">
        <is>
          <t>Fresnillo plc 11%</t>
        </is>
      </c>
      <c r="F54" s="5" t="inlineStr">
        <is>
          <t>mina-&gt;grupo vs total nacional</t>
        </is>
      </c>
      <c r="G54" s="5" t="n"/>
    </row>
    <row r="55">
      <c r="A55" s="9" t="inlineStr">
        <is>
          <t>oro</t>
        </is>
      </c>
      <c r="B55" s="9" t="n">
        <v>2024</v>
      </c>
      <c r="C55" s="9" t="n">
        <v>429</v>
      </c>
      <c r="D55" s="9" t="n">
        <v>53</v>
      </c>
      <c r="E55" s="9" t="inlineStr">
        <is>
          <t>Torex Gold 12%</t>
        </is>
      </c>
      <c r="F55" s="8" t="inlineStr">
        <is>
          <t>mina-&gt;grupo vs total nacional</t>
        </is>
      </c>
      <c r="G55" s="8" t="inlineStr">
        <is>
          <t>detalle por mina 2024 (CAMIMEX/SGM)</t>
        </is>
      </c>
    </row>
    <row r="56">
      <c r="A56" s="6" t="inlineStr">
        <is>
          <t>plata</t>
        </is>
      </c>
      <c r="B56" s="6" t="n">
        <v>2005</v>
      </c>
      <c r="C56" s="6" t="n">
        <v>1318</v>
      </c>
      <c r="D56" s="6" t="n">
        <v>36</v>
      </c>
      <c r="E56" s="6" t="inlineStr">
        <is>
          <t>Industrias Penoles 36.3%</t>
        </is>
      </c>
      <c r="F56" s="5" t="inlineStr">
        <is>
          <t>lider/grupos conocidos + residual atomistico (aprox.)</t>
        </is>
      </c>
      <c r="G56" s="5" t="inlineStr">
        <is>
          <t>cota inferior: solo participaciones documentadas; residual tratado como atomistico</t>
        </is>
      </c>
    </row>
    <row r="57">
      <c r="A57" s="9" t="inlineStr">
        <is>
          <t>plata</t>
        </is>
      </c>
      <c r="B57" s="9" t="n">
        <v>2006</v>
      </c>
      <c r="C57" s="9" t="n">
        <v>1218</v>
      </c>
      <c r="D57" s="9" t="n">
        <v>35</v>
      </c>
      <c r="E57" s="9" t="inlineStr">
        <is>
          <t>Industrias Penoles 34.9%</t>
        </is>
      </c>
      <c r="F57" s="8" t="inlineStr">
        <is>
          <t>lider/grupos conocidos + residual atomistico (aprox.)</t>
        </is>
      </c>
      <c r="G57" s="8" t="inlineStr">
        <is>
          <t>cota inferior: solo participaciones documentadas; residual tratado como atomistico</t>
        </is>
      </c>
    </row>
    <row r="58">
      <c r="A58" s="6" t="inlineStr">
        <is>
          <t>plata</t>
        </is>
      </c>
      <c r="B58" s="6" t="n">
        <v>2007</v>
      </c>
      <c r="C58" s="6" t="n">
        <v>1109</v>
      </c>
      <c r="D58" s="6" t="n">
        <v>33</v>
      </c>
      <c r="E58" s="6" t="inlineStr">
        <is>
          <t>Industrias Penoles 33.3%</t>
        </is>
      </c>
      <c r="F58" s="5" t="inlineStr">
        <is>
          <t>lider/grupos conocidos + residual atomistico (aprox.)</t>
        </is>
      </c>
      <c r="G58" s="5" t="inlineStr">
        <is>
          <t>cota inferior: solo participaciones documentadas; residual tratado como atomistico</t>
        </is>
      </c>
    </row>
    <row r="59">
      <c r="A59" s="9" t="inlineStr">
        <is>
          <t>plata</t>
        </is>
      </c>
      <c r="B59" s="9" t="n">
        <v>2008</v>
      </c>
      <c r="C59" s="9" t="n">
        <v>1005</v>
      </c>
      <c r="D59" s="9" t="n">
        <v>32</v>
      </c>
      <c r="E59" s="9" t="inlineStr">
        <is>
          <t>Fresnillo plc 31.7%</t>
        </is>
      </c>
      <c r="F59" s="8" t="inlineStr">
        <is>
          <t>lider/grupos conocidos + residual atomistico (aprox.)</t>
        </is>
      </c>
      <c r="G59" s="8" t="inlineStr">
        <is>
          <t>cota inferior: solo participaciones documentadas; residual tratado como atomistico</t>
        </is>
      </c>
    </row>
    <row r="60">
      <c r="A60" s="6" t="inlineStr">
        <is>
          <t>plata</t>
        </is>
      </c>
      <c r="B60" s="6" t="n">
        <v>2009</v>
      </c>
      <c r="C60" s="6" t="n">
        <v>1102</v>
      </c>
      <c r="D60" s="6" t="n">
        <v>33</v>
      </c>
      <c r="E60" s="6" t="inlineStr">
        <is>
          <t>Fresnillo plc 33.2%</t>
        </is>
      </c>
      <c r="F60" s="5" t="inlineStr">
        <is>
          <t>lider/grupos conocidos + residual atomistico (aprox.)</t>
        </is>
      </c>
      <c r="G60" s="5" t="inlineStr">
        <is>
          <t>cota inferior: solo participaciones documentadas; residual tratado como atomistico</t>
        </is>
      </c>
    </row>
    <row r="61">
      <c r="A61" s="9" t="inlineStr">
        <is>
          <t>plata</t>
        </is>
      </c>
      <c r="B61" s="9" t="n">
        <v>2010</v>
      </c>
      <c r="C61" s="9" t="n">
        <v>640</v>
      </c>
      <c r="D61" s="9" t="n">
        <v>25</v>
      </c>
      <c r="E61" s="9" t="inlineStr">
        <is>
          <t>Fresnillo plc 25.3%</t>
        </is>
      </c>
      <c r="F61" s="8" t="inlineStr">
        <is>
          <t>lider/grupos conocidos + residual atomistico (aprox.)</t>
        </is>
      </c>
      <c r="G61" s="8" t="inlineStr">
        <is>
          <t>cota inferior: solo participaciones documentadas; residual tratado como atomistico</t>
        </is>
      </c>
    </row>
    <row r="62">
      <c r="A62" s="6" t="inlineStr">
        <is>
          <t>plata</t>
        </is>
      </c>
      <c r="B62" s="6" t="n">
        <v>2011</v>
      </c>
      <c r="C62" s="6" t="n">
        <v>610</v>
      </c>
      <c r="D62" s="6" t="n">
        <v>25</v>
      </c>
      <c r="E62" s="6" t="inlineStr">
        <is>
          <t>Fresnillo plc 24.7%</t>
        </is>
      </c>
      <c r="F62" s="5" t="inlineStr">
        <is>
          <t>lider/grupos conocidos + residual atomistico (aprox.)</t>
        </is>
      </c>
      <c r="G62" s="5" t="inlineStr">
        <is>
          <t>cota inferior: solo participaciones documentadas; residual tratado como atomistico</t>
        </is>
      </c>
    </row>
    <row r="63">
      <c r="A63" s="9" t="inlineStr">
        <is>
          <t>plata</t>
        </is>
      </c>
      <c r="B63" s="9" t="n">
        <v>2012</v>
      </c>
      <c r="C63" s="9" t="n">
        <v>562</v>
      </c>
      <c r="D63" s="9" t="n">
        <v>24</v>
      </c>
      <c r="E63" s="9" t="inlineStr">
        <is>
          <t>Fresnillo plc 23.7%</t>
        </is>
      </c>
      <c r="F63" s="8" t="inlineStr">
        <is>
          <t>lider/grupos conocidos + residual atomistico (aprox.)</t>
        </is>
      </c>
      <c r="G63" s="8" t="inlineStr">
        <is>
          <t>cota inferior: solo participaciones documentadas; residual tratado como atomistico</t>
        </is>
      </c>
    </row>
    <row r="64">
      <c r="A64" s="6" t="inlineStr">
        <is>
          <t>plata</t>
        </is>
      </c>
      <c r="B64" s="6" t="n">
        <v>2018</v>
      </c>
      <c r="C64" s="6" t="n">
        <v>1109</v>
      </c>
      <c r="D64" s="6" t="n">
        <v>33</v>
      </c>
      <c r="E64" s="6" t="inlineStr">
        <is>
          <t>Fresnillo plc 33.3%</t>
        </is>
      </c>
      <c r="F64" s="5" t="inlineStr">
        <is>
          <t>lider/grupos conocidos + residual atomistico (aprox.)</t>
        </is>
      </c>
      <c r="G64" s="5" t="inlineStr">
        <is>
          <t>cota inferior: solo participaciones documentadas; residual tratado como atomistico</t>
        </is>
      </c>
    </row>
    <row r="65">
      <c r="A65" s="9" t="inlineStr">
        <is>
          <t>plata</t>
        </is>
      </c>
      <c r="B65" s="9" t="n">
        <v>2019</v>
      </c>
      <c r="C65" s="9" t="n">
        <v>762</v>
      </c>
      <c r="D65" s="9" t="n">
        <v>28</v>
      </c>
      <c r="E65" s="9" t="inlineStr">
        <is>
          <t>Fresnillo plc 27.6%</t>
        </is>
      </c>
      <c r="F65" s="8" t="inlineStr">
        <is>
          <t>lider/grupos conocidos + residual atomistico (aprox.)</t>
        </is>
      </c>
      <c r="G65" s="8" t="inlineStr">
        <is>
          <t>cota inferior: solo participaciones documentadas; residual tratado como atomistico</t>
        </is>
      </c>
    </row>
    <row r="66">
      <c r="A66" s="6" t="inlineStr">
        <is>
          <t>plata</t>
        </is>
      </c>
      <c r="B66" s="6" t="n">
        <v>2020</v>
      </c>
      <c r="C66" s="6" t="n">
        <v>864</v>
      </c>
      <c r="D66" s="6" t="n">
        <v>29</v>
      </c>
      <c r="E66" s="6" t="inlineStr">
        <is>
          <t>Fresnillo plc 29.4%</t>
        </is>
      </c>
      <c r="F66" s="5" t="inlineStr">
        <is>
          <t>lider/grupos conocidos + residual atomistico (aprox.)</t>
        </is>
      </c>
      <c r="G66" s="5" t="inlineStr">
        <is>
          <t>cota inferior: solo participaciones documentadas; residual tratado como atomistico</t>
        </is>
      </c>
    </row>
    <row r="67">
      <c r="A67" s="9" t="inlineStr">
        <is>
          <t>plata</t>
        </is>
      </c>
      <c r="B67" s="9" t="n">
        <v>2021</v>
      </c>
      <c r="C67" s="9" t="n">
        <v>926</v>
      </c>
      <c r="D67" s="9" t="n">
        <v>69</v>
      </c>
      <c r="E67" s="9" t="inlineStr">
        <is>
          <t>Fresnillo plc 24%</t>
        </is>
      </c>
      <c r="F67" s="8" t="inlineStr">
        <is>
          <t>mina-&gt;grupo vs total nacional</t>
        </is>
      </c>
      <c r="G67" s="8" t="n"/>
    </row>
    <row r="68">
      <c r="A68" s="6" t="inlineStr">
        <is>
          <t>plata</t>
        </is>
      </c>
      <c r="B68" s="6" t="n">
        <v>2022</v>
      </c>
      <c r="C68" s="6" t="n">
        <v>820</v>
      </c>
      <c r="D68" s="6" t="n">
        <v>64</v>
      </c>
      <c r="E68" s="6" t="inlineStr">
        <is>
          <t>Fresnillo plc 23%</t>
        </is>
      </c>
      <c r="F68" s="5" t="inlineStr">
        <is>
          <t>mina-&gt;grupo vs total nacional</t>
        </is>
      </c>
      <c r="G68" s="5" t="n"/>
    </row>
    <row r="69">
      <c r="A69" s="9" t="inlineStr">
        <is>
          <t>plata</t>
        </is>
      </c>
      <c r="B69" s="9" t="n">
        <v>2023</v>
      </c>
      <c r="C69" s="9" t="n">
        <v>914</v>
      </c>
      <c r="D69" s="9" t="n">
        <v>68</v>
      </c>
      <c r="E69" s="9" t="inlineStr">
        <is>
          <t>Fresnillo plc 27%</t>
        </is>
      </c>
      <c r="F69" s="8" t="inlineStr">
        <is>
          <t>mina-&gt;grupo vs total nacional</t>
        </is>
      </c>
      <c r="G69" s="8" t="n"/>
    </row>
    <row r="70">
      <c r="A70" s="6" t="inlineStr">
        <is>
          <t>plata</t>
        </is>
      </c>
      <c r="B70" s="6" t="n">
        <v>2024</v>
      </c>
      <c r="C70" s="6" t="n">
        <v>1147</v>
      </c>
      <c r="D70" s="6" t="n">
        <v>63</v>
      </c>
      <c r="E70" s="6" t="inlineStr">
        <is>
          <t>Fresnillo plc 27%</t>
        </is>
      </c>
      <c r="F70" s="5" t="inlineStr">
        <is>
          <t>mina-&gt;grupo vs total nacional</t>
        </is>
      </c>
      <c r="G70" s="5" t="inlineStr">
        <is>
          <t>detalle por mina 2024 (CAMIMEX/SGM)</t>
        </is>
      </c>
    </row>
    <row r="71">
      <c r="A71" s="9" t="inlineStr">
        <is>
          <t>barita</t>
        </is>
      </c>
      <c r="B71" s="9" t="n">
        <v>2004</v>
      </c>
      <c r="C71" s="9" t="n">
        <v>3069</v>
      </c>
      <c r="D71" s="9" t="n">
        <v>55</v>
      </c>
      <c r="E71" s="9" t="inlineStr">
        <is>
          <t>Baramin 55.4%</t>
        </is>
      </c>
      <c r="F71" s="8" t="inlineStr">
        <is>
          <t>lider/grupos conocidos + residual atomistico (aprox.)</t>
        </is>
      </c>
      <c r="G71" s="8" t="inlineStr">
        <is>
          <t>cota inferior: solo participaciones documentadas; residual tratado como atomistico</t>
        </is>
      </c>
    </row>
    <row r="72">
      <c r="A72" s="6" t="inlineStr">
        <is>
          <t>barita</t>
        </is>
      </c>
      <c r="B72" s="6" t="n">
        <v>2006</v>
      </c>
      <c r="C72" s="6" t="n">
        <v>5655</v>
      </c>
      <c r="D72" s="6" t="n">
        <v>75</v>
      </c>
      <c r="E72" s="6" t="inlineStr">
        <is>
          <t>Baramin 75.2%</t>
        </is>
      </c>
      <c r="F72" s="5" t="inlineStr">
        <is>
          <t>lider/grupos conocidos + residual atomistico (aprox.)</t>
        </is>
      </c>
      <c r="G72" s="5" t="inlineStr">
        <is>
          <t>cota inferior: solo participaciones documentadas; residual tratado como atomistico</t>
        </is>
      </c>
    </row>
    <row r="73">
      <c r="A73" s="9" t="inlineStr">
        <is>
          <t>barita</t>
        </is>
      </c>
      <c r="B73" s="9" t="n">
        <v>2007</v>
      </c>
      <c r="C73" s="9" t="n">
        <v>3576</v>
      </c>
      <c r="D73" s="9" t="n">
        <v>60</v>
      </c>
      <c r="E73" s="9" t="inlineStr">
        <is>
          <t>Baramin 59.8%</t>
        </is>
      </c>
      <c r="F73" s="8" t="inlineStr">
        <is>
          <t>lider/grupos conocidos + residual atomistico (aprox.)</t>
        </is>
      </c>
      <c r="G73" s="8" t="inlineStr">
        <is>
          <t>cota inferior: solo participaciones documentadas; residual tratado como atomistico</t>
        </is>
      </c>
    </row>
    <row r="74">
      <c r="A74" s="6" t="inlineStr">
        <is>
          <t>barita</t>
        </is>
      </c>
      <c r="B74" s="6" t="n">
        <v>2009</v>
      </c>
      <c r="C74" s="6" t="n">
        <v>6257</v>
      </c>
      <c r="D74" s="6" t="n">
        <v>79</v>
      </c>
      <c r="E74" s="6" t="inlineStr">
        <is>
          <t>Baramin 79.1%</t>
        </is>
      </c>
      <c r="F74" s="5" t="inlineStr">
        <is>
          <t>lider/grupos conocidos + residual atomistico (aprox.)</t>
        </is>
      </c>
      <c r="G74" s="5" t="inlineStr">
        <is>
          <t>cota inferior: solo participaciones documentadas; residual tratado como atomistico</t>
        </is>
      </c>
    </row>
    <row r="75">
      <c r="A75" s="9" t="inlineStr">
        <is>
          <t>barita</t>
        </is>
      </c>
      <c r="B75" s="9" t="n">
        <v>2011</v>
      </c>
      <c r="C75" s="9" t="n">
        <v>5141</v>
      </c>
      <c r="D75" s="9" t="n">
        <v>72</v>
      </c>
      <c r="E75" s="9" t="inlineStr">
        <is>
          <t>Baramin 71.7%</t>
        </is>
      </c>
      <c r="F75" s="8" t="inlineStr">
        <is>
          <t>lider/grupos conocidos + residual atomistico (aprox.)</t>
        </is>
      </c>
      <c r="G75" s="8" t="inlineStr">
        <is>
          <t>cota inferior: solo participaciones documentadas; residual tratado como atomistico</t>
        </is>
      </c>
    </row>
    <row r="76">
      <c r="A76" s="6" t="inlineStr">
        <is>
          <t>barita</t>
        </is>
      </c>
      <c r="B76" s="6" t="n">
        <v>2012</v>
      </c>
      <c r="C76" s="6" t="n">
        <v>10000</v>
      </c>
      <c r="D76" s="6" t="n">
        <v>100</v>
      </c>
      <c r="E76" s="6" t="inlineStr">
        <is>
          <t>Baramin 100.0%</t>
        </is>
      </c>
      <c r="F76" s="5" t="inlineStr">
        <is>
          <t>lider/grupos conocidos + residual atomistico (aprox.)</t>
        </is>
      </c>
      <c r="G76" s="5" t="inlineStr">
        <is>
          <t>cota inferior: solo participaciones documentadas; residual tratado como atomistico</t>
        </is>
      </c>
    </row>
    <row r="77">
      <c r="A77" s="9" t="inlineStr">
        <is>
          <t>barita</t>
        </is>
      </c>
      <c r="B77" s="9" t="n">
        <v>2013</v>
      </c>
      <c r="C77" s="9" t="n">
        <v>7022</v>
      </c>
      <c r="D77" s="9" t="n">
        <v>84</v>
      </c>
      <c r="E77" s="9" t="inlineStr">
        <is>
          <t>Baramin 83.8%</t>
        </is>
      </c>
      <c r="F77" s="8" t="inlineStr">
        <is>
          <t>lider/grupos conocidos + residual atomistico (aprox.)</t>
        </is>
      </c>
      <c r="G77" s="8" t="inlineStr">
        <is>
          <t>cota inferior: solo participaciones documentadas; residual tratado como atomistico</t>
        </is>
      </c>
    </row>
    <row r="78">
      <c r="A78" s="6" t="inlineStr">
        <is>
          <t>barita</t>
        </is>
      </c>
      <c r="B78" s="6" t="n">
        <v>2014</v>
      </c>
      <c r="C78" s="6" t="n">
        <v>10000</v>
      </c>
      <c r="D78" s="6" t="n">
        <v>100</v>
      </c>
      <c r="E78" s="6" t="inlineStr">
        <is>
          <t>Baramin 100.0%</t>
        </is>
      </c>
      <c r="F78" s="5" t="inlineStr">
        <is>
          <t>lider/grupos conocidos + residual atomistico (aprox.)</t>
        </is>
      </c>
      <c r="G78" s="5" t="inlineStr">
        <is>
          <t>cota inferior: solo participaciones documentadas; residual tratado como atomistico</t>
        </is>
      </c>
    </row>
    <row r="79">
      <c r="A79" s="9" t="inlineStr">
        <is>
          <t>barita</t>
        </is>
      </c>
      <c r="B79" s="9" t="n">
        <v>2017</v>
      </c>
      <c r="C79" s="9" t="n">
        <v>4638</v>
      </c>
      <c r="D79" s="9" t="n">
        <v>68</v>
      </c>
      <c r="E79" s="9" t="inlineStr">
        <is>
          <t>Baramin 68.1%</t>
        </is>
      </c>
      <c r="F79" s="8" t="inlineStr">
        <is>
          <t>lider/grupos conocidos + residual atomistico (aprox.)</t>
        </is>
      </c>
      <c r="G79" s="8" t="inlineStr">
        <is>
          <t>cota inferior: solo participaciones documentadas; residual tratado como atomistico</t>
        </is>
      </c>
    </row>
    <row r="80">
      <c r="A80" s="6" t="inlineStr">
        <is>
          <t>barita</t>
        </is>
      </c>
      <c r="B80" s="6" t="n">
        <v>2018</v>
      </c>
      <c r="C80" s="6" t="n">
        <v>6400</v>
      </c>
      <c r="D80" s="6" t="n">
        <v>80</v>
      </c>
      <c r="E80" s="6" t="inlineStr">
        <is>
          <t>Baramin 80.0%</t>
        </is>
      </c>
      <c r="F80" s="5" t="inlineStr">
        <is>
          <t>lider/grupos conocidos + residual atomistico (aprox.)</t>
        </is>
      </c>
      <c r="G80" s="5" t="inlineStr">
        <is>
          <t>cota inferior: solo participaciones documentadas; residual tratado como atomistico</t>
        </is>
      </c>
    </row>
    <row r="81">
      <c r="A81" s="9" t="inlineStr">
        <is>
          <t>barita</t>
        </is>
      </c>
      <c r="B81" s="9" t="n">
        <v>2019</v>
      </c>
      <c r="C81" s="9" t="n">
        <v>8317</v>
      </c>
      <c r="D81" s="9" t="n">
        <v>91</v>
      </c>
      <c r="E81" s="9" t="inlineStr">
        <is>
          <t>Baramin 91.2%</t>
        </is>
      </c>
      <c r="F81" s="8" t="inlineStr">
        <is>
          <t>lider/grupos conocidos + residual atomistico (aprox.)</t>
        </is>
      </c>
      <c r="G81" s="8" t="inlineStr">
        <is>
          <t>cota inferior: solo participaciones documentadas; residual tratado como atomistico</t>
        </is>
      </c>
    </row>
    <row r="82">
      <c r="A82" s="6" t="inlineStr">
        <is>
          <t>barita</t>
        </is>
      </c>
      <c r="B82" s="6" t="n">
        <v>2020</v>
      </c>
      <c r="C82" s="6" t="n">
        <v>3982</v>
      </c>
      <c r="D82" s="6" t="n">
        <v>63</v>
      </c>
      <c r="E82" s="6" t="inlineStr">
        <is>
          <t>Baramin 63.1%</t>
        </is>
      </c>
      <c r="F82" s="5" t="inlineStr">
        <is>
          <t>lider/grupos conocidos + residual atomistico (aprox.)</t>
        </is>
      </c>
      <c r="G82" s="5" t="inlineStr">
        <is>
          <t>cota inferior: solo participaciones documentadas; residual tratado como atomistico</t>
        </is>
      </c>
    </row>
    <row r="83">
      <c r="A83" s="9" t="inlineStr">
        <is>
          <t>barita</t>
        </is>
      </c>
      <c r="B83" s="9" t="n">
        <v>2021</v>
      </c>
      <c r="C83" s="9" t="n">
        <v>6779</v>
      </c>
      <c r="D83" s="9" t="n">
        <v>82</v>
      </c>
      <c r="E83" s="9" t="inlineStr">
        <is>
          <t>Baramin 82%</t>
        </is>
      </c>
      <c r="F83" s="8" t="inlineStr">
        <is>
          <t>mina-&gt;grupo vs total nacional</t>
        </is>
      </c>
      <c r="G83" s="8" t="n"/>
    </row>
    <row r="84">
      <c r="A84" s="6" t="inlineStr">
        <is>
          <t>barita</t>
        </is>
      </c>
      <c r="B84" s="6" t="n">
        <v>2022</v>
      </c>
      <c r="C84" s="6" t="n">
        <v>2479</v>
      </c>
      <c r="D84" s="6" t="n">
        <v>50</v>
      </c>
      <c r="E84" s="6" t="inlineStr">
        <is>
          <t>Baramin 50%</t>
        </is>
      </c>
      <c r="F84" s="5" t="inlineStr">
        <is>
          <t>mina-&gt;grupo vs total nacional</t>
        </is>
      </c>
      <c r="G84" s="5" t="n"/>
    </row>
    <row r="85">
      <c r="A85" s="9" t="inlineStr">
        <is>
          <t>barita</t>
        </is>
      </c>
      <c r="B85" s="9" t="n">
        <v>2023</v>
      </c>
      <c r="C85" s="9" t="n">
        <v>1380</v>
      </c>
      <c r="D85" s="9" t="n">
        <v>37</v>
      </c>
      <c r="E85" s="9" t="inlineStr">
        <is>
          <t>Baramin 37%</t>
        </is>
      </c>
      <c r="F85" s="8" t="inlineStr">
        <is>
          <t>mina-&gt;grupo vs total nacional</t>
        </is>
      </c>
      <c r="G85" s="8" t="n"/>
    </row>
    <row r="86">
      <c r="A86" s="6" t="inlineStr">
        <is>
          <t>barita</t>
        </is>
      </c>
      <c r="B86" s="6" t="n">
        <v>2024</v>
      </c>
      <c r="C86" s="6" t="n">
        <v>605</v>
      </c>
      <c r="D86" s="6" t="n">
        <v>25</v>
      </c>
      <c r="E86" s="6" t="inlineStr">
        <is>
          <t>Baramin 25%</t>
        </is>
      </c>
      <c r="F86" s="5" t="inlineStr">
        <is>
          <t>lider + residual atomistico (aprox., solo lider 2024)</t>
        </is>
      </c>
      <c r="G86" s="5" t="inlineStr">
        <is>
          <t>cota inferior: solo participacion del lider disponible en 2024</t>
        </is>
      </c>
    </row>
    <row r="87">
      <c r="A87" s="9" t="inlineStr">
        <is>
          <t>silice</t>
        </is>
      </c>
      <c r="B87" s="9" t="n">
        <v>2006</v>
      </c>
      <c r="C87" s="9" t="n">
        <v>5271</v>
      </c>
      <c r="D87" s="9" t="n">
        <v>73</v>
      </c>
      <c r="E87" s="9" t="inlineStr">
        <is>
          <t>Grupo Materias Primas 72.6%</t>
        </is>
      </c>
      <c r="F87" s="8" t="inlineStr">
        <is>
          <t>lider/grupos conocidos + residual atomistico (aprox.)</t>
        </is>
      </c>
      <c r="G87" s="8" t="inlineStr">
        <is>
          <t>cota inferior: solo participaciones documentadas; residual tratado como atomistico</t>
        </is>
      </c>
    </row>
    <row r="88">
      <c r="A88" s="6" t="inlineStr">
        <is>
          <t>silice</t>
        </is>
      </c>
      <c r="B88" s="6" t="n">
        <v>2007</v>
      </c>
      <c r="C88" s="6" t="n">
        <v>4409</v>
      </c>
      <c r="D88" s="6" t="n">
        <v>66</v>
      </c>
      <c r="E88" s="6" t="inlineStr">
        <is>
          <t>Grupo Materias Primas 66.4%</t>
        </is>
      </c>
      <c r="F88" s="5" t="inlineStr">
        <is>
          <t>lider/grupos conocidos + residual atomistico (aprox.)</t>
        </is>
      </c>
      <c r="G88" s="5" t="inlineStr">
        <is>
          <t>cota inferior: solo participaciones documentadas; residual tratado como atomistico</t>
        </is>
      </c>
    </row>
    <row r="89">
      <c r="A89" s="9" t="inlineStr">
        <is>
          <t>silice</t>
        </is>
      </c>
      <c r="B89" s="9" t="n">
        <v>2009</v>
      </c>
      <c r="C89" s="9" t="n">
        <v>4147</v>
      </c>
      <c r="D89" s="9" t="n">
        <v>64</v>
      </c>
      <c r="E89" s="9" t="inlineStr">
        <is>
          <t>Grupo Materias Primas 64.4%</t>
        </is>
      </c>
      <c r="F89" s="8" t="inlineStr">
        <is>
          <t>lider/grupos conocidos + residual atomistico (aprox.)</t>
        </is>
      </c>
      <c r="G89" s="8" t="inlineStr">
        <is>
          <t>cota inferior: solo participaciones documentadas; residual tratado como atomistico</t>
        </is>
      </c>
    </row>
    <row r="90">
      <c r="A90" s="6" t="inlineStr">
        <is>
          <t>silice</t>
        </is>
      </c>
      <c r="B90" s="6" t="n">
        <v>2010</v>
      </c>
      <c r="C90" s="6" t="n">
        <v>4251</v>
      </c>
      <c r="D90" s="6" t="n">
        <v>65</v>
      </c>
      <c r="E90" s="6" t="inlineStr">
        <is>
          <t>Grupo Materias Primas 65.2%</t>
        </is>
      </c>
      <c r="F90" s="5" t="inlineStr">
        <is>
          <t>lider/grupos conocidos + residual atomistico (aprox.)</t>
        </is>
      </c>
      <c r="G90" s="5" t="inlineStr">
        <is>
          <t>cota inferior: solo participaciones documentadas; residual tratado como atomistico</t>
        </is>
      </c>
    </row>
    <row r="91">
      <c r="A91" s="9" t="inlineStr">
        <is>
          <t>silice</t>
        </is>
      </c>
      <c r="B91" s="9" t="n">
        <v>2011</v>
      </c>
      <c r="C91" s="9" t="n">
        <v>5242</v>
      </c>
      <c r="D91" s="9" t="n">
        <v>72</v>
      </c>
      <c r="E91" s="9" t="inlineStr">
        <is>
          <t>Grupo Materias Primas 72.4%</t>
        </is>
      </c>
      <c r="F91" s="8" t="inlineStr">
        <is>
          <t>lider/grupos conocidos + residual atomistico (aprox.)</t>
        </is>
      </c>
      <c r="G91" s="8" t="inlineStr">
        <is>
          <t>cota inferior: solo participaciones documentadas; residual tratado como atomistico</t>
        </is>
      </c>
    </row>
    <row r="92">
      <c r="A92" s="6" t="inlineStr">
        <is>
          <t>silice</t>
        </is>
      </c>
      <c r="B92" s="6" t="n">
        <v>2012</v>
      </c>
      <c r="C92" s="6" t="n">
        <v>2884</v>
      </c>
      <c r="D92" s="6" t="n">
        <v>54</v>
      </c>
      <c r="E92" s="6" t="inlineStr">
        <is>
          <t>Grupo Materias Primas 53.7%</t>
        </is>
      </c>
      <c r="F92" s="5" t="inlineStr">
        <is>
          <t>lider/grupos conocidos + residual atomistico (aprox.)</t>
        </is>
      </c>
      <c r="G92" s="5" t="inlineStr">
        <is>
          <t>cota inferior: solo participaciones documentadas; residual tratado como atomistico</t>
        </is>
      </c>
    </row>
    <row r="93">
      <c r="A93" s="9" t="inlineStr">
        <is>
          <t>silice</t>
        </is>
      </c>
      <c r="B93" s="9" t="n">
        <v>2013</v>
      </c>
      <c r="C93" s="9" t="n">
        <v>4356</v>
      </c>
      <c r="D93" s="9" t="n">
        <v>66</v>
      </c>
      <c r="E93" s="9" t="inlineStr">
        <is>
          <t>Grupo Materias Primas 66.0%</t>
        </is>
      </c>
      <c r="F93" s="8" t="inlineStr">
        <is>
          <t>lider/grupos conocidos + residual atomistico (aprox.)</t>
        </is>
      </c>
      <c r="G93" s="8" t="inlineStr">
        <is>
          <t>cota inferior: solo participaciones documentadas; residual tratado como atomistico</t>
        </is>
      </c>
    </row>
    <row r="94">
      <c r="A94" s="6" t="inlineStr">
        <is>
          <t>silice</t>
        </is>
      </c>
      <c r="B94" s="6" t="n">
        <v>2018</v>
      </c>
      <c r="C94" s="6" t="n">
        <v>10000</v>
      </c>
      <c r="D94" s="6" t="n">
        <v>100</v>
      </c>
      <c r="E94" s="6" t="inlineStr">
        <is>
          <t>Grupo Materias Primas 100.0%</t>
        </is>
      </c>
      <c r="F94" s="5" t="inlineStr">
        <is>
          <t>lider/grupos conocidos + residual atomistico (aprox.)</t>
        </is>
      </c>
      <c r="G94" s="5" t="inlineStr">
        <is>
          <t>cota inferior: solo participaciones documentadas; residual tratado como atomistico</t>
        </is>
      </c>
    </row>
    <row r="95">
      <c r="A95" s="9" t="inlineStr">
        <is>
          <t>silice</t>
        </is>
      </c>
      <c r="B95" s="9" t="n">
        <v>2019</v>
      </c>
      <c r="C95" s="9" t="n">
        <v>10000</v>
      </c>
      <c r="D95" s="9" t="n">
        <v>100</v>
      </c>
      <c r="E95" s="9" t="inlineStr">
        <is>
          <t>Grupo Materias Primas (Covia) 100.0%</t>
        </is>
      </c>
      <c r="F95" s="8" t="inlineStr">
        <is>
          <t>lider/grupos conocidos + residual atomistico (aprox.)</t>
        </is>
      </c>
      <c r="G95" s="8" t="inlineStr">
        <is>
          <t>cota inferior: solo participaciones documentadas; residual tratado como atomistico</t>
        </is>
      </c>
    </row>
    <row r="96">
      <c r="A96" s="6" t="inlineStr">
        <is>
          <t>silice</t>
        </is>
      </c>
      <c r="B96" s="6" t="n">
        <v>2020</v>
      </c>
      <c r="C96" s="6" t="n">
        <v>8519</v>
      </c>
      <c r="D96" s="6" t="n">
        <v>92</v>
      </c>
      <c r="E96" s="6" t="inlineStr">
        <is>
          <t>Grupo Materias Primas (Covia) 92.3%</t>
        </is>
      </c>
      <c r="F96" s="5" t="inlineStr">
        <is>
          <t>lider/grupos conocidos + residual atomistico (aprox.)</t>
        </is>
      </c>
      <c r="G96" s="5" t="inlineStr">
        <is>
          <t>cota inferior: solo participaciones documentadas; residual tratado como atomistico</t>
        </is>
      </c>
    </row>
    <row r="97">
      <c r="A97" s="9" t="inlineStr">
        <is>
          <t>silice</t>
        </is>
      </c>
      <c r="B97" s="9" t="n">
        <v>2021</v>
      </c>
      <c r="C97" s="9" t="n">
        <v>9742</v>
      </c>
      <c r="D97" s="9" t="n">
        <v>99</v>
      </c>
      <c r="E97" s="9" t="inlineStr">
        <is>
          <t>Grupo Materias Primas (Covia) 99%</t>
        </is>
      </c>
      <c r="F97" s="8" t="inlineStr">
        <is>
          <t>mina-&gt;grupo vs total nacional</t>
        </is>
      </c>
      <c r="G97" s="8" t="n"/>
    </row>
    <row r="98">
      <c r="A98" s="6" t="inlineStr">
        <is>
          <t>silice</t>
        </is>
      </c>
      <c r="B98" s="6" t="n">
        <v>2022</v>
      </c>
      <c r="C98" s="6" t="n">
        <v>5519</v>
      </c>
      <c r="D98" s="6" t="n">
        <v>74</v>
      </c>
      <c r="E98" s="6" t="inlineStr">
        <is>
          <t>Grupo Materias Primas (Covia) 74%</t>
        </is>
      </c>
      <c r="F98" s="5" t="inlineStr">
        <is>
          <t>mina-&gt;grupo vs total nacional</t>
        </is>
      </c>
      <c r="G98" s="5" t="n"/>
    </row>
    <row r="99">
      <c r="A99" s="9" t="inlineStr">
        <is>
          <t>silice</t>
        </is>
      </c>
      <c r="B99" s="9" t="n">
        <v>2023</v>
      </c>
      <c r="C99" s="9" t="n">
        <v>6670</v>
      </c>
      <c r="D99" s="9" t="n">
        <v>82</v>
      </c>
      <c r="E99" s="9" t="inlineStr">
        <is>
          <t>Grupo Materias Primas (Covia) 82%</t>
        </is>
      </c>
      <c r="F99" s="8" t="inlineStr">
        <is>
          <t>mina-&gt;grupo vs total nacional</t>
        </is>
      </c>
      <c r="G99" s="8" t="n"/>
    </row>
    <row r="100">
      <c r="A100" s="6" t="inlineStr">
        <is>
          <t>fluorita</t>
        </is>
      </c>
      <c r="B100" s="6" t="n">
        <v>1994</v>
      </c>
      <c r="C100" s="6" t="n">
        <v>6001</v>
      </c>
      <c r="D100" s="6" t="n">
        <v>95</v>
      </c>
      <c r="E100" s="6" t="inlineStr">
        <is>
          <t>Cia. Minera Las Cuevas ~75-80%</t>
        </is>
      </c>
      <c r="F100" s="5" t="inlineStr">
        <is>
          <t>lider dominante + fringe (narrativa USGS)</t>
        </is>
      </c>
      <c r="G100" s="5" t="inlineStr">
        <is>
          <t>USGS MYB Mexico 1994-2003, Tabla 2 + narrativa: Las Cuevas ~75% (1999/2001), 76% (2002), &gt;80% (2003); cota inferior</t>
        </is>
      </c>
    </row>
    <row r="101">
      <c r="A101" s="9" t="inlineStr">
        <is>
          <t>fluorita</t>
        </is>
      </c>
      <c r="B101" s="9" t="n">
        <v>1995</v>
      </c>
      <c r="C101" s="9" t="n">
        <v>6001</v>
      </c>
      <c r="D101" s="9" t="n">
        <v>95</v>
      </c>
      <c r="E101" s="9" t="inlineStr">
        <is>
          <t>Cia. Minera Las Cuevas ~75-80%</t>
        </is>
      </c>
      <c r="F101" s="8" t="inlineStr">
        <is>
          <t>lider dominante + fringe (narrativa USGS)</t>
        </is>
      </c>
      <c r="G101" s="8" t="inlineStr">
        <is>
          <t>USGS MYB Mexico 1994-2003, Tabla 2 + narrativa: Las Cuevas ~75% (1999/2001), 76% (2002), &gt;80% (2003); cota inferior</t>
        </is>
      </c>
    </row>
    <row r="102">
      <c r="A102" s="6" t="inlineStr">
        <is>
          <t>fluorita</t>
        </is>
      </c>
      <c r="B102" s="6" t="n">
        <v>1996</v>
      </c>
      <c r="C102" s="6" t="n">
        <v>6001</v>
      </c>
      <c r="D102" s="6" t="n">
        <v>95</v>
      </c>
      <c r="E102" s="6" t="inlineStr">
        <is>
          <t>Cia. Minera Las Cuevas ~75-80%</t>
        </is>
      </c>
      <c r="F102" s="5" t="inlineStr">
        <is>
          <t>lider dominante + fringe (narrativa USGS)</t>
        </is>
      </c>
      <c r="G102" s="5" t="inlineStr">
        <is>
          <t>USGS MYB Mexico 1994-2003, Tabla 2 + narrativa: Las Cuevas ~75% (1999/2001), 76% (2002), &gt;80% (2003); cota inferior</t>
        </is>
      </c>
    </row>
    <row r="103">
      <c r="A103" s="9" t="inlineStr">
        <is>
          <t>fluorita</t>
        </is>
      </c>
      <c r="B103" s="9" t="n">
        <v>1997</v>
      </c>
      <c r="C103" s="9" t="n">
        <v>6001</v>
      </c>
      <c r="D103" s="9" t="n">
        <v>95</v>
      </c>
      <c r="E103" s="9" t="inlineStr">
        <is>
          <t>Cia. Minera Las Cuevas ~75-80%</t>
        </is>
      </c>
      <c r="F103" s="8" t="inlineStr">
        <is>
          <t>lider dominante + fringe (narrativa USGS)</t>
        </is>
      </c>
      <c r="G103" s="8" t="inlineStr">
        <is>
          <t>USGS MYB Mexico 1994-2003, Tabla 2 + narrativa: Las Cuevas ~75% (1999/2001), 76% (2002), &gt;80% (2003); cota inferior</t>
        </is>
      </c>
    </row>
    <row r="104">
      <c r="A104" s="6" t="inlineStr">
        <is>
          <t>fluorita</t>
        </is>
      </c>
      <c r="B104" s="6" t="n">
        <v>1998</v>
      </c>
      <c r="C104" s="6" t="n">
        <v>6001</v>
      </c>
      <c r="D104" s="6" t="n">
        <v>95</v>
      </c>
      <c r="E104" s="6" t="inlineStr">
        <is>
          <t>Cia. Minera Las Cuevas ~75-80%</t>
        </is>
      </c>
      <c r="F104" s="5" t="inlineStr">
        <is>
          <t>lider dominante + fringe (narrativa USGS)</t>
        </is>
      </c>
      <c r="G104" s="5" t="inlineStr">
        <is>
          <t>USGS MYB Mexico 1994-2003, Tabla 2 + narrativa: Las Cuevas ~75% (1999/2001), 76% (2002), &gt;80% (2003); cota inferior</t>
        </is>
      </c>
    </row>
    <row r="105">
      <c r="A105" s="9" t="inlineStr">
        <is>
          <t>fluorita</t>
        </is>
      </c>
      <c r="B105" s="9" t="n">
        <v>1999</v>
      </c>
      <c r="C105" s="9" t="n">
        <v>6001</v>
      </c>
      <c r="D105" s="9" t="n">
        <v>95</v>
      </c>
      <c r="E105" s="9" t="inlineStr">
        <is>
          <t>Cia. Minera Las Cuevas ~75-80%</t>
        </is>
      </c>
      <c r="F105" s="8" t="inlineStr">
        <is>
          <t>lider dominante + fringe (narrativa USGS)</t>
        </is>
      </c>
      <c r="G105" s="8" t="inlineStr">
        <is>
          <t>USGS MYB Mexico 1994-2003, Tabla 2 + narrativa: Las Cuevas ~75% (1999/2001), 76% (2002), &gt;80% (2003); cota inferior</t>
        </is>
      </c>
    </row>
    <row r="106">
      <c r="A106" s="6" t="inlineStr">
        <is>
          <t>fluorita</t>
        </is>
      </c>
      <c r="B106" s="6" t="n">
        <v>2000</v>
      </c>
      <c r="C106" s="6" t="n">
        <v>6001</v>
      </c>
      <c r="D106" s="6" t="n">
        <v>95</v>
      </c>
      <c r="E106" s="6" t="inlineStr">
        <is>
          <t>Cia. Minera Las Cuevas ~75-80%</t>
        </is>
      </c>
      <c r="F106" s="5" t="inlineStr">
        <is>
          <t>lider dominante + fringe (narrativa USGS)</t>
        </is>
      </c>
      <c r="G106" s="5" t="inlineStr">
        <is>
          <t>USGS MYB Mexico 1994-2003, Tabla 2 + narrativa: Las Cuevas ~75% (1999/2001), 76% (2002), &gt;80% (2003); cota inferior</t>
        </is>
      </c>
    </row>
    <row r="107">
      <c r="A107" s="9" t="inlineStr">
        <is>
          <t>fluorita</t>
        </is>
      </c>
      <c r="B107" s="9" t="n">
        <v>2001</v>
      </c>
      <c r="C107" s="9" t="n">
        <v>6001</v>
      </c>
      <c r="D107" s="9" t="n">
        <v>95</v>
      </c>
      <c r="E107" s="9" t="inlineStr">
        <is>
          <t>Cia. Minera Las Cuevas ~75-80%</t>
        </is>
      </c>
      <c r="F107" s="8" t="inlineStr">
        <is>
          <t>lider dominante + fringe (narrativa USGS)</t>
        </is>
      </c>
      <c r="G107" s="8" t="inlineStr">
        <is>
          <t>USGS MYB Mexico 1994-2003, Tabla 2 + narrativa: Las Cuevas ~75% (1999/2001), 76% (2002), &gt;80% (2003); cota inferior</t>
        </is>
      </c>
    </row>
    <row r="108">
      <c r="A108" s="6" t="inlineStr">
        <is>
          <t>fluorita</t>
        </is>
      </c>
      <c r="B108" s="6" t="n">
        <v>2002</v>
      </c>
      <c r="C108" s="6" t="n">
        <v>6001</v>
      </c>
      <c r="D108" s="6" t="n">
        <v>95</v>
      </c>
      <c r="E108" s="6" t="inlineStr">
        <is>
          <t>Cia. Minera Las Cuevas ~75-80%</t>
        </is>
      </c>
      <c r="F108" s="5" t="inlineStr">
        <is>
          <t>lider dominante + fringe (narrativa USGS)</t>
        </is>
      </c>
      <c r="G108" s="5" t="inlineStr">
        <is>
          <t>USGS MYB Mexico 1994-2003, Tabla 2 + narrativa: Las Cuevas ~75% (1999/2001), 76% (2002), &gt;80% (2003); cota inferior</t>
        </is>
      </c>
    </row>
    <row r="109">
      <c r="A109" s="9" t="inlineStr">
        <is>
          <t>fluorita</t>
        </is>
      </c>
      <c r="B109" s="9" t="n">
        <v>2003</v>
      </c>
      <c r="C109" s="9" t="n">
        <v>6001</v>
      </c>
      <c r="D109" s="9" t="n">
        <v>95</v>
      </c>
      <c r="E109" s="9" t="inlineStr">
        <is>
          <t>Cia. Minera Las Cuevas ~75-80%</t>
        </is>
      </c>
      <c r="F109" s="8" t="inlineStr">
        <is>
          <t>lider dominante + fringe (narrativa USGS)</t>
        </is>
      </c>
      <c r="G109" s="8" t="inlineStr">
        <is>
          <t>USGS MYB Mexico 1994-2003, Tabla 2 + narrativa: Las Cuevas ~75% (1999/2001), 76% (2002), &gt;80% (2003); cota inferior</t>
        </is>
      </c>
    </row>
    <row r="110">
      <c r="A110" s="6" t="inlineStr">
        <is>
          <t>fluorita</t>
        </is>
      </c>
      <c r="B110" s="6" t="n">
        <v>2004</v>
      </c>
      <c r="C110" s="6" t="n">
        <v>6001</v>
      </c>
      <c r="D110" s="6" t="n">
        <v>96</v>
      </c>
      <c r="E110" s="6" t="inlineStr">
        <is>
          <t>Cia. Minera Las Cuevas (Mexichem) 74.4%</t>
        </is>
      </c>
      <c r="F110" s="5" t="inlineStr">
        <is>
          <t>duopolio (capacidades USGS Tabla 2)</t>
        </is>
      </c>
      <c r="G110" s="5" t="inlineStr">
        <is>
          <t>reparto por capacidad 77.61/22.39 (Bitacora 2026-07-21)</t>
        </is>
      </c>
    </row>
    <row r="111">
      <c r="A111" s="9" t="inlineStr">
        <is>
          <t>fluorita</t>
        </is>
      </c>
      <c r="B111" s="9" t="n">
        <v>2005</v>
      </c>
      <c r="C111" s="9" t="n">
        <v>6525</v>
      </c>
      <c r="D111" s="9" t="n">
        <v>100</v>
      </c>
      <c r="E111" s="9" t="inlineStr">
        <is>
          <t>Cia. Minera Las Cuevas (Mexichem) 77.6%</t>
        </is>
      </c>
      <c r="F111" s="8" t="inlineStr">
        <is>
          <t>duopolio (capacidades USGS Tabla 2)</t>
        </is>
      </c>
      <c r="G111" s="8" t="inlineStr">
        <is>
          <t>reparto por capacidad 77.61/22.39 (Bitacora 2026-07-21)</t>
        </is>
      </c>
    </row>
    <row r="112">
      <c r="A112" s="6" t="inlineStr">
        <is>
          <t>fluorita</t>
        </is>
      </c>
      <c r="B112" s="6" t="n">
        <v>2006</v>
      </c>
      <c r="C112" s="6" t="n">
        <v>6525</v>
      </c>
      <c r="D112" s="6" t="n">
        <v>100</v>
      </c>
      <c r="E112" s="6" t="inlineStr">
        <is>
          <t>Cia. Minera Las Cuevas (Mexichem) 77.6%</t>
        </is>
      </c>
      <c r="F112" s="5" t="inlineStr">
        <is>
          <t>duopolio (capacidades USGS Tabla 2)</t>
        </is>
      </c>
      <c r="G112" s="5" t="inlineStr">
        <is>
          <t>reparto por capacidad 77.61/22.39 (Bitacora 2026-07-21)</t>
        </is>
      </c>
    </row>
    <row r="113">
      <c r="A113" s="9" t="inlineStr">
        <is>
          <t>fluorita</t>
        </is>
      </c>
      <c r="B113" s="9" t="n">
        <v>2007</v>
      </c>
      <c r="C113" s="9" t="n">
        <v>6525</v>
      </c>
      <c r="D113" s="9" t="n">
        <v>100</v>
      </c>
      <c r="E113" s="9" t="inlineStr">
        <is>
          <t>Cia. Minera Las Cuevas (Mexichem) 77.6%</t>
        </is>
      </c>
      <c r="F113" s="8" t="inlineStr">
        <is>
          <t>duopolio (capacidades USGS Tabla 2)</t>
        </is>
      </c>
      <c r="G113" s="8" t="inlineStr">
        <is>
          <t>reparto por capacidad 77.61/22.39 (Bitacora 2026-07-21)</t>
        </is>
      </c>
    </row>
    <row r="114">
      <c r="A114" s="6" t="inlineStr">
        <is>
          <t>fluorita</t>
        </is>
      </c>
      <c r="B114" s="6" t="n">
        <v>2008</v>
      </c>
      <c r="C114" s="6" t="n">
        <v>6525</v>
      </c>
      <c r="D114" s="6" t="n">
        <v>100</v>
      </c>
      <c r="E114" s="6" t="inlineStr">
        <is>
          <t>Cia. Minera Las Cuevas (Mexichem) 77.6%</t>
        </is>
      </c>
      <c r="F114" s="5" t="inlineStr">
        <is>
          <t>duopolio (capacidades USGS Tabla 2)</t>
        </is>
      </c>
      <c r="G114" s="5" t="inlineStr">
        <is>
          <t>reparto por capacidad 77.61/22.39 (Bitacora 2026-07-21)</t>
        </is>
      </c>
    </row>
    <row r="115">
      <c r="A115" s="9" t="inlineStr">
        <is>
          <t>fluorita</t>
        </is>
      </c>
      <c r="B115" s="9" t="n">
        <v>2009</v>
      </c>
      <c r="C115" s="9" t="n">
        <v>6525</v>
      </c>
      <c r="D115" s="9" t="n">
        <v>100</v>
      </c>
      <c r="E115" s="9" t="inlineStr">
        <is>
          <t>Cia. Minera Las Cuevas (Mexichem) 77.6%</t>
        </is>
      </c>
      <c r="F115" s="8" t="inlineStr">
        <is>
          <t>duopolio (capacidades USGS Tabla 2)</t>
        </is>
      </c>
      <c r="G115" s="8" t="inlineStr">
        <is>
          <t>reparto por capacidad 77.61/22.39 (Bitacora 2026-07-21)</t>
        </is>
      </c>
    </row>
    <row r="116">
      <c r="A116" s="6" t="inlineStr">
        <is>
          <t>fluorita</t>
        </is>
      </c>
      <c r="B116" s="6" t="n">
        <v>2010</v>
      </c>
      <c r="C116" s="6" t="n">
        <v>6525</v>
      </c>
      <c r="D116" s="6" t="n">
        <v>100</v>
      </c>
      <c r="E116" s="6" t="inlineStr">
        <is>
          <t>Cia. Minera Las Cuevas (Mexichem) 77.6%</t>
        </is>
      </c>
      <c r="F116" s="5" t="inlineStr">
        <is>
          <t>duopolio (capacidades USGS Tabla 2)</t>
        </is>
      </c>
      <c r="G116" s="5" t="inlineStr">
        <is>
          <t>reparto por capacidad 77.61/22.39 (Bitacora 2026-07-21)</t>
        </is>
      </c>
    </row>
    <row r="117">
      <c r="A117" s="9" t="inlineStr">
        <is>
          <t>fluorita</t>
        </is>
      </c>
      <c r="B117" s="9" t="n">
        <v>2011</v>
      </c>
      <c r="C117" s="9" t="n">
        <v>6525</v>
      </c>
      <c r="D117" s="9" t="n">
        <v>100</v>
      </c>
      <c r="E117" s="9" t="inlineStr">
        <is>
          <t>Cia. Minera Las Cuevas (Mexichem) 77.6%</t>
        </is>
      </c>
      <c r="F117" s="8" t="inlineStr">
        <is>
          <t>duopolio (capacidades USGS Tabla 2)</t>
        </is>
      </c>
      <c r="G117" s="8" t="inlineStr">
        <is>
          <t>reparto por capacidad 77.61/22.39 (Bitacora 2026-07-21)</t>
        </is>
      </c>
    </row>
    <row r="118">
      <c r="A118" s="6" t="inlineStr">
        <is>
          <t>fluorita</t>
        </is>
      </c>
      <c r="B118" s="6" t="n">
        <v>2012</v>
      </c>
      <c r="C118" s="6" t="n">
        <v>10000</v>
      </c>
      <c r="D118" s="6" t="n">
        <v>100</v>
      </c>
      <c r="E118" s="6" t="inlineStr">
        <is>
          <t>Koura/Orbia (Mexichem) 100%</t>
        </is>
      </c>
      <c r="F118" s="5" t="inlineStr">
        <is>
          <t>monopolio documentado</t>
        </is>
      </c>
      <c r="G118" s="5" t="inlineStr">
        <is>
          <t>monopolio de grupo desde ene-2012 (fusion Fluorita de Mexico); cubre hueco 2019-2020</t>
        </is>
      </c>
    </row>
    <row r="119">
      <c r="A119" s="9" t="inlineStr">
        <is>
          <t>fluorita</t>
        </is>
      </c>
      <c r="B119" s="9" t="n">
        <v>2013</v>
      </c>
      <c r="C119" s="9" t="n">
        <v>10000</v>
      </c>
      <c r="D119" s="9" t="n">
        <v>100</v>
      </c>
      <c r="E119" s="9" t="inlineStr">
        <is>
          <t>Koura/Orbia (Mexichem) 100%</t>
        </is>
      </c>
      <c r="F119" s="8" t="inlineStr">
        <is>
          <t>monopolio documentado</t>
        </is>
      </c>
      <c r="G119" s="8" t="inlineStr">
        <is>
          <t>monopolio de grupo desde ene-2012 (fusion Fluorita de Mexico); cubre hueco 2019-2020</t>
        </is>
      </c>
    </row>
    <row r="120">
      <c r="A120" s="6" t="inlineStr">
        <is>
          <t>fluorita</t>
        </is>
      </c>
      <c r="B120" s="6" t="n">
        <v>2014</v>
      </c>
      <c r="C120" s="6" t="n">
        <v>10000</v>
      </c>
      <c r="D120" s="6" t="n">
        <v>100</v>
      </c>
      <c r="E120" s="6" t="inlineStr">
        <is>
          <t>Koura/Orbia (Mexichem) 100%</t>
        </is>
      </c>
      <c r="F120" s="5" t="inlineStr">
        <is>
          <t>monopolio documentado</t>
        </is>
      </c>
      <c r="G120" s="5" t="inlineStr">
        <is>
          <t>monopolio de grupo desde ene-2012 (fusion Fluorita de Mexico); cubre hueco 2019-2020</t>
        </is>
      </c>
    </row>
    <row r="121">
      <c r="A121" s="9" t="inlineStr">
        <is>
          <t>fluorita</t>
        </is>
      </c>
      <c r="B121" s="9" t="n">
        <v>2015</v>
      </c>
      <c r="C121" s="9" t="n">
        <v>10000</v>
      </c>
      <c r="D121" s="9" t="n">
        <v>100</v>
      </c>
      <c r="E121" s="9" t="inlineStr">
        <is>
          <t>Koura/Orbia (Mexichem) 100%</t>
        </is>
      </c>
      <c r="F121" s="8" t="inlineStr">
        <is>
          <t>monopolio documentado</t>
        </is>
      </c>
      <c r="G121" s="8" t="inlineStr">
        <is>
          <t>monopolio de grupo desde ene-2012 (fusion Fluorita de Mexico); cubre hueco 2019-2020</t>
        </is>
      </c>
    </row>
    <row r="122">
      <c r="A122" s="6" t="inlineStr">
        <is>
          <t>fluorita</t>
        </is>
      </c>
      <c r="B122" s="6" t="n">
        <v>2016</v>
      </c>
      <c r="C122" s="6" t="n">
        <v>10000</v>
      </c>
      <c r="D122" s="6" t="n">
        <v>100</v>
      </c>
      <c r="E122" s="6" t="inlineStr">
        <is>
          <t>Koura/Orbia (Mexichem) 100%</t>
        </is>
      </c>
      <c r="F122" s="5" t="inlineStr">
        <is>
          <t>monopolio documentado</t>
        </is>
      </c>
      <c r="G122" s="5" t="inlineStr">
        <is>
          <t>monopolio de grupo desde ene-2012 (fusion Fluorita de Mexico); cubre hueco 2019-2020</t>
        </is>
      </c>
    </row>
    <row r="123">
      <c r="A123" s="9" t="inlineStr">
        <is>
          <t>fluorita</t>
        </is>
      </c>
      <c r="B123" s="9" t="n">
        <v>2017</v>
      </c>
      <c r="C123" s="9" t="n">
        <v>10000</v>
      </c>
      <c r="D123" s="9" t="n">
        <v>100</v>
      </c>
      <c r="E123" s="9" t="inlineStr">
        <is>
          <t>Koura/Orbia (Mexichem) 100%</t>
        </is>
      </c>
      <c r="F123" s="8" t="inlineStr">
        <is>
          <t>monopolio documentado</t>
        </is>
      </c>
      <c r="G123" s="8" t="inlineStr">
        <is>
          <t>monopolio de grupo desde ene-2012 (fusion Fluorita de Mexico); cubre hueco 2019-2020</t>
        </is>
      </c>
    </row>
    <row r="124">
      <c r="A124" s="6" t="inlineStr">
        <is>
          <t>fluorita</t>
        </is>
      </c>
      <c r="B124" s="6" t="n">
        <v>2018</v>
      </c>
      <c r="C124" s="6" t="n">
        <v>10000</v>
      </c>
      <c r="D124" s="6" t="n">
        <v>100</v>
      </c>
      <c r="E124" s="6" t="inlineStr">
        <is>
          <t>Koura/Orbia (Mexichem) 100%</t>
        </is>
      </c>
      <c r="F124" s="5" t="inlineStr">
        <is>
          <t>monopolio documentado</t>
        </is>
      </c>
      <c r="G124" s="5" t="inlineStr">
        <is>
          <t>monopolio de grupo desde ene-2012 (fusion Fluorita de Mexico); cubre hueco 2019-2020</t>
        </is>
      </c>
    </row>
    <row r="125">
      <c r="A125" s="9" t="inlineStr">
        <is>
          <t>fluorita</t>
        </is>
      </c>
      <c r="B125" s="9" t="n">
        <v>2019</v>
      </c>
      <c r="C125" s="9" t="n">
        <v>10000</v>
      </c>
      <c r="D125" s="9" t="n">
        <v>100</v>
      </c>
      <c r="E125" s="9" t="inlineStr">
        <is>
          <t>Koura/Orbia (Mexichem) 100%</t>
        </is>
      </c>
      <c r="F125" s="8" t="inlineStr">
        <is>
          <t>monopolio documentado</t>
        </is>
      </c>
      <c r="G125" s="8" t="inlineStr">
        <is>
          <t>monopolio de grupo desde ene-2012 (fusion Fluorita de Mexico); cubre hueco 2019-2020</t>
        </is>
      </c>
    </row>
    <row r="126">
      <c r="A126" s="6" t="inlineStr">
        <is>
          <t>fluorita</t>
        </is>
      </c>
      <c r="B126" s="6" t="n">
        <v>2020</v>
      </c>
      <c r="C126" s="6" t="n">
        <v>10000</v>
      </c>
      <c r="D126" s="6" t="n">
        <v>100</v>
      </c>
      <c r="E126" s="6" t="inlineStr">
        <is>
          <t>Koura/Orbia (Mexichem) 100%</t>
        </is>
      </c>
      <c r="F126" s="5" t="inlineStr">
        <is>
          <t>monopolio documentado</t>
        </is>
      </c>
      <c r="G126" s="5" t="inlineStr">
        <is>
          <t>monopolio de grupo desde ene-2012 (fusion Fluorita de Mexico); cubre hueco 2019-2020</t>
        </is>
      </c>
    </row>
    <row r="127">
      <c r="A127" s="9" t="inlineStr">
        <is>
          <t>fluorita</t>
        </is>
      </c>
      <c r="B127" s="9" t="n">
        <v>2021</v>
      </c>
      <c r="C127" s="9" t="n">
        <v>10000</v>
      </c>
      <c r="D127" s="9" t="n">
        <v>100</v>
      </c>
      <c r="E127" s="9" t="n"/>
      <c r="F127" s="8" t="inlineStr">
        <is>
          <t>monopolio documentado</t>
        </is>
      </c>
      <c r="G127" s="8" t="inlineStr">
        <is>
          <t>Koura/Orbia, monopolio de grupo desde 2012</t>
        </is>
      </c>
    </row>
    <row r="128">
      <c r="A128" s="6" t="inlineStr">
        <is>
          <t>fluorita</t>
        </is>
      </c>
      <c r="B128" s="6" t="n">
        <v>2022</v>
      </c>
      <c r="C128" s="6" t="n">
        <v>10000</v>
      </c>
      <c r="D128" s="6" t="n">
        <v>100</v>
      </c>
      <c r="E128" s="6" t="n"/>
      <c r="F128" s="5" t="inlineStr">
        <is>
          <t>monopolio documentado</t>
        </is>
      </c>
      <c r="G128" s="5" t="inlineStr">
        <is>
          <t>Koura/Orbia, monopolio de grupo desde 2012</t>
        </is>
      </c>
    </row>
    <row r="129">
      <c r="A129" s="9" t="inlineStr">
        <is>
          <t>fluorita</t>
        </is>
      </c>
      <c r="B129" s="9" t="n">
        <v>2023</v>
      </c>
      <c r="C129" s="9" t="n">
        <v>10000</v>
      </c>
      <c r="D129" s="9" t="n">
        <v>100</v>
      </c>
      <c r="E129" s="9" t="n"/>
      <c r="F129" s="8" t="inlineStr">
        <is>
          <t>monopolio documentado</t>
        </is>
      </c>
      <c r="G129" s="8" t="inlineStr">
        <is>
          <t>Koura/Orbia, monopolio de grupo desde 2012</t>
        </is>
      </c>
    </row>
    <row r="130">
      <c r="A130" s="6" t="inlineStr">
        <is>
          <t>fluorita</t>
        </is>
      </c>
      <c r="B130" s="6" t="n">
        <v>2024</v>
      </c>
      <c r="C130" s="6" t="n">
        <v>10000</v>
      </c>
      <c r="D130" s="6" t="n">
        <v>100</v>
      </c>
      <c r="E130" s="6" t="inlineStr">
        <is>
          <t>Koura/Orbia 100%</t>
        </is>
      </c>
      <c r="F130" s="5" t="inlineStr">
        <is>
          <t>monopolio documentado</t>
        </is>
      </c>
      <c r="G130" s="5" t="inlineStr">
        <is>
          <t>monopolio de grupo (Koura) continua</t>
        </is>
      </c>
    </row>
    <row r="131">
      <c r="A131" s="9" t="inlineStr">
        <is>
          <t>grafito</t>
        </is>
      </c>
      <c r="B131" s="9" t="n">
        <v>1994</v>
      </c>
      <c r="C131" s="9" t="n">
        <v>5848</v>
      </c>
      <c r="D131" s="9" t="n">
        <v>100</v>
      </c>
      <c r="E131" s="9" t="inlineStr">
        <is>
          <t>Grafitos Mexicanos (duopolio)</t>
        </is>
      </c>
      <c r="F131" s="8" t="inlineStr">
        <is>
          <t>duopolio documentado</t>
        </is>
      </c>
      <c r="G131" s="8" t="inlineStr">
        <is>
          <t>USGS MYB Mexico 1994-2003, Tabla 2 + narrativa: 2 productores; mismo regimen que 2004-2013</t>
        </is>
      </c>
    </row>
    <row r="132">
      <c r="A132" s="6" t="inlineStr">
        <is>
          <t>grafito</t>
        </is>
      </c>
      <c r="B132" s="6" t="n">
        <v>1995</v>
      </c>
      <c r="C132" s="6" t="n">
        <v>5848</v>
      </c>
      <c r="D132" s="6" t="n">
        <v>100</v>
      </c>
      <c r="E132" s="6" t="inlineStr">
        <is>
          <t>Grafitos Mexicanos (duopolio)</t>
        </is>
      </c>
      <c r="F132" s="5" t="inlineStr">
        <is>
          <t>duopolio documentado</t>
        </is>
      </c>
      <c r="G132" s="5" t="inlineStr">
        <is>
          <t>USGS MYB Mexico 1994-2003, Tabla 2 + narrativa: 2 productores; mismo regimen que 2004-2013</t>
        </is>
      </c>
    </row>
    <row r="133">
      <c r="A133" s="9" t="inlineStr">
        <is>
          <t>grafito</t>
        </is>
      </c>
      <c r="B133" s="9" t="n">
        <v>1996</v>
      </c>
      <c r="C133" s="9" t="n">
        <v>5848</v>
      </c>
      <c r="D133" s="9" t="n">
        <v>100</v>
      </c>
      <c r="E133" s="9" t="inlineStr">
        <is>
          <t>Grafitos Mexicanos (duopolio)</t>
        </is>
      </c>
      <c r="F133" s="8" t="inlineStr">
        <is>
          <t>duopolio documentado</t>
        </is>
      </c>
      <c r="G133" s="8" t="inlineStr">
        <is>
          <t>USGS MYB Mexico 1994-2003, Tabla 2 + narrativa: 2 productores; mismo regimen que 2004-2013</t>
        </is>
      </c>
    </row>
    <row r="134">
      <c r="A134" s="6" t="inlineStr">
        <is>
          <t>grafito</t>
        </is>
      </c>
      <c r="B134" s="6" t="n">
        <v>1997</v>
      </c>
      <c r="C134" s="6" t="n">
        <v>5848</v>
      </c>
      <c r="D134" s="6" t="n">
        <v>100</v>
      </c>
      <c r="E134" s="6" t="inlineStr">
        <is>
          <t>Grafitos Mexicanos (duopolio)</t>
        </is>
      </c>
      <c r="F134" s="5" t="inlineStr">
        <is>
          <t>duopolio documentado</t>
        </is>
      </c>
      <c r="G134" s="5" t="inlineStr">
        <is>
          <t>USGS MYB Mexico 1994-2003, Tabla 2 + narrativa: 2 productores; mismo regimen que 2004-2013</t>
        </is>
      </c>
    </row>
    <row r="135">
      <c r="A135" s="9" t="inlineStr">
        <is>
          <t>grafito</t>
        </is>
      </c>
      <c r="B135" s="9" t="n">
        <v>1998</v>
      </c>
      <c r="C135" s="9" t="n">
        <v>5848</v>
      </c>
      <c r="D135" s="9" t="n">
        <v>100</v>
      </c>
      <c r="E135" s="9" t="inlineStr">
        <is>
          <t>Grafitos Mexicanos (duopolio)</t>
        </is>
      </c>
      <c r="F135" s="8" t="inlineStr">
        <is>
          <t>duopolio documentado</t>
        </is>
      </c>
      <c r="G135" s="8" t="inlineStr">
        <is>
          <t>USGS MYB Mexico 1994-2003, Tabla 2 + narrativa: 2 productores; mismo regimen que 2004-2013</t>
        </is>
      </c>
    </row>
    <row r="136">
      <c r="A136" s="6" t="inlineStr">
        <is>
          <t>grafito</t>
        </is>
      </c>
      <c r="B136" s="6" t="n">
        <v>1999</v>
      </c>
      <c r="C136" s="6" t="n">
        <v>5848</v>
      </c>
      <c r="D136" s="6" t="n">
        <v>100</v>
      </c>
      <c r="E136" s="6" t="inlineStr">
        <is>
          <t>Grafitos Mexicanos (duopolio)</t>
        </is>
      </c>
      <c r="F136" s="5" t="inlineStr">
        <is>
          <t>duopolio documentado</t>
        </is>
      </c>
      <c r="G136" s="5" t="inlineStr">
        <is>
          <t>USGS MYB Mexico 1994-2003, Tabla 2 + narrativa: 2 productores; mismo regimen que 2004-2013</t>
        </is>
      </c>
    </row>
    <row r="137">
      <c r="A137" s="9" t="inlineStr">
        <is>
          <t>grafito</t>
        </is>
      </c>
      <c r="B137" s="9" t="n">
        <v>2000</v>
      </c>
      <c r="C137" s="9" t="n">
        <v>5848</v>
      </c>
      <c r="D137" s="9" t="n">
        <v>100</v>
      </c>
      <c r="E137" s="9" t="inlineStr">
        <is>
          <t>Grafitos Mexicanos (duopolio)</t>
        </is>
      </c>
      <c r="F137" s="8" t="inlineStr">
        <is>
          <t>duopolio documentado</t>
        </is>
      </c>
      <c r="G137" s="8" t="inlineStr">
        <is>
          <t>USGS MYB Mexico 1994-2003, Tabla 2 + narrativa: 2 productores; mismo regimen que 2004-2013</t>
        </is>
      </c>
    </row>
    <row r="138">
      <c r="A138" s="6" t="inlineStr">
        <is>
          <t>grafito</t>
        </is>
      </c>
      <c r="B138" s="6" t="n">
        <v>2001</v>
      </c>
      <c r="C138" s="6" t="n">
        <v>5848</v>
      </c>
      <c r="D138" s="6" t="n">
        <v>100</v>
      </c>
      <c r="E138" s="6" t="inlineStr">
        <is>
          <t>Grafitos Mexicanos (duopolio)</t>
        </is>
      </c>
      <c r="F138" s="5" t="inlineStr">
        <is>
          <t>duopolio documentado</t>
        </is>
      </c>
      <c r="G138" s="5" t="inlineStr">
        <is>
          <t>USGS MYB Mexico 1994-2003, Tabla 2 + narrativa: 2 productores; mismo regimen que 2004-2013</t>
        </is>
      </c>
    </row>
    <row r="139">
      <c r="A139" s="9" t="inlineStr">
        <is>
          <t>grafito</t>
        </is>
      </c>
      <c r="B139" s="9" t="n">
        <v>2002</v>
      </c>
      <c r="C139" s="9" t="n">
        <v>5848</v>
      </c>
      <c r="D139" s="9" t="n">
        <v>100</v>
      </c>
      <c r="E139" s="9" t="inlineStr">
        <is>
          <t>Grafitos Mexicanos (duopolio)</t>
        </is>
      </c>
      <c r="F139" s="8" t="inlineStr">
        <is>
          <t>duopolio documentado</t>
        </is>
      </c>
      <c r="G139" s="8" t="inlineStr">
        <is>
          <t>USGS MYB Mexico 1994-2003, Tabla 2 + narrativa: 2 productores; mismo regimen que 2004-2013</t>
        </is>
      </c>
    </row>
    <row r="140">
      <c r="A140" s="6" t="inlineStr">
        <is>
          <t>grafito</t>
        </is>
      </c>
      <c r="B140" s="6" t="n">
        <v>2003</v>
      </c>
      <c r="C140" s="6" t="n">
        <v>5848</v>
      </c>
      <c r="D140" s="6" t="n">
        <v>100</v>
      </c>
      <c r="E140" s="6" t="inlineStr">
        <is>
          <t>Grafitos Mexicanos (duopolio)</t>
        </is>
      </c>
      <c r="F140" s="5" t="inlineStr">
        <is>
          <t>duopolio documentado</t>
        </is>
      </c>
      <c r="G140" s="5" t="inlineStr">
        <is>
          <t>USGS MYB Mexico 1994-2003, Tabla 2 + narrativa: 2 productores; mismo regimen que 2004-2013</t>
        </is>
      </c>
    </row>
    <row r="141">
      <c r="A141" s="9" t="inlineStr">
        <is>
          <t>grafito</t>
        </is>
      </c>
      <c r="B141" s="9" t="n">
        <v>2004</v>
      </c>
      <c r="C141" s="9" t="n">
        <v>5848</v>
      </c>
      <c r="D141" s="9" t="n">
        <v>100</v>
      </c>
      <c r="E141" s="9" t="inlineStr">
        <is>
          <t>Grafitos Mexicanos (duopolio)</t>
        </is>
      </c>
      <c r="F141" s="8" t="inlineStr">
        <is>
          <t>duopolio documentado</t>
        </is>
      </c>
      <c r="G141" s="8" t="inlineStr">
        <is>
          <t>duopolio Grafitos Mexicanos / Grafito Superior hasta 2013 (Bitacora 2026-07-21)</t>
        </is>
      </c>
    </row>
    <row r="142">
      <c r="A142" s="6" t="inlineStr">
        <is>
          <t>grafito</t>
        </is>
      </c>
      <c r="B142" s="6" t="n">
        <v>2005</v>
      </c>
      <c r="C142" s="6" t="n">
        <v>5848</v>
      </c>
      <c r="D142" s="6" t="n">
        <v>100</v>
      </c>
      <c r="E142" s="6" t="inlineStr">
        <is>
          <t>Grafitos Mexicanos (duopolio)</t>
        </is>
      </c>
      <c r="F142" s="5" t="inlineStr">
        <is>
          <t>duopolio documentado</t>
        </is>
      </c>
      <c r="G142" s="5" t="inlineStr">
        <is>
          <t>duopolio Grafitos Mexicanos / Grafito Superior hasta 2013 (Bitacora 2026-07-21)</t>
        </is>
      </c>
    </row>
    <row r="143">
      <c r="A143" s="9" t="inlineStr">
        <is>
          <t>grafito</t>
        </is>
      </c>
      <c r="B143" s="9" t="n">
        <v>2006</v>
      </c>
      <c r="C143" s="9" t="n">
        <v>5848</v>
      </c>
      <c r="D143" s="9" t="n">
        <v>100</v>
      </c>
      <c r="E143" s="9" t="inlineStr">
        <is>
          <t>Grafitos Mexicanos (duopolio)</t>
        </is>
      </c>
      <c r="F143" s="8" t="inlineStr">
        <is>
          <t>duopolio documentado</t>
        </is>
      </c>
      <c r="G143" s="8" t="inlineStr">
        <is>
          <t>duopolio Grafitos Mexicanos / Grafito Superior hasta 2013 (Bitacora 2026-07-21)</t>
        </is>
      </c>
    </row>
    <row r="144">
      <c r="A144" s="6" t="inlineStr">
        <is>
          <t>grafito</t>
        </is>
      </c>
      <c r="B144" s="6" t="n">
        <v>2007</v>
      </c>
      <c r="C144" s="6" t="n">
        <v>5848</v>
      </c>
      <c r="D144" s="6" t="n">
        <v>100</v>
      </c>
      <c r="E144" s="6" t="inlineStr">
        <is>
          <t>Grafitos Mexicanos (duopolio)</t>
        </is>
      </c>
      <c r="F144" s="5" t="inlineStr">
        <is>
          <t>duopolio documentado</t>
        </is>
      </c>
      <c r="G144" s="5" t="inlineStr">
        <is>
          <t>duopolio Grafitos Mexicanos / Grafito Superior hasta 2013 (Bitacora 2026-07-21)</t>
        </is>
      </c>
    </row>
    <row r="145">
      <c r="A145" s="9" t="inlineStr">
        <is>
          <t>grafito</t>
        </is>
      </c>
      <c r="B145" s="9" t="n">
        <v>2008</v>
      </c>
      <c r="C145" s="9" t="n">
        <v>5848</v>
      </c>
      <c r="D145" s="9" t="n">
        <v>100</v>
      </c>
      <c r="E145" s="9" t="inlineStr">
        <is>
          <t>Grafitos Mexicanos (duopolio)</t>
        </is>
      </c>
      <c r="F145" s="8" t="inlineStr">
        <is>
          <t>duopolio documentado</t>
        </is>
      </c>
      <c r="G145" s="8" t="inlineStr">
        <is>
          <t>duopolio Grafitos Mexicanos / Grafito Superior hasta 2013 (Bitacora 2026-07-21)</t>
        </is>
      </c>
    </row>
    <row r="146">
      <c r="A146" s="6" t="inlineStr">
        <is>
          <t>grafito</t>
        </is>
      </c>
      <c r="B146" s="6" t="n">
        <v>2009</v>
      </c>
      <c r="C146" s="6" t="n">
        <v>5848</v>
      </c>
      <c r="D146" s="6" t="n">
        <v>100</v>
      </c>
      <c r="E146" s="6" t="inlineStr">
        <is>
          <t>Grafitos Mexicanos (duopolio)</t>
        </is>
      </c>
      <c r="F146" s="5" t="inlineStr">
        <is>
          <t>duopolio documentado</t>
        </is>
      </c>
      <c r="G146" s="5" t="inlineStr">
        <is>
          <t>duopolio Grafitos Mexicanos / Grafito Superior hasta 2013 (Bitacora 2026-07-21)</t>
        </is>
      </c>
    </row>
    <row r="147">
      <c r="A147" s="9" t="inlineStr">
        <is>
          <t>grafito</t>
        </is>
      </c>
      <c r="B147" s="9" t="n">
        <v>2010</v>
      </c>
      <c r="C147" s="9" t="n">
        <v>5848</v>
      </c>
      <c r="D147" s="9" t="n">
        <v>100</v>
      </c>
      <c r="E147" s="9" t="inlineStr">
        <is>
          <t>Grafitos Mexicanos (duopolio)</t>
        </is>
      </c>
      <c r="F147" s="8" t="inlineStr">
        <is>
          <t>duopolio documentado</t>
        </is>
      </c>
      <c r="G147" s="8" t="inlineStr">
        <is>
          <t>duopolio Grafitos Mexicanos / Grafito Superior hasta 2013 (Bitacora 2026-07-21)</t>
        </is>
      </c>
    </row>
    <row r="148">
      <c r="A148" s="6" t="inlineStr">
        <is>
          <t>grafito</t>
        </is>
      </c>
      <c r="B148" s="6" t="n">
        <v>2011</v>
      </c>
      <c r="C148" s="6" t="n">
        <v>5848</v>
      </c>
      <c r="D148" s="6" t="n">
        <v>100</v>
      </c>
      <c r="E148" s="6" t="inlineStr">
        <is>
          <t>Grafitos Mexicanos (duopolio)</t>
        </is>
      </c>
      <c r="F148" s="5" t="inlineStr">
        <is>
          <t>duopolio documentado</t>
        </is>
      </c>
      <c r="G148" s="5" t="inlineStr">
        <is>
          <t>duopolio Grafitos Mexicanos / Grafito Superior hasta 2013 (Bitacora 2026-07-21)</t>
        </is>
      </c>
    </row>
    <row r="149">
      <c r="A149" s="9" t="inlineStr">
        <is>
          <t>grafito</t>
        </is>
      </c>
      <c r="B149" s="9" t="n">
        <v>2012</v>
      </c>
      <c r="C149" s="9" t="n">
        <v>5848</v>
      </c>
      <c r="D149" s="9" t="n">
        <v>100</v>
      </c>
      <c r="E149" s="9" t="inlineStr">
        <is>
          <t>Grafitos Mexicanos (duopolio)</t>
        </is>
      </c>
      <c r="F149" s="8" t="inlineStr">
        <is>
          <t>duopolio documentado</t>
        </is>
      </c>
      <c r="G149" s="8" t="inlineStr">
        <is>
          <t>duopolio Grafitos Mexicanos / Grafito Superior hasta 2013 (Bitacora 2026-07-21)</t>
        </is>
      </c>
    </row>
    <row r="150">
      <c r="A150" s="6" t="inlineStr">
        <is>
          <t>grafito</t>
        </is>
      </c>
      <c r="B150" s="6" t="n">
        <v>2013</v>
      </c>
      <c r="C150" s="6" t="n">
        <v>5848</v>
      </c>
      <c r="D150" s="6" t="n">
        <v>100</v>
      </c>
      <c r="E150" s="6" t="inlineStr">
        <is>
          <t>Grafitos Mexicanos (duopolio)</t>
        </is>
      </c>
      <c r="F150" s="5" t="inlineStr">
        <is>
          <t>duopolio documentado</t>
        </is>
      </c>
      <c r="G150" s="5" t="inlineStr">
        <is>
          <t>duopolio Grafitos Mexicanos / Grafito Superior hasta 2013 (Bitacora 2026-07-21)</t>
        </is>
      </c>
    </row>
    <row r="151">
      <c r="A151" s="9" t="inlineStr">
        <is>
          <t>grafito</t>
        </is>
      </c>
      <c r="B151" s="9" t="n">
        <v>2014</v>
      </c>
      <c r="C151" s="9" t="n">
        <v>10000</v>
      </c>
      <c r="D151" s="9" t="n">
        <v>100</v>
      </c>
      <c r="E151" s="9" t="inlineStr">
        <is>
          <t>Grafitos Mexicanos 100%</t>
        </is>
      </c>
      <c r="F151" s="8" t="inlineStr">
        <is>
          <t>monopolio documentado</t>
        </is>
      </c>
      <c r="G151" s="8" t="inlineStr">
        <is>
          <t>unico desde 2014 (sale Grafito Superior)</t>
        </is>
      </c>
    </row>
    <row r="152">
      <c r="A152" s="6" t="inlineStr">
        <is>
          <t>grafito</t>
        </is>
      </c>
      <c r="B152" s="6" t="n">
        <v>2015</v>
      </c>
      <c r="C152" s="6" t="n">
        <v>10000</v>
      </c>
      <c r="D152" s="6" t="n">
        <v>100</v>
      </c>
      <c r="E152" s="6" t="inlineStr">
        <is>
          <t>Grafitos Mexicanos 100%</t>
        </is>
      </c>
      <c r="F152" s="5" t="inlineStr">
        <is>
          <t>monopolio documentado</t>
        </is>
      </c>
      <c r="G152" s="5" t="inlineStr">
        <is>
          <t>unico desde 2014 (sale Grafito Superior)</t>
        </is>
      </c>
    </row>
    <row r="153">
      <c r="A153" s="9" t="inlineStr">
        <is>
          <t>grafito</t>
        </is>
      </c>
      <c r="B153" s="9" t="n">
        <v>2016</v>
      </c>
      <c r="C153" s="9" t="n">
        <v>10000</v>
      </c>
      <c r="D153" s="9" t="n">
        <v>100</v>
      </c>
      <c r="E153" s="9" t="inlineStr">
        <is>
          <t>Grafitos Mexicanos 100%</t>
        </is>
      </c>
      <c r="F153" s="8" t="inlineStr">
        <is>
          <t>monopolio documentado</t>
        </is>
      </c>
      <c r="G153" s="8" t="inlineStr">
        <is>
          <t>unico desde 2014 (sale Grafito Superior)</t>
        </is>
      </c>
    </row>
    <row r="154">
      <c r="A154" s="6" t="inlineStr">
        <is>
          <t>grafito</t>
        </is>
      </c>
      <c r="B154" s="6" t="n">
        <v>2017</v>
      </c>
      <c r="C154" s="6" t="n">
        <v>10000</v>
      </c>
      <c r="D154" s="6" t="n">
        <v>100</v>
      </c>
      <c r="E154" s="6" t="inlineStr">
        <is>
          <t>Grafitos Mexicanos 100%</t>
        </is>
      </c>
      <c r="F154" s="5" t="inlineStr">
        <is>
          <t>monopolio documentado</t>
        </is>
      </c>
      <c r="G154" s="5" t="inlineStr">
        <is>
          <t>unico desde 2014 (sale Grafito Superior)</t>
        </is>
      </c>
    </row>
    <row r="155">
      <c r="A155" s="9" t="inlineStr">
        <is>
          <t>grafito</t>
        </is>
      </c>
      <c r="B155" s="9" t="n">
        <v>2018</v>
      </c>
      <c r="C155" s="9" t="n">
        <v>10000</v>
      </c>
      <c r="D155" s="9" t="n">
        <v>100</v>
      </c>
      <c r="E155" s="9" t="inlineStr">
        <is>
          <t>Grafitos Mexicanos 100%</t>
        </is>
      </c>
      <c r="F155" s="8" t="inlineStr">
        <is>
          <t>monopolio documentado</t>
        </is>
      </c>
      <c r="G155" s="8" t="inlineStr">
        <is>
          <t>unico desde 2014 (sale Grafito Superior)</t>
        </is>
      </c>
    </row>
    <row r="156">
      <c r="A156" s="6" t="inlineStr">
        <is>
          <t>grafito</t>
        </is>
      </c>
      <c r="B156" s="6" t="n">
        <v>2019</v>
      </c>
      <c r="C156" s="6" t="n">
        <v>10000</v>
      </c>
      <c r="D156" s="6" t="n">
        <v>100</v>
      </c>
      <c r="E156" s="6" t="inlineStr">
        <is>
          <t>Grafitos Mexicanos 100%</t>
        </is>
      </c>
      <c r="F156" s="5" t="inlineStr">
        <is>
          <t>monopolio documentado</t>
        </is>
      </c>
      <c r="G156" s="5" t="inlineStr">
        <is>
          <t>unico desde 2014 (sale Grafito Superior)</t>
        </is>
      </c>
    </row>
    <row r="157">
      <c r="A157" s="9" t="inlineStr">
        <is>
          <t>grafito</t>
        </is>
      </c>
      <c r="B157" s="9" t="n">
        <v>2020</v>
      </c>
      <c r="C157" s="9" t="n">
        <v>10000</v>
      </c>
      <c r="D157" s="9" t="n">
        <v>100</v>
      </c>
      <c r="E157" s="9" t="inlineStr">
        <is>
          <t>Grafitos Mexicanos 100%</t>
        </is>
      </c>
      <c r="F157" s="8" t="inlineStr">
        <is>
          <t>monopolio documentado</t>
        </is>
      </c>
      <c r="G157" s="8" t="inlineStr">
        <is>
          <t>unico desde 2014 (sale Grafito Superior)</t>
        </is>
      </c>
    </row>
    <row r="158">
      <c r="A158" s="6" t="inlineStr">
        <is>
          <t>grafito</t>
        </is>
      </c>
      <c r="B158" s="6" t="n">
        <v>2021</v>
      </c>
      <c r="C158" s="6" t="n">
        <v>10000</v>
      </c>
      <c r="D158" s="6" t="n">
        <v>100</v>
      </c>
      <c r="E158" s="6" t="n"/>
      <c r="F158" s="5" t="inlineStr">
        <is>
          <t>monopolio documentado</t>
        </is>
      </c>
      <c r="G158" s="5" t="inlineStr">
        <is>
          <t>Grafitos Mexicanos, unico desde 2014</t>
        </is>
      </c>
    </row>
    <row r="159">
      <c r="A159" s="9" t="inlineStr">
        <is>
          <t>grafito</t>
        </is>
      </c>
      <c r="B159" s="9" t="n">
        <v>2022</v>
      </c>
      <c r="C159" s="9" t="n">
        <v>10000</v>
      </c>
      <c r="D159" s="9" t="n">
        <v>100</v>
      </c>
      <c r="E159" s="9" t="n"/>
      <c r="F159" s="8" t="inlineStr">
        <is>
          <t>monopolio documentado</t>
        </is>
      </c>
      <c r="G159" s="8" t="inlineStr">
        <is>
          <t>Grafitos Mexicanos, unico desde 2014</t>
        </is>
      </c>
    </row>
    <row r="160">
      <c r="A160" s="6" t="inlineStr">
        <is>
          <t>grafito</t>
        </is>
      </c>
      <c r="B160" s="6" t="n">
        <v>2023</v>
      </c>
      <c r="C160" s="6" t="n">
        <v>10000</v>
      </c>
      <c r="D160" s="6" t="n">
        <v>100</v>
      </c>
      <c r="E160" s="6" t="n"/>
      <c r="F160" s="5" t="inlineStr">
        <is>
          <t>monopolio documentado</t>
        </is>
      </c>
      <c r="G160" s="5" t="inlineStr">
        <is>
          <t>Grafitos Mexicanos, unico desde 2014</t>
        </is>
      </c>
    </row>
    <row r="161">
      <c r="A161" s="9" t="inlineStr">
        <is>
          <t>manganeso</t>
        </is>
      </c>
      <c r="B161" s="9" t="n">
        <v>1994</v>
      </c>
      <c r="C161" s="9" t="n">
        <v>10000</v>
      </c>
      <c r="D161" s="9" t="n">
        <v>100</v>
      </c>
      <c r="E161" s="9" t="inlineStr">
        <is>
          <t>Cia. Minera Autlan 100%</t>
        </is>
      </c>
      <c r="F161" s="8" t="inlineStr">
        <is>
          <t>monopolio documentado (USGS Tabla 2)</t>
        </is>
      </c>
      <c r="G161" s="8" t="inlineStr">
        <is>
          <t>USGS MYB Mexico 1994-2003, Tabla 2 + narrativa: Autlan productor unico</t>
        </is>
      </c>
    </row>
    <row r="162">
      <c r="A162" s="6" t="inlineStr">
        <is>
          <t>manganeso</t>
        </is>
      </c>
      <c r="B162" s="6" t="n">
        <v>1995</v>
      </c>
      <c r="C162" s="6" t="n">
        <v>10000</v>
      </c>
      <c r="D162" s="6" t="n">
        <v>100</v>
      </c>
      <c r="E162" s="6" t="inlineStr">
        <is>
          <t>Cia. Minera Autlan 100%</t>
        </is>
      </c>
      <c r="F162" s="5" t="inlineStr">
        <is>
          <t>monopolio documentado (USGS Tabla 2)</t>
        </is>
      </c>
      <c r="G162" s="5" t="inlineStr">
        <is>
          <t>USGS MYB Mexico 1994-2003, Tabla 2 + narrativa: Autlan productor unico</t>
        </is>
      </c>
    </row>
    <row r="163">
      <c r="A163" s="9" t="inlineStr">
        <is>
          <t>manganeso</t>
        </is>
      </c>
      <c r="B163" s="9" t="n">
        <v>1996</v>
      </c>
      <c r="C163" s="9" t="n">
        <v>10000</v>
      </c>
      <c r="D163" s="9" t="n">
        <v>100</v>
      </c>
      <c r="E163" s="9" t="inlineStr">
        <is>
          <t>Cia. Minera Autlan 100%</t>
        </is>
      </c>
      <c r="F163" s="8" t="inlineStr">
        <is>
          <t>monopolio documentado (USGS Tabla 2)</t>
        </is>
      </c>
      <c r="G163" s="8" t="inlineStr">
        <is>
          <t>USGS MYB Mexico 1994-2003, Tabla 2 + narrativa: Autlan productor unico</t>
        </is>
      </c>
    </row>
    <row r="164">
      <c r="A164" s="6" t="inlineStr">
        <is>
          <t>manganeso</t>
        </is>
      </c>
      <c r="B164" s="6" t="n">
        <v>1997</v>
      </c>
      <c r="C164" s="6" t="n">
        <v>10000</v>
      </c>
      <c r="D164" s="6" t="n">
        <v>100</v>
      </c>
      <c r="E164" s="6" t="inlineStr">
        <is>
          <t>Cia. Minera Autlan 100%</t>
        </is>
      </c>
      <c r="F164" s="5" t="inlineStr">
        <is>
          <t>monopolio documentado (USGS Tabla 2)</t>
        </is>
      </c>
      <c r="G164" s="5" t="inlineStr">
        <is>
          <t>USGS MYB Mexico 1994-2003, Tabla 2 + narrativa: Autlan productor unico</t>
        </is>
      </c>
    </row>
    <row r="165">
      <c r="A165" s="9" t="inlineStr">
        <is>
          <t>manganeso</t>
        </is>
      </c>
      <c r="B165" s="9" t="n">
        <v>1998</v>
      </c>
      <c r="C165" s="9" t="n">
        <v>10000</v>
      </c>
      <c r="D165" s="9" t="n">
        <v>100</v>
      </c>
      <c r="E165" s="9" t="inlineStr">
        <is>
          <t>Cia. Minera Autlan 100%</t>
        </is>
      </c>
      <c r="F165" s="8" t="inlineStr">
        <is>
          <t>monopolio documentado (USGS Tabla 2)</t>
        </is>
      </c>
      <c r="G165" s="8" t="inlineStr">
        <is>
          <t>USGS MYB Mexico 1994-2003, Tabla 2 + narrativa: Autlan productor unico</t>
        </is>
      </c>
    </row>
    <row r="166">
      <c r="A166" s="6" t="inlineStr">
        <is>
          <t>manganeso</t>
        </is>
      </c>
      <c r="B166" s="6" t="n">
        <v>1999</v>
      </c>
      <c r="C166" s="6" t="n">
        <v>10000</v>
      </c>
      <c r="D166" s="6" t="n">
        <v>100</v>
      </c>
      <c r="E166" s="6" t="inlineStr">
        <is>
          <t>Cia. Minera Autlan 100%</t>
        </is>
      </c>
      <c r="F166" s="5" t="inlineStr">
        <is>
          <t>monopolio documentado (USGS Tabla 2)</t>
        </is>
      </c>
      <c r="G166" s="5" t="inlineStr">
        <is>
          <t>USGS MYB Mexico 1994-2003, Tabla 2 + narrativa: Autlan productor unico</t>
        </is>
      </c>
    </row>
    <row r="167">
      <c r="A167" s="9" t="inlineStr">
        <is>
          <t>manganeso</t>
        </is>
      </c>
      <c r="B167" s="9" t="n">
        <v>2000</v>
      </c>
      <c r="C167" s="9" t="n">
        <v>10000</v>
      </c>
      <c r="D167" s="9" t="n">
        <v>100</v>
      </c>
      <c r="E167" s="9" t="inlineStr">
        <is>
          <t>Cia. Minera Autlan 100%</t>
        </is>
      </c>
      <c r="F167" s="8" t="inlineStr">
        <is>
          <t>monopolio documentado (USGS Tabla 2)</t>
        </is>
      </c>
      <c r="G167" s="8" t="inlineStr">
        <is>
          <t>USGS MYB Mexico 1994-2003, Tabla 2 + narrativa: Autlan productor unico</t>
        </is>
      </c>
    </row>
    <row r="168">
      <c r="A168" s="6" t="inlineStr">
        <is>
          <t>manganeso</t>
        </is>
      </c>
      <c r="B168" s="6" t="n">
        <v>2001</v>
      </c>
      <c r="C168" s="6" t="n">
        <v>10000</v>
      </c>
      <c r="D168" s="6" t="n">
        <v>100</v>
      </c>
      <c r="E168" s="6" t="inlineStr">
        <is>
          <t>Cia. Minera Autlan 100%</t>
        </is>
      </c>
      <c r="F168" s="5" t="inlineStr">
        <is>
          <t>monopolio documentado (USGS Tabla 2)</t>
        </is>
      </c>
      <c r="G168" s="5" t="inlineStr">
        <is>
          <t>USGS MYB Mexico 1994-2003, Tabla 2 + narrativa: Autlan productor unico</t>
        </is>
      </c>
    </row>
    <row r="169">
      <c r="A169" s="9" t="inlineStr">
        <is>
          <t>manganeso</t>
        </is>
      </c>
      <c r="B169" s="9" t="n">
        <v>2002</v>
      </c>
      <c r="C169" s="9" t="n">
        <v>10000</v>
      </c>
      <c r="D169" s="9" t="n">
        <v>100</v>
      </c>
      <c r="E169" s="9" t="inlineStr">
        <is>
          <t>Cia. Minera Autlan 100%</t>
        </is>
      </c>
      <c r="F169" s="8" t="inlineStr">
        <is>
          <t>monopolio documentado (USGS Tabla 2)</t>
        </is>
      </c>
      <c r="G169" s="8" t="inlineStr">
        <is>
          <t>USGS MYB Mexico 1994-2003, Tabla 2 + narrativa: Autlan productor unico</t>
        </is>
      </c>
    </row>
    <row r="170">
      <c r="A170" s="6" t="inlineStr">
        <is>
          <t>manganeso</t>
        </is>
      </c>
      <c r="B170" s="6" t="n">
        <v>2003</v>
      </c>
      <c r="C170" s="6" t="n">
        <v>10000</v>
      </c>
      <c r="D170" s="6" t="n">
        <v>100</v>
      </c>
      <c r="E170" s="6" t="inlineStr">
        <is>
          <t>Cia. Minera Autlan 100%</t>
        </is>
      </c>
      <c r="F170" s="5" t="inlineStr">
        <is>
          <t>monopolio documentado (USGS Tabla 2)</t>
        </is>
      </c>
      <c r="G170" s="5" t="inlineStr">
        <is>
          <t>USGS MYB Mexico 1994-2003, Tabla 2 + narrativa: Autlan productor unico</t>
        </is>
      </c>
    </row>
    <row r="171">
      <c r="A171" s="9" t="inlineStr">
        <is>
          <t>manganeso</t>
        </is>
      </c>
      <c r="B171" s="9" t="n">
        <v>2004</v>
      </c>
      <c r="C171" s="9" t="n">
        <v>10000</v>
      </c>
      <c r="D171" s="9" t="n">
        <v>100</v>
      </c>
      <c r="E171" s="9" t="inlineStr">
        <is>
          <t>Cia. Minera Autlan 100%</t>
        </is>
      </c>
      <c r="F171" s="8" t="inlineStr">
        <is>
          <t>monopolio documentado</t>
        </is>
      </c>
      <c r="G171" s="8" t="inlineStr">
        <is>
          <t>Autlan, productor unico toda la serie</t>
        </is>
      </c>
    </row>
    <row r="172">
      <c r="A172" s="6" t="inlineStr">
        <is>
          <t>manganeso</t>
        </is>
      </c>
      <c r="B172" s="6" t="n">
        <v>2005</v>
      </c>
      <c r="C172" s="6" t="n">
        <v>10000</v>
      </c>
      <c r="D172" s="6" t="n">
        <v>100</v>
      </c>
      <c r="E172" s="6" t="inlineStr">
        <is>
          <t>Cia. Minera Autlan 100%</t>
        </is>
      </c>
      <c r="F172" s="5" t="inlineStr">
        <is>
          <t>monopolio documentado</t>
        </is>
      </c>
      <c r="G172" s="5" t="inlineStr">
        <is>
          <t>Autlan, productor unico toda la serie</t>
        </is>
      </c>
    </row>
    <row r="173">
      <c r="A173" s="9" t="inlineStr">
        <is>
          <t>manganeso</t>
        </is>
      </c>
      <c r="B173" s="9" t="n">
        <v>2006</v>
      </c>
      <c r="C173" s="9" t="n">
        <v>10000</v>
      </c>
      <c r="D173" s="9" t="n">
        <v>100</v>
      </c>
      <c r="E173" s="9" t="inlineStr">
        <is>
          <t>Cia. Minera Autlan 100%</t>
        </is>
      </c>
      <c r="F173" s="8" t="inlineStr">
        <is>
          <t>monopolio documentado</t>
        </is>
      </c>
      <c r="G173" s="8" t="inlineStr">
        <is>
          <t>Autlan, productor unico toda la serie</t>
        </is>
      </c>
    </row>
    <row r="174">
      <c r="A174" s="6" t="inlineStr">
        <is>
          <t>manganeso</t>
        </is>
      </c>
      <c r="B174" s="6" t="n">
        <v>2007</v>
      </c>
      <c r="C174" s="6" t="n">
        <v>10000</v>
      </c>
      <c r="D174" s="6" t="n">
        <v>100</v>
      </c>
      <c r="E174" s="6" t="inlineStr">
        <is>
          <t>Cia. Minera Autlan 100%</t>
        </is>
      </c>
      <c r="F174" s="5" t="inlineStr">
        <is>
          <t>monopolio documentado</t>
        </is>
      </c>
      <c r="G174" s="5" t="inlineStr">
        <is>
          <t>Autlan, productor unico toda la serie</t>
        </is>
      </c>
    </row>
    <row r="175">
      <c r="A175" s="9" t="inlineStr">
        <is>
          <t>manganeso</t>
        </is>
      </c>
      <c r="B175" s="9" t="n">
        <v>2008</v>
      </c>
      <c r="C175" s="9" t="n">
        <v>10000</v>
      </c>
      <c r="D175" s="9" t="n">
        <v>100</v>
      </c>
      <c r="E175" s="9" t="inlineStr">
        <is>
          <t>Cia. Minera Autlan 100%</t>
        </is>
      </c>
      <c r="F175" s="8" t="inlineStr">
        <is>
          <t>monopolio documentado</t>
        </is>
      </c>
      <c r="G175" s="8" t="inlineStr">
        <is>
          <t>Autlan, productor unico toda la serie</t>
        </is>
      </c>
    </row>
    <row r="176">
      <c r="A176" s="6" t="inlineStr">
        <is>
          <t>manganeso</t>
        </is>
      </c>
      <c r="B176" s="6" t="n">
        <v>2009</v>
      </c>
      <c r="C176" s="6" t="n">
        <v>10000</v>
      </c>
      <c r="D176" s="6" t="n">
        <v>100</v>
      </c>
      <c r="E176" s="6" t="inlineStr">
        <is>
          <t>Cia. Minera Autlan 100%</t>
        </is>
      </c>
      <c r="F176" s="5" t="inlineStr">
        <is>
          <t>monopolio documentado</t>
        </is>
      </c>
      <c r="G176" s="5" t="inlineStr">
        <is>
          <t>Autlan, productor unico toda la serie</t>
        </is>
      </c>
    </row>
    <row r="177">
      <c r="A177" s="9" t="inlineStr">
        <is>
          <t>manganeso</t>
        </is>
      </c>
      <c r="B177" s="9" t="n">
        <v>2010</v>
      </c>
      <c r="C177" s="9" t="n">
        <v>10000</v>
      </c>
      <c r="D177" s="9" t="n">
        <v>100</v>
      </c>
      <c r="E177" s="9" t="inlineStr">
        <is>
          <t>Cia. Minera Autlan 100%</t>
        </is>
      </c>
      <c r="F177" s="8" t="inlineStr">
        <is>
          <t>monopolio documentado</t>
        </is>
      </c>
      <c r="G177" s="8" t="inlineStr">
        <is>
          <t>Autlan, productor unico toda la serie</t>
        </is>
      </c>
    </row>
    <row r="178">
      <c r="A178" s="6" t="inlineStr">
        <is>
          <t>manganeso</t>
        </is>
      </c>
      <c r="B178" s="6" t="n">
        <v>2011</v>
      </c>
      <c r="C178" s="6" t="n">
        <v>10000</v>
      </c>
      <c r="D178" s="6" t="n">
        <v>100</v>
      </c>
      <c r="E178" s="6" t="inlineStr">
        <is>
          <t>Cia. Minera Autlan 100%</t>
        </is>
      </c>
      <c r="F178" s="5" t="inlineStr">
        <is>
          <t>monopolio documentado</t>
        </is>
      </c>
      <c r="G178" s="5" t="inlineStr">
        <is>
          <t>Autlan, productor unico toda la serie</t>
        </is>
      </c>
    </row>
    <row r="179">
      <c r="A179" s="9" t="inlineStr">
        <is>
          <t>manganeso</t>
        </is>
      </c>
      <c r="B179" s="9" t="n">
        <v>2012</v>
      </c>
      <c r="C179" s="9" t="n">
        <v>10000</v>
      </c>
      <c r="D179" s="9" t="n">
        <v>100</v>
      </c>
      <c r="E179" s="9" t="inlineStr">
        <is>
          <t>Cia. Minera Autlan 100%</t>
        </is>
      </c>
      <c r="F179" s="8" t="inlineStr">
        <is>
          <t>monopolio documentado</t>
        </is>
      </c>
      <c r="G179" s="8" t="inlineStr">
        <is>
          <t>Autlan, productor unico toda la serie</t>
        </is>
      </c>
    </row>
    <row r="180">
      <c r="A180" s="6" t="inlineStr">
        <is>
          <t>manganeso</t>
        </is>
      </c>
      <c r="B180" s="6" t="n">
        <v>2013</v>
      </c>
      <c r="C180" s="6" t="n">
        <v>10000</v>
      </c>
      <c r="D180" s="6" t="n">
        <v>100</v>
      </c>
      <c r="E180" s="6" t="inlineStr">
        <is>
          <t>Cia. Minera Autlan 100%</t>
        </is>
      </c>
      <c r="F180" s="5" t="inlineStr">
        <is>
          <t>monopolio documentado</t>
        </is>
      </c>
      <c r="G180" s="5" t="inlineStr">
        <is>
          <t>Autlan, productor unico toda la serie</t>
        </is>
      </c>
    </row>
    <row r="181">
      <c r="A181" s="9" t="inlineStr">
        <is>
          <t>manganeso</t>
        </is>
      </c>
      <c r="B181" s="9" t="n">
        <v>2014</v>
      </c>
      <c r="C181" s="9" t="n">
        <v>10000</v>
      </c>
      <c r="D181" s="9" t="n">
        <v>100</v>
      </c>
      <c r="E181" s="9" t="inlineStr">
        <is>
          <t>Cia. Minera Autlan 100%</t>
        </is>
      </c>
      <c r="F181" s="8" t="inlineStr">
        <is>
          <t>monopolio documentado</t>
        </is>
      </c>
      <c r="G181" s="8" t="inlineStr">
        <is>
          <t>Autlan, productor unico toda la serie</t>
        </is>
      </c>
    </row>
    <row r="182">
      <c r="A182" s="6" t="inlineStr">
        <is>
          <t>manganeso</t>
        </is>
      </c>
      <c r="B182" s="6" t="n">
        <v>2015</v>
      </c>
      <c r="C182" s="6" t="n">
        <v>10000</v>
      </c>
      <c r="D182" s="6" t="n">
        <v>100</v>
      </c>
      <c r="E182" s="6" t="inlineStr">
        <is>
          <t>Cia. Minera Autlan 100%</t>
        </is>
      </c>
      <c r="F182" s="5" t="inlineStr">
        <is>
          <t>monopolio documentado</t>
        </is>
      </c>
      <c r="G182" s="5" t="inlineStr">
        <is>
          <t>Autlan, productor unico toda la serie</t>
        </is>
      </c>
    </row>
    <row r="183">
      <c r="A183" s="9" t="inlineStr">
        <is>
          <t>manganeso</t>
        </is>
      </c>
      <c r="B183" s="9" t="n">
        <v>2016</v>
      </c>
      <c r="C183" s="9" t="n">
        <v>10000</v>
      </c>
      <c r="D183" s="9" t="n">
        <v>100</v>
      </c>
      <c r="E183" s="9" t="inlineStr">
        <is>
          <t>Cia. Minera Autlan 100%</t>
        </is>
      </c>
      <c r="F183" s="8" t="inlineStr">
        <is>
          <t>monopolio documentado</t>
        </is>
      </c>
      <c r="G183" s="8" t="inlineStr">
        <is>
          <t>Autlan, productor unico toda la serie</t>
        </is>
      </c>
    </row>
    <row r="184">
      <c r="A184" s="6" t="inlineStr">
        <is>
          <t>manganeso</t>
        </is>
      </c>
      <c r="B184" s="6" t="n">
        <v>2017</v>
      </c>
      <c r="C184" s="6" t="n">
        <v>10000</v>
      </c>
      <c r="D184" s="6" t="n">
        <v>100</v>
      </c>
      <c r="E184" s="6" t="inlineStr">
        <is>
          <t>Cia. Minera Autlan 100%</t>
        </is>
      </c>
      <c r="F184" s="5" t="inlineStr">
        <is>
          <t>monopolio documentado</t>
        </is>
      </c>
      <c r="G184" s="5" t="inlineStr">
        <is>
          <t>Autlan, productor unico toda la serie</t>
        </is>
      </c>
    </row>
    <row r="185">
      <c r="A185" s="9" t="inlineStr">
        <is>
          <t>manganeso</t>
        </is>
      </c>
      <c r="B185" s="9" t="n">
        <v>2018</v>
      </c>
      <c r="C185" s="9" t="n">
        <v>10000</v>
      </c>
      <c r="D185" s="9" t="n">
        <v>100</v>
      </c>
      <c r="E185" s="9" t="inlineStr">
        <is>
          <t>Cia. Minera Autlan 100%</t>
        </is>
      </c>
      <c r="F185" s="8" t="inlineStr">
        <is>
          <t>monopolio documentado</t>
        </is>
      </c>
      <c r="G185" s="8" t="inlineStr">
        <is>
          <t>Autlan, productor unico toda la serie</t>
        </is>
      </c>
    </row>
    <row r="186">
      <c r="A186" s="6" t="inlineStr">
        <is>
          <t>manganeso</t>
        </is>
      </c>
      <c r="B186" s="6" t="n">
        <v>2019</v>
      </c>
      <c r="C186" s="6" t="n">
        <v>10000</v>
      </c>
      <c r="D186" s="6" t="n">
        <v>100</v>
      </c>
      <c r="E186" s="6" t="inlineStr">
        <is>
          <t>Cia. Minera Autlan 100%</t>
        </is>
      </c>
      <c r="F186" s="5" t="inlineStr">
        <is>
          <t>monopolio documentado</t>
        </is>
      </c>
      <c r="G186" s="5" t="inlineStr">
        <is>
          <t>Autlan, productor unico toda la serie</t>
        </is>
      </c>
    </row>
    <row r="187">
      <c r="A187" s="9" t="inlineStr">
        <is>
          <t>manganeso</t>
        </is>
      </c>
      <c r="B187" s="9" t="n">
        <v>2020</v>
      </c>
      <c r="C187" s="9" t="n">
        <v>10000</v>
      </c>
      <c r="D187" s="9" t="n">
        <v>100</v>
      </c>
      <c r="E187" s="9" t="inlineStr">
        <is>
          <t>Cia. Minera Autlan 100%</t>
        </is>
      </c>
      <c r="F187" s="8" t="inlineStr">
        <is>
          <t>monopolio documentado</t>
        </is>
      </c>
      <c r="G187" s="8" t="inlineStr">
        <is>
          <t>Autlan, productor unico toda la serie</t>
        </is>
      </c>
    </row>
    <row r="188">
      <c r="A188" s="6" t="inlineStr">
        <is>
          <t>manganeso</t>
        </is>
      </c>
      <c r="B188" s="6" t="n">
        <v>2021</v>
      </c>
      <c r="C188" s="6" t="n">
        <v>10000</v>
      </c>
      <c r="D188" s="6" t="n">
        <v>100</v>
      </c>
      <c r="E188" s="6" t="n"/>
      <c r="F188" s="5" t="inlineStr">
        <is>
          <t>monopolio documentado</t>
        </is>
      </c>
      <c r="G188" s="5" t="inlineStr">
        <is>
          <t>Autlan, productor unico</t>
        </is>
      </c>
    </row>
    <row r="189">
      <c r="A189" s="9" t="inlineStr">
        <is>
          <t>manganeso</t>
        </is>
      </c>
      <c r="B189" s="9" t="n">
        <v>2022</v>
      </c>
      <c r="C189" s="9" t="n">
        <v>10000</v>
      </c>
      <c r="D189" s="9" t="n">
        <v>100</v>
      </c>
      <c r="E189" s="9" t="n"/>
      <c r="F189" s="8" t="inlineStr">
        <is>
          <t>monopolio documentado</t>
        </is>
      </c>
      <c r="G189" s="8" t="inlineStr">
        <is>
          <t>Autlan, productor unico</t>
        </is>
      </c>
    </row>
    <row r="190">
      <c r="A190" s="6" t="inlineStr">
        <is>
          <t>manganeso</t>
        </is>
      </c>
      <c r="B190" s="6" t="n">
        <v>2023</v>
      </c>
      <c r="C190" s="6" t="n">
        <v>10000</v>
      </c>
      <c r="D190" s="6" t="n">
        <v>100</v>
      </c>
      <c r="E190" s="6" t="n"/>
      <c r="F190" s="5" t="inlineStr">
        <is>
          <t>monopolio documentado</t>
        </is>
      </c>
      <c r="G190" s="5" t="inlineStr">
        <is>
          <t>Autlan, productor unico</t>
        </is>
      </c>
    </row>
    <row r="191">
      <c r="A191" s="9" t="inlineStr">
        <is>
          <t>manganeso</t>
        </is>
      </c>
      <c r="B191" s="9" t="n">
        <v>2024</v>
      </c>
      <c r="C191" s="9" t="n">
        <v>10000</v>
      </c>
      <c r="D191" s="9" t="n">
        <v>100</v>
      </c>
      <c r="E191" s="9" t="inlineStr">
        <is>
          <t>Cia. Minera Autlan 100%</t>
        </is>
      </c>
      <c r="F191" s="8" t="inlineStr">
        <is>
          <t>monopolio documentado</t>
        </is>
      </c>
      <c r="G191" s="8" t="inlineStr">
        <is>
          <t>Autlan, productor unico (Molango) continua</t>
        </is>
      </c>
    </row>
    <row r="194">
      <c r="A194" s="12" t="inlineStr">
        <is>
          <t>HHI no metalicos 2020-2024 (barita/fluorita/grafito/silice) - lider + estructura</t>
        </is>
      </c>
    </row>
    <row r="195">
      <c r="A195" s="3" t="inlineStr">
        <is>
          <t>mineral</t>
        </is>
      </c>
      <c r="B195" s="3" t="inlineStr">
        <is>
          <t>anio_dato</t>
        </is>
      </c>
      <c r="C195" s="3" t="inlineStr">
        <is>
          <t>empresa_lider</t>
        </is>
      </c>
      <c r="D195" s="3" t="inlineStr">
        <is>
          <t>volumen_lider_t</t>
        </is>
      </c>
      <c r="E195" s="3" t="inlineStr">
        <is>
          <t>total_nacional_inegi_t</t>
        </is>
      </c>
      <c r="F195" s="3" t="inlineStr">
        <is>
          <t>participacion_lider_pct</t>
        </is>
      </c>
      <c r="G195" s="3" t="inlineStr">
        <is>
          <t>estructura</t>
        </is>
      </c>
      <c r="H195" s="3" t="inlineStr">
        <is>
          <t>fuente_numerador</t>
        </is>
      </c>
      <c r="I195" s="3" t="inlineStr">
        <is>
          <t>nota</t>
        </is>
      </c>
    </row>
    <row r="196">
      <c r="A196" s="6" t="inlineStr">
        <is>
          <t>Barita</t>
        </is>
      </c>
      <c r="B196" s="6" t="n">
        <v>2020</v>
      </c>
      <c r="C196" s="6" t="inlineStr">
        <is>
          <t>Baramin</t>
        </is>
      </c>
      <c r="D196" s="6" t="n"/>
      <c r="E196" s="6" t="n"/>
      <c r="F196" s="6" t="n"/>
      <c r="G196" s="6" t="inlineStr">
        <is>
          <t>oligopolio</t>
        </is>
      </c>
      <c r="H196" s="6" t="inlineStr">
        <is>
          <t>Informe CAMIMEX 2021</t>
        </is>
      </c>
      <c r="I196" s="5" t="inlineStr">
        <is>
          <t>Pendiente numerador Baramin 2020 (informe 2021)</t>
        </is>
      </c>
    </row>
    <row r="197">
      <c r="A197" s="9" t="inlineStr">
        <is>
          <t>Barita</t>
        </is>
      </c>
      <c r="B197" s="9" t="n">
        <v>2021</v>
      </c>
      <c r="C197" s="9" t="inlineStr">
        <is>
          <t>Baramin</t>
        </is>
      </c>
      <c r="D197" s="9" t="n">
        <v>264000</v>
      </c>
      <c r="E197" s="9" t="n">
        <v>1007118</v>
      </c>
      <c r="F197" s="9" t="n"/>
      <c r="G197" s="9" t="inlineStr">
        <is>
          <t>oligopolio-lider-decreciente</t>
        </is>
      </c>
      <c r="H197" s="9" t="inlineStr">
        <is>
          <t>Informe CAMIMEX 2022 p76</t>
        </is>
      </c>
      <c r="I197" s="8" t="inlineStr">
        <is>
          <t>OJO: denominador barita, no fluorita; total barita INEGI 2021 a confirmar (CAMIMEX da 320k rev). Baramin 264k</t>
        </is>
      </c>
    </row>
    <row r="198">
      <c r="A198" s="6" t="inlineStr">
        <is>
          <t>Barita</t>
        </is>
      </c>
      <c r="B198" s="6" t="n">
        <v>2022</v>
      </c>
      <c r="C198" s="6" t="inlineStr">
        <is>
          <t>Baramin</t>
        </is>
      </c>
      <c r="D198" s="6" t="n">
        <v>152000</v>
      </c>
      <c r="E198" s="6" t="n"/>
      <c r="F198" s="6" t="n">
        <v>49.8</v>
      </c>
      <c r="G198" s="6" t="inlineStr">
        <is>
          <t>oligopolio-lider-decreciente</t>
        </is>
      </c>
      <c r="H198" s="6" t="inlineStr">
        <is>
          <t>Informe CAMIMEX 2023 p74</t>
        </is>
      </c>
      <c r="I198" s="5" t="inlineStr">
        <is>
          <t>Baramin 152k de 305k nacional (CAMIMEX)</t>
        </is>
      </c>
    </row>
    <row r="199">
      <c r="A199" s="9" t="inlineStr">
        <is>
          <t>Barita</t>
        </is>
      </c>
      <c r="B199" s="9" t="n">
        <v>2023</v>
      </c>
      <c r="C199" s="9" t="inlineStr">
        <is>
          <t>Baramin</t>
        </is>
      </c>
      <c r="D199" s="9" t="n">
        <v>109953</v>
      </c>
      <c r="E199" s="9" t="n"/>
      <c r="F199" s="9" t="n">
        <v>37.1</v>
      </c>
      <c r="G199" s="9" t="inlineStr">
        <is>
          <t>oligopolio-lider-decreciente</t>
        </is>
      </c>
      <c r="H199" s="9" t="inlineStr">
        <is>
          <t>Informe CAMIMEX 2024 p87</t>
        </is>
      </c>
      <c r="I199" s="8" t="inlineStr">
        <is>
          <t>Baramin 109953 de 295989 nacional</t>
        </is>
      </c>
    </row>
    <row r="200">
      <c r="A200" s="6" t="inlineStr">
        <is>
          <t>Barita</t>
        </is>
      </c>
      <c r="B200" s="6" t="n">
        <v>2024</v>
      </c>
      <c r="C200" s="6" t="inlineStr">
        <is>
          <t>Baramin</t>
        </is>
      </c>
      <c r="D200" s="6" t="n">
        <v>59980</v>
      </c>
      <c r="E200" s="6" t="n">
        <v>244269</v>
      </c>
      <c r="F200" s="6" t="n">
        <v>24.6</v>
      </c>
      <c r="G200" s="6" t="inlineStr">
        <is>
          <t>oligopolio-lider-decreciente</t>
        </is>
      </c>
      <c r="H200" s="6" t="inlineStr">
        <is>
          <t>Informe CAMIMEX 2025 p72</t>
        </is>
      </c>
      <c r="I200" s="5" t="inlineStr">
        <is>
          <t>Baramin 59980 de 244269; agotamiento mina Grecia</t>
        </is>
      </c>
    </row>
    <row r="201">
      <c r="A201" s="9" t="inlineStr">
        <is>
          <t>Fluorita</t>
        </is>
      </c>
      <c r="B201" s="9" t="n">
        <v>2020</v>
      </c>
      <c r="C201" s="9" t="inlineStr">
        <is>
          <t>Koura</t>
        </is>
      </c>
      <c r="D201" s="9" t="n"/>
      <c r="E201" s="9" t="n">
        <v>914597</v>
      </c>
      <c r="F201" s="9" t="n"/>
      <c r="G201" s="9" t="inlineStr">
        <is>
          <t>monopolio-de-facto</t>
        </is>
      </c>
      <c r="H201" s="9" t="inlineStr">
        <is>
          <t>INEGI + CAMIMEX</t>
        </is>
      </c>
      <c r="I201" s="8" t="inlineStr">
        <is>
          <t>Koura unica extractora de Las Cuevas; ~95-100pct</t>
        </is>
      </c>
    </row>
    <row r="202">
      <c r="A202" s="6" t="inlineStr">
        <is>
          <t>Fluorita</t>
        </is>
      </c>
      <c r="B202" s="6" t="n">
        <v>2021</v>
      </c>
      <c r="C202" s="6" t="inlineStr">
        <is>
          <t>Koura</t>
        </is>
      </c>
      <c r="D202" s="6" t="n">
        <v>1100000</v>
      </c>
      <c r="E202" s="6" t="n">
        <v>1007118</v>
      </c>
      <c r="F202" s="6" t="n">
        <v>100</v>
      </c>
      <c r="G202" s="6" t="inlineStr">
        <is>
          <t>monopolio-de-facto</t>
        </is>
      </c>
      <c r="H202" s="6" t="inlineStr">
        <is>
          <t>Informe CAMIMEX 2022 p79</t>
        </is>
      </c>
      <c r="I202" s="5" t="inlineStr">
        <is>
          <t>Koura ~1.1Mt aprox = total INEGI 1.007Mt -&gt; ~100pct (monopolio)</t>
        </is>
      </c>
    </row>
    <row r="203">
      <c r="A203" s="9" t="inlineStr">
        <is>
          <t>Fluorita</t>
        </is>
      </c>
      <c r="B203" s="9" t="n">
        <v>2022</v>
      </c>
      <c r="C203" s="9" t="inlineStr">
        <is>
          <t>Koura</t>
        </is>
      </c>
      <c r="D203" s="9" t="n"/>
      <c r="E203" s="9" t="n">
        <v>1000626</v>
      </c>
      <c r="F203" s="9" t="n">
        <v>100</v>
      </c>
      <c r="G203" s="9" t="inlineStr">
        <is>
          <t>monopolio-de-facto</t>
        </is>
      </c>
      <c r="H203" s="9" t="inlineStr">
        <is>
          <t>Informe CAMIMEX 2023 p91</t>
        </is>
      </c>
      <c r="I203" s="8" t="inlineStr">
        <is>
          <t>Koura unica empresa que extrae el crudo de la mina mas grande del mundo</t>
        </is>
      </c>
    </row>
    <row r="204">
      <c r="A204" s="6" t="inlineStr">
        <is>
          <t>Fluorita</t>
        </is>
      </c>
      <c r="B204" s="6" t="n">
        <v>2023</v>
      </c>
      <c r="C204" s="6" t="inlineStr">
        <is>
          <t>Koura</t>
        </is>
      </c>
      <c r="D204" s="6" t="n"/>
      <c r="E204" s="6" t="n">
        <v>1162591</v>
      </c>
      <c r="F204" s="6" t="n">
        <v>100</v>
      </c>
      <c r="G204" s="6" t="inlineStr">
        <is>
          <t>monopolio-de-facto</t>
        </is>
      </c>
      <c r="H204" s="6" t="inlineStr">
        <is>
          <t>Informe CAMIMEX 2024 p91</t>
        </is>
      </c>
      <c r="I204" s="5" t="inlineStr">
        <is>
          <t>Koura reservas 66.2 Mt; produccion +</t>
        </is>
      </c>
    </row>
    <row r="205">
      <c r="A205" s="9" t="inlineStr">
        <is>
          <t>Fluorita</t>
        </is>
      </c>
      <c r="B205" s="9" t="n">
        <v>2024</v>
      </c>
      <c r="C205" s="9" t="inlineStr">
        <is>
          <t>Koura</t>
        </is>
      </c>
      <c r="D205" s="9" t="n"/>
      <c r="E205" s="9" t="n">
        <v>1505071</v>
      </c>
      <c r="F205" s="9" t="n">
        <v>100</v>
      </c>
      <c r="G205" s="9" t="inlineStr">
        <is>
          <t>monopolio-de-facto</t>
        </is>
      </c>
      <c r="H205" s="9" t="inlineStr">
        <is>
          <t>Informe CAMIMEX 2025 p74</t>
        </is>
      </c>
      <c r="I205" s="8" t="inlineStr">
        <is>
          <t>Koura principal; reservas 108.25 Mt</t>
        </is>
      </c>
    </row>
    <row r="206">
      <c r="A206" s="6" t="inlineStr">
        <is>
          <t>Silice</t>
        </is>
      </c>
      <c r="B206" s="6" t="n">
        <v>2020</v>
      </c>
      <c r="C206" s="6" t="inlineStr">
        <is>
          <t>Grupo Materias Primas (Covia)</t>
        </is>
      </c>
      <c r="D206" s="6" t="n">
        <v>2320000</v>
      </c>
      <c r="E206" s="6" t="n">
        <v>2514378</v>
      </c>
      <c r="F206" s="6" t="n">
        <v>92.3</v>
      </c>
      <c r="G206" s="6" t="inlineStr">
        <is>
          <t>concentrado</t>
        </is>
      </c>
      <c r="H206" s="6" t="inlineStr">
        <is>
          <t>Informe CAMIMEX 2021</t>
        </is>
      </c>
      <c r="I206" s="5" t="inlineStr">
        <is>
          <t>GMP 2.32Mt de 2.514Mt = 92.3pct</t>
        </is>
      </c>
    </row>
    <row r="207">
      <c r="A207" s="9" t="inlineStr">
        <is>
          <t>Silice</t>
        </is>
      </c>
      <c r="B207" s="9" t="n">
        <v>2021</v>
      </c>
      <c r="C207" s="9" t="inlineStr">
        <is>
          <t>Grupo Materias Primas (Covia)</t>
        </is>
      </c>
      <c r="D207" s="9" t="n">
        <v>2630000</v>
      </c>
      <c r="E207" s="9" t="n">
        <v>2664642</v>
      </c>
      <c r="F207" s="9" t="n">
        <v>98.7</v>
      </c>
      <c r="G207" s="9" t="inlineStr">
        <is>
          <t>concentrado</t>
        </is>
      </c>
      <c r="H207" s="9" t="inlineStr">
        <is>
          <t>Informe CAMIMEX 2022 p75</t>
        </is>
      </c>
      <c r="I207" s="8" t="inlineStr">
        <is>
          <t>GMP 2.63Mt de 2.665Mt = 98.7pct</t>
        </is>
      </c>
    </row>
    <row r="208">
      <c r="A208" s="6" t="inlineStr">
        <is>
          <t>Silice</t>
        </is>
      </c>
      <c r="B208" s="6" t="n">
        <v>2022</v>
      </c>
      <c r="C208" s="6" t="inlineStr">
        <is>
          <t>Grupo Materias Primas (Covia)</t>
        </is>
      </c>
      <c r="D208" s="6" t="n">
        <v>3000000</v>
      </c>
      <c r="E208" s="6" t="n">
        <v>4038190</v>
      </c>
      <c r="F208" s="6" t="n">
        <v>74.3</v>
      </c>
      <c r="G208" s="6" t="inlineStr">
        <is>
          <t>concentrado</t>
        </is>
      </c>
      <c r="H208" s="6" t="inlineStr">
        <is>
          <t>Informe CAMIMEX 2023 p75</t>
        </is>
      </c>
      <c r="I208" s="5" t="inlineStr">
        <is>
          <t>GMP 3.0Mt (+14pct vs 2021) de 4.038Mt = 74.3pct</t>
        </is>
      </c>
    </row>
    <row r="209">
      <c r="A209" s="9" t="inlineStr">
        <is>
          <t>Silice</t>
        </is>
      </c>
      <c r="B209" s="9" t="n">
        <v>2023</v>
      </c>
      <c r="C209" s="9" t="inlineStr">
        <is>
          <t>Grupo Materias Primas (Covia)</t>
        </is>
      </c>
      <c r="D209" s="9" t="n">
        <v>3002000</v>
      </c>
      <c r="E209" s="9" t="n">
        <v>3675666</v>
      </c>
      <c r="F209" s="9" t="n">
        <v>81.7</v>
      </c>
      <c r="G209" s="9" t="inlineStr">
        <is>
          <t>concentrado</t>
        </is>
      </c>
      <c r="H209" s="9" t="inlineStr">
        <is>
          <t>Informe CAMIMEX 2024 p87</t>
        </is>
      </c>
      <c r="I209" s="8" t="inlineStr">
        <is>
          <t>GMP 3.002Mt de 3.6757Mt = 81.7pct</t>
        </is>
      </c>
    </row>
    <row r="210">
      <c r="A210" s="6" t="inlineStr">
        <is>
          <t>Silice</t>
        </is>
      </c>
      <c r="B210" s="6" t="n">
        <v>2024</v>
      </c>
      <c r="C210" s="6" t="inlineStr">
        <is>
          <t>Grupo Materias Primas (Covia)</t>
        </is>
      </c>
      <c r="D210" s="6" t="n"/>
      <c r="E210" s="6" t="n">
        <v>3051507</v>
      </c>
      <c r="F210" s="6" t="n"/>
      <c r="G210" s="6" t="inlineStr">
        <is>
          <t>concentrado</t>
        </is>
      </c>
      <c r="H210" s="6" t="inlineStr">
        <is>
          <t>Informe CAMIMEX 2025</t>
        </is>
      </c>
      <c r="I210" s="5" t="inlineStr">
        <is>
          <t>Numerador GMP 2024 no reportado explicitamente en informe 2025; total INEGI 3.05Mt</t>
        </is>
      </c>
    </row>
    <row r="211">
      <c r="A211" s="9" t="inlineStr">
        <is>
          <t>Grafito</t>
        </is>
      </c>
      <c r="B211" s="9" t="n">
        <v>2020</v>
      </c>
      <c r="C211" s="9" t="inlineStr">
        <is>
          <t>ninguno</t>
        </is>
      </c>
      <c r="D211" s="9" t="n"/>
      <c r="E211" s="9" t="n"/>
      <c r="F211" s="9" t="n"/>
      <c r="G211" s="9" t="inlineStr">
        <is>
          <t>atomizado</t>
        </is>
      </c>
      <c r="H211" s="9" t="inlineStr">
        <is>
          <t>CAMIMEX no desglosa</t>
        </is>
      </c>
      <c r="I211" s="8" t="inlineStr">
        <is>
          <t>Caso de contraste; HHI bajo por Anuario SGM (num. productores)</t>
        </is>
      </c>
    </row>
    <row r="212">
      <c r="A212" s="6" t="inlineStr">
        <is>
          <t>Grafito</t>
        </is>
      </c>
      <c r="B212" s="6" t="n">
        <v>2021</v>
      </c>
      <c r="C212" s="6" t="inlineStr">
        <is>
          <t>ninguno</t>
        </is>
      </c>
      <c r="D212" s="6" t="n"/>
      <c r="E212" s="6" t="n"/>
      <c r="F212" s="6" t="n"/>
      <c r="G212" s="6" t="inlineStr">
        <is>
          <t>atomizado</t>
        </is>
      </c>
      <c r="H212" s="6" t="inlineStr">
        <is>
          <t>CAMIMEX no desglosa</t>
        </is>
      </c>
      <c r="I212" s="5" t="inlineStr">
        <is>
          <t>Caso de contraste</t>
        </is>
      </c>
    </row>
    <row r="213">
      <c r="A213" s="9" t="inlineStr">
        <is>
          <t>Grafito</t>
        </is>
      </c>
      <c r="B213" s="9" t="n">
        <v>2022</v>
      </c>
      <c r="C213" s="9" t="inlineStr">
        <is>
          <t>ninguno</t>
        </is>
      </c>
      <c r="D213" s="9" t="n"/>
      <c r="E213" s="9" t="n"/>
      <c r="F213" s="9" t="n"/>
      <c r="G213" s="9" t="inlineStr">
        <is>
          <t>atomizado</t>
        </is>
      </c>
      <c r="H213" s="9" t="inlineStr">
        <is>
          <t>CAMIMEX no desglosa</t>
        </is>
      </c>
      <c r="I213" s="8" t="inlineStr">
        <is>
          <t>Caso de contraste</t>
        </is>
      </c>
    </row>
    <row r="214">
      <c r="A214" s="6" t="inlineStr">
        <is>
          <t>Grafito</t>
        </is>
      </c>
      <c r="B214" s="6" t="n">
        <v>2023</v>
      </c>
      <c r="C214" s="6" t="inlineStr">
        <is>
          <t>ninguno</t>
        </is>
      </c>
      <c r="D214" s="6" t="n"/>
      <c r="E214" s="6" t="n"/>
      <c r="F214" s="6" t="n"/>
      <c r="G214" s="6" t="inlineStr">
        <is>
          <t>atomizado</t>
        </is>
      </c>
      <c r="H214" s="6" t="inlineStr">
        <is>
          <t>CAMIMEX no desglosa</t>
        </is>
      </c>
      <c r="I214" s="5" t="inlineStr">
        <is>
          <t>Caso de contraste</t>
        </is>
      </c>
    </row>
    <row r="215">
      <c r="A215" s="9" t="inlineStr">
        <is>
          <t>Grafito</t>
        </is>
      </c>
      <c r="B215" s="9" t="n">
        <v>2024</v>
      </c>
      <c r="C215" s="9" t="inlineStr">
        <is>
          <t>ninguno</t>
        </is>
      </c>
      <c r="D215" s="9" t="n"/>
      <c r="E215" s="9" t="n"/>
      <c r="F215" s="9" t="n"/>
      <c r="G215" s="9" t="inlineStr">
        <is>
          <t>atomizado</t>
        </is>
      </c>
      <c r="H215" s="9" t="inlineStr">
        <is>
          <t>CAMIMEX no desglosa</t>
        </is>
      </c>
      <c r="I215" s="8" t="inlineStr">
        <is>
          <t>Caso de contraste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9" customWidth="1" min="4" max="4"/>
    <col width="18" customWidth="1" min="5" max="5"/>
    <col width="15" customWidth="1" min="6" max="6"/>
    <col width="18" customWidth="1" min="7" max="7"/>
    <col width="18" customWidth="1" min="8" max="8"/>
    <col width="9" customWidth="1" min="9" max="9"/>
    <col width="15" customWidth="1" min="10" max="10"/>
    <col width="26" customWidth="1" min="11" max="11"/>
  </cols>
  <sheetData>
    <row r="1" ht="24" customHeight="1">
      <c r="A1" s="1" t="inlineStr">
        <is>
          <t>CCV - Coeficiente de captura de valor (serie 1992-2025)</t>
        </is>
      </c>
    </row>
    <row r="2" ht="40" customHeight="1">
      <c r="A2" s="2" t="inlineStr">
        <is>
          <t>CCV = valor_unitario_E1 / precio_refinado_USGS ; valor_unitario_E1 = valor_export_E1 / peso_export_E1. Columnas verdes: recomputo con formula de Excel y diferencia vs valor almacenado. La columna 'dif vu' marca (&gt;0) las ~5 filas en que el valor unitario se corrigio por tonelaje minimo/atipico (silice 2016, fluorita 2018/2020, grafito 2017/2018): ahi el vu limpio != valor/peso, a proposito. 'dif CCV' debe ser ~0. Informativo en metales base (Cu~0.22, Zn~0.30); NO informativo en oro/plata (artefacto de ley). 'fuente_numerador': propio vs espejo (CIF).</t>
        </is>
      </c>
    </row>
    <row r="3">
      <c r="A3" s="3" t="inlineStr">
        <is>
          <t>mineral</t>
        </is>
      </c>
      <c r="B3" s="3" t="inlineStr">
        <is>
          <t>grupo_ccv</t>
        </is>
      </c>
      <c r="C3" s="3" t="inlineStr">
        <is>
          <t>anio</t>
        </is>
      </c>
      <c r="D3" s="3" t="inlineStr">
        <is>
          <t>hs_e1</t>
        </is>
      </c>
      <c r="E3" s="3" t="inlineStr">
        <is>
          <t>valor_export_e1_usd</t>
        </is>
      </c>
      <c r="F3" s="3" t="inlineStr">
        <is>
          <t>peso_export_e1_t</t>
        </is>
      </c>
      <c r="G3" s="3" t="inlineStr">
        <is>
          <t>valor_unitario_export_usd_t</t>
        </is>
      </c>
      <c r="H3" s="3" t="inlineStr">
        <is>
          <t>precio_refinado_usgs_usd_t</t>
        </is>
      </c>
      <c r="I3" s="3" t="inlineStr">
        <is>
          <t>ccv</t>
        </is>
      </c>
      <c r="J3" s="3" t="inlineStr">
        <is>
          <t>fuente_numerador</t>
        </is>
      </c>
      <c r="K3" s="3" t="inlineStr">
        <is>
          <t>nota</t>
        </is>
      </c>
      <c r="L3" s="10" t="inlineStr">
        <is>
          <t>valor_unitario (=formula)</t>
        </is>
      </c>
      <c r="M3" s="10" t="inlineStr">
        <is>
          <t>dif vu</t>
        </is>
      </c>
      <c r="N3" s="10" t="inlineStr">
        <is>
          <t>CCV (=formula)</t>
        </is>
      </c>
      <c r="O3" s="10" t="inlineStr">
        <is>
          <t>dif CCV</t>
        </is>
      </c>
    </row>
    <row r="4">
      <c r="A4" s="6" t="inlineStr">
        <is>
          <t>barita</t>
        </is>
      </c>
      <c r="B4" s="6" t="inlineStr">
        <is>
          <t>no metalico/industrial</t>
        </is>
      </c>
      <c r="C4" s="6" t="n">
        <v>1992</v>
      </c>
      <c r="D4" s="6" t="inlineStr">
        <is>
          <t>251110</t>
        </is>
      </c>
      <c r="E4" s="6" t="n">
        <v>1244000</v>
      </c>
      <c r="F4" s="6" t="n">
        <v>19904.52</v>
      </c>
      <c r="G4" s="6" t="n">
        <v>62.5</v>
      </c>
      <c r="H4" s="6" t="n">
        <v>51.8</v>
      </c>
      <c r="I4" s="6" t="n">
        <v>1.2065</v>
      </c>
      <c r="J4" s="6" t="inlineStr">
        <is>
          <t>propio</t>
        </is>
      </c>
      <c r="K4" s="5" t="n"/>
      <c r="L4" s="11">
        <f>IF(F4=0,"",E4/F4)</f>
        <v/>
      </c>
      <c r="M4" s="11">
        <f>IF(ISNUMBER(L4),ROUND(L4-G4,4),"")</f>
        <v/>
      </c>
      <c r="N4" s="11">
        <f>IF(H4=0,"",G4/H4)</f>
        <v/>
      </c>
      <c r="O4" s="11">
        <f>IF(ISNUMBER(N4),ROUND(N4-I4,4),"")</f>
        <v/>
      </c>
    </row>
    <row r="5">
      <c r="A5" s="9" t="inlineStr">
        <is>
          <t>barita</t>
        </is>
      </c>
      <c r="B5" s="9" t="inlineStr">
        <is>
          <t>no metalico/industrial</t>
        </is>
      </c>
      <c r="C5" s="9" t="n">
        <v>1993</v>
      </c>
      <c r="D5" s="9" t="inlineStr">
        <is>
          <t>251110</t>
        </is>
      </c>
      <c r="E5" s="9" t="n">
        <v>4213000</v>
      </c>
      <c r="F5" s="9" t="n">
        <v>68263.624</v>
      </c>
      <c r="G5" s="9" t="n">
        <v>61.72</v>
      </c>
      <c r="H5" s="9" t="n">
        <v>45.8</v>
      </c>
      <c r="I5" s="9" t="n">
        <v>1.3475</v>
      </c>
      <c r="J5" s="9" t="inlineStr">
        <is>
          <t>propio</t>
        </is>
      </c>
      <c r="K5" s="8" t="n"/>
      <c r="L5" s="11">
        <f>IF(F5=0,"",E5/F5)</f>
        <v/>
      </c>
      <c r="M5" s="11">
        <f>IF(ISNUMBER(L5),ROUND(L5-G5,4),"")</f>
        <v/>
      </c>
      <c r="N5" s="11">
        <f>IF(H5=0,"",G5/H5)</f>
        <v/>
      </c>
      <c r="O5" s="11">
        <f>IF(ISNUMBER(N5),ROUND(N5-I5,4),"")</f>
        <v/>
      </c>
    </row>
    <row r="6">
      <c r="A6" s="6" t="inlineStr">
        <is>
          <t>barita</t>
        </is>
      </c>
      <c r="B6" s="6" t="inlineStr">
        <is>
          <t>no metalico/industrial</t>
        </is>
      </c>
      <c r="C6" s="6" t="n">
        <v>1994</v>
      </c>
      <c r="D6" s="6" t="inlineStr">
        <is>
          <t>251110</t>
        </is>
      </c>
      <c r="E6" s="6" t="n">
        <v>4690693</v>
      </c>
      <c r="F6" s="6" t="n">
        <v>89615.144</v>
      </c>
      <c r="G6" s="6" t="n">
        <v>52.34</v>
      </c>
      <c r="H6" s="6" t="n">
        <v>38.8</v>
      </c>
      <c r="I6" s="6" t="n">
        <v>1.349</v>
      </c>
      <c r="J6" s="6" t="inlineStr">
        <is>
          <t>propio</t>
        </is>
      </c>
      <c r="K6" s="5" t="n"/>
      <c r="L6" s="11">
        <f>IF(F6=0,"",E6/F6)</f>
        <v/>
      </c>
      <c r="M6" s="11">
        <f>IF(ISNUMBER(L6),ROUND(L6-G6,4),"")</f>
        <v/>
      </c>
      <c r="N6" s="11">
        <f>IF(H6=0,"",G6/H6)</f>
        <v/>
      </c>
      <c r="O6" s="11">
        <f>IF(ISNUMBER(N6),ROUND(N6-I6,4),"")</f>
        <v/>
      </c>
    </row>
    <row r="7">
      <c r="A7" s="9" t="inlineStr">
        <is>
          <t>barita</t>
        </is>
      </c>
      <c r="B7" s="9" t="inlineStr">
        <is>
          <t>no metalico/industrial</t>
        </is>
      </c>
      <c r="C7" s="9" t="n">
        <v>1995</v>
      </c>
      <c r="D7" s="9" t="inlineStr">
        <is>
          <t>251110</t>
        </is>
      </c>
      <c r="E7" s="9" t="n">
        <v>6854000</v>
      </c>
      <c r="F7" s="9" t="n">
        <v>129536.184</v>
      </c>
      <c r="G7" s="9" t="n">
        <v>52.91</v>
      </c>
      <c r="H7" s="9" t="n">
        <v>42.9</v>
      </c>
      <c r="I7" s="9" t="n">
        <v>1.2334</v>
      </c>
      <c r="J7" s="9" t="inlineStr">
        <is>
          <t>propio</t>
        </is>
      </c>
      <c r="K7" s="8" t="n"/>
      <c r="L7" s="11">
        <f>IF(F7=0,"",E7/F7)</f>
        <v/>
      </c>
      <c r="M7" s="11">
        <f>IF(ISNUMBER(L7),ROUND(L7-G7,4),"")</f>
        <v/>
      </c>
      <c r="N7" s="11">
        <f>IF(H7=0,"",G7/H7)</f>
        <v/>
      </c>
      <c r="O7" s="11">
        <f>IF(ISNUMBER(N7),ROUND(N7-I7,4),"")</f>
        <v/>
      </c>
    </row>
    <row r="8">
      <c r="A8" s="6" t="inlineStr">
        <is>
          <t>barita</t>
        </is>
      </c>
      <c r="B8" s="6" t="inlineStr">
        <is>
          <t>no metalico/industrial</t>
        </is>
      </c>
      <c r="C8" s="6" t="n">
        <v>1996</v>
      </c>
      <c r="D8" s="6" t="inlineStr">
        <is>
          <t>251110</t>
        </is>
      </c>
      <c r="E8" s="6" t="n">
        <v>7762014</v>
      </c>
      <c r="F8" s="6" t="n">
        <v>124343.76</v>
      </c>
      <c r="G8" s="6" t="n">
        <v>62.42</v>
      </c>
      <c r="H8" s="6" t="n">
        <v>42.7</v>
      </c>
      <c r="I8" s="6" t="n">
        <v>1.4619</v>
      </c>
      <c r="J8" s="6" t="inlineStr">
        <is>
          <t>propio</t>
        </is>
      </c>
      <c r="K8" s="5" t="n"/>
      <c r="L8" s="11">
        <f>IF(F8=0,"",E8/F8)</f>
        <v/>
      </c>
      <c r="M8" s="11">
        <f>IF(ISNUMBER(L8),ROUND(L8-G8,4),"")</f>
        <v/>
      </c>
      <c r="N8" s="11">
        <f>IF(H8=0,"",G8/H8)</f>
        <v/>
      </c>
      <c r="O8" s="11">
        <f>IF(ISNUMBER(N8),ROUND(N8-I8,4),"")</f>
        <v/>
      </c>
    </row>
    <row r="9">
      <c r="A9" s="9" t="inlineStr">
        <is>
          <t>barita</t>
        </is>
      </c>
      <c r="B9" s="9" t="inlineStr">
        <is>
          <t>no metalico/industrial</t>
        </is>
      </c>
      <c r="C9" s="9" t="n">
        <v>1997</v>
      </c>
      <c r="D9" s="9" t="inlineStr">
        <is>
          <t>251110</t>
        </is>
      </c>
      <c r="E9" s="9" t="n">
        <v>4439673</v>
      </c>
      <c r="F9" s="9" t="n">
        <v>65292.48</v>
      </c>
      <c r="G9" s="9" t="n">
        <v>68</v>
      </c>
      <c r="H9" s="9" t="n">
        <v>46.2</v>
      </c>
      <c r="I9" s="9" t="n">
        <v>1.4718</v>
      </c>
      <c r="J9" s="9" t="inlineStr">
        <is>
          <t>propio</t>
        </is>
      </c>
      <c r="K9" s="8" t="n"/>
      <c r="L9" s="11">
        <f>IF(F9=0,"",E9/F9)</f>
        <v/>
      </c>
      <c r="M9" s="11">
        <f>IF(ISNUMBER(L9),ROUND(L9-G9,4),"")</f>
        <v/>
      </c>
      <c r="N9" s="11">
        <f>IF(H9=0,"",G9/H9)</f>
        <v/>
      </c>
      <c r="O9" s="11">
        <f>IF(ISNUMBER(N9),ROUND(N9-I9,4),"")</f>
        <v/>
      </c>
    </row>
    <row r="10">
      <c r="A10" s="6" t="inlineStr">
        <is>
          <t>barita</t>
        </is>
      </c>
      <c r="B10" s="6" t="inlineStr">
        <is>
          <t>no metalico/industrial</t>
        </is>
      </c>
      <c r="C10" s="6" t="n">
        <v>1998</v>
      </c>
      <c r="D10" s="6" t="inlineStr">
        <is>
          <t>251110</t>
        </is>
      </c>
      <c r="E10" s="6" t="n">
        <v>1469473</v>
      </c>
      <c r="F10" s="6" t="n">
        <v>18144.56</v>
      </c>
      <c r="G10" s="6" t="n">
        <v>80.98999999999999</v>
      </c>
      <c r="H10" s="6" t="n">
        <v>57.1</v>
      </c>
      <c r="I10" s="6" t="n">
        <v>1.4183</v>
      </c>
      <c r="J10" s="6" t="inlineStr">
        <is>
          <t>propio</t>
        </is>
      </c>
      <c r="K10" s="5" t="n"/>
      <c r="L10" s="11">
        <f>IF(F10=0,"",E10/F10)</f>
        <v/>
      </c>
      <c r="M10" s="11">
        <f>IF(ISNUMBER(L10),ROUND(L10-G10,4),"")</f>
        <v/>
      </c>
      <c r="N10" s="11">
        <f>IF(H10=0,"",G10/H10)</f>
        <v/>
      </c>
      <c r="O10" s="11">
        <f>IF(ISNUMBER(N10),ROUND(N10-I10,4),"")</f>
        <v/>
      </c>
    </row>
    <row r="11">
      <c r="A11" s="9" t="inlineStr">
        <is>
          <t>barita</t>
        </is>
      </c>
      <c r="B11" s="9" t="inlineStr">
        <is>
          <t>no metalico/industrial</t>
        </is>
      </c>
      <c r="C11" s="9" t="n">
        <v>1999</v>
      </c>
      <c r="D11" s="9" t="inlineStr">
        <is>
          <t>251110</t>
        </is>
      </c>
      <c r="E11" s="9" t="n">
        <v>1030666</v>
      </c>
      <c r="F11" s="9" t="n">
        <v>15367.835</v>
      </c>
      <c r="G11" s="9" t="n">
        <v>67.06999999999999</v>
      </c>
      <c r="H11" s="9" t="n">
        <v>52.5</v>
      </c>
      <c r="I11" s="9" t="n">
        <v>1.2775</v>
      </c>
      <c r="J11" s="9" t="inlineStr">
        <is>
          <t>propio</t>
        </is>
      </c>
      <c r="K11" s="8" t="n"/>
      <c r="L11" s="11">
        <f>IF(F11=0,"",E11/F11)</f>
        <v/>
      </c>
      <c r="M11" s="11">
        <f>IF(ISNUMBER(L11),ROUND(L11-G11,4),"")</f>
        <v/>
      </c>
      <c r="N11" s="11">
        <f>IF(H11=0,"",G11/H11)</f>
        <v/>
      </c>
      <c r="O11" s="11">
        <f>IF(ISNUMBER(N11),ROUND(N11-I11,4),"")</f>
        <v/>
      </c>
    </row>
    <row r="12">
      <c r="A12" s="6" t="inlineStr">
        <is>
          <t>barita</t>
        </is>
      </c>
      <c r="B12" s="6" t="inlineStr">
        <is>
          <t>no metalico/industrial</t>
        </is>
      </c>
      <c r="C12" s="6" t="n">
        <v>2000</v>
      </c>
      <c r="D12" s="6" t="inlineStr">
        <is>
          <t>251110</t>
        </is>
      </c>
      <c r="E12" s="6" t="n">
        <v>767826</v>
      </c>
      <c r="F12" s="6" t="n">
        <v>8081.87</v>
      </c>
      <c r="G12" s="6" t="n">
        <v>95.01000000000001</v>
      </c>
      <c r="H12" s="6" t="n">
        <v>46.3</v>
      </c>
      <c r="I12" s="6" t="n">
        <v>2.052</v>
      </c>
      <c r="J12" s="6" t="inlineStr">
        <is>
          <t>propio</t>
        </is>
      </c>
      <c r="K12" s="5" t="n"/>
      <c r="L12" s="11">
        <f>IF(F12=0,"",E12/F12)</f>
        <v/>
      </c>
      <c r="M12" s="11">
        <f>IF(ISNUMBER(L12),ROUND(L12-G12,4),"")</f>
        <v/>
      </c>
      <c r="N12" s="11">
        <f>IF(H12=0,"",G12/H12)</f>
        <v/>
      </c>
      <c r="O12" s="11">
        <f>IF(ISNUMBER(N12),ROUND(N12-I12,4),"")</f>
        <v/>
      </c>
    </row>
    <row r="13">
      <c r="A13" s="9" t="inlineStr">
        <is>
          <t>barita</t>
        </is>
      </c>
      <c r="B13" s="9" t="inlineStr">
        <is>
          <t>no metalico/industrial</t>
        </is>
      </c>
      <c r="C13" s="9" t="n">
        <v>2001</v>
      </c>
      <c r="D13" s="9" t="inlineStr">
        <is>
          <t>251110</t>
        </is>
      </c>
      <c r="E13" s="9" t="n">
        <v>560838</v>
      </c>
      <c r="F13" s="9" t="n">
        <v>3698.588</v>
      </c>
      <c r="G13" s="9" t="n">
        <v>151.64</v>
      </c>
      <c r="H13" s="9" t="n">
        <v>45.4</v>
      </c>
      <c r="I13" s="9" t="n">
        <v>3.34</v>
      </c>
      <c r="J13" s="9" t="inlineStr">
        <is>
          <t>propio</t>
        </is>
      </c>
      <c r="K13" s="8" t="n"/>
      <c r="L13" s="11">
        <f>IF(F13=0,"",E13/F13)</f>
        <v/>
      </c>
      <c r="M13" s="11">
        <f>IF(ISNUMBER(L13),ROUND(L13-G13,4),"")</f>
        <v/>
      </c>
      <c r="N13" s="11">
        <f>IF(H13=0,"",G13/H13)</f>
        <v/>
      </c>
      <c r="O13" s="11">
        <f>IF(ISNUMBER(N13),ROUND(N13-I13,4),"")</f>
        <v/>
      </c>
    </row>
    <row r="14">
      <c r="A14" s="6" t="inlineStr">
        <is>
          <t>barita</t>
        </is>
      </c>
      <c r="B14" s="6" t="inlineStr">
        <is>
          <t>no metalico/industrial</t>
        </is>
      </c>
      <c r="C14" s="6" t="n">
        <v>2002</v>
      </c>
      <c r="D14" s="6" t="inlineStr">
        <is>
          <t>251110</t>
        </is>
      </c>
      <c r="E14" s="6" t="n">
        <v>295067</v>
      </c>
      <c r="F14" s="6" t="n">
        <v>1972.292</v>
      </c>
      <c r="G14" s="6" t="n">
        <v>149.61</v>
      </c>
      <c r="H14" s="6" t="n">
        <v>46.6</v>
      </c>
      <c r="I14" s="6" t="n">
        <v>3.2104</v>
      </c>
      <c r="J14" s="6" t="inlineStr">
        <is>
          <t>propio</t>
        </is>
      </c>
      <c r="K14" s="5" t="n"/>
      <c r="L14" s="11">
        <f>IF(F14=0,"",E14/F14)</f>
        <v/>
      </c>
      <c r="M14" s="11">
        <f>IF(ISNUMBER(L14),ROUND(L14-G14,4),"")</f>
        <v/>
      </c>
      <c r="N14" s="11">
        <f>IF(H14=0,"",G14/H14)</f>
        <v/>
      </c>
      <c r="O14" s="11">
        <f>IF(ISNUMBER(N14),ROUND(N14-I14,4),"")</f>
        <v/>
      </c>
    </row>
    <row r="15">
      <c r="A15" s="9" t="inlineStr">
        <is>
          <t>barita</t>
        </is>
      </c>
      <c r="B15" s="9" t="inlineStr">
        <is>
          <t>no metalico/industrial</t>
        </is>
      </c>
      <c r="C15" s="9" t="n">
        <v>2003</v>
      </c>
      <c r="D15" s="9" t="inlineStr">
        <is>
          <t>251110</t>
        </is>
      </c>
      <c r="E15" s="9" t="n">
        <v>158568</v>
      </c>
      <c r="F15" s="9" t="n">
        <v>789.5170000000001</v>
      </c>
      <c r="G15" s="9" t="n">
        <v>200.84</v>
      </c>
      <c r="H15" s="9" t="n">
        <v>45.6</v>
      </c>
      <c r="I15" s="9" t="n">
        <v>4.4044</v>
      </c>
      <c r="J15" s="9" t="inlineStr">
        <is>
          <t>propio</t>
        </is>
      </c>
      <c r="K15" s="8" t="n"/>
      <c r="L15" s="11">
        <f>IF(F15=0,"",E15/F15)</f>
        <v/>
      </c>
      <c r="M15" s="11">
        <f>IF(ISNUMBER(L15),ROUND(L15-G15,4),"")</f>
        <v/>
      </c>
      <c r="N15" s="11">
        <f>IF(H15=0,"",G15/H15)</f>
        <v/>
      </c>
      <c r="O15" s="11">
        <f>IF(ISNUMBER(N15),ROUND(N15-I15,4),"")</f>
        <v/>
      </c>
    </row>
    <row r="16">
      <c r="A16" s="6" t="inlineStr">
        <is>
          <t>barita</t>
        </is>
      </c>
      <c r="B16" s="6" t="inlineStr">
        <is>
          <t>no metalico/industrial</t>
        </is>
      </c>
      <c r="C16" s="6" t="n">
        <v>2004</v>
      </c>
      <c r="D16" s="6" t="inlineStr">
        <is>
          <t>251110</t>
        </is>
      </c>
      <c r="E16" s="6" t="n">
        <v>329427</v>
      </c>
      <c r="F16" s="6" t="n">
        <v>2702.903</v>
      </c>
      <c r="G16" s="6" t="n">
        <v>121.88</v>
      </c>
      <c r="H16" s="6" t="n">
        <v>49.4</v>
      </c>
      <c r="I16" s="6" t="n">
        <v>2.4672</v>
      </c>
      <c r="J16" s="6" t="inlineStr">
        <is>
          <t>propio</t>
        </is>
      </c>
      <c r="K16" s="5" t="n"/>
      <c r="L16" s="11">
        <f>IF(F16=0,"",E16/F16)</f>
        <v/>
      </c>
      <c r="M16" s="11">
        <f>IF(ISNUMBER(L16),ROUND(L16-G16,4),"")</f>
        <v/>
      </c>
      <c r="N16" s="11">
        <f>IF(H16=0,"",G16/H16)</f>
        <v/>
      </c>
      <c r="O16" s="11">
        <f>IF(ISNUMBER(N16),ROUND(N16-I16,4),"")</f>
        <v/>
      </c>
    </row>
    <row r="17">
      <c r="A17" s="9" t="inlineStr">
        <is>
          <t>barita</t>
        </is>
      </c>
      <c r="B17" s="9" t="inlineStr">
        <is>
          <t>no metalico/industrial</t>
        </is>
      </c>
      <c r="C17" s="9" t="n">
        <v>2005</v>
      </c>
      <c r="D17" s="9" t="inlineStr">
        <is>
          <t>251110</t>
        </is>
      </c>
      <c r="E17" s="9" t="n">
        <v>1260125</v>
      </c>
      <c r="F17" s="9" t="n">
        <v>11230.573</v>
      </c>
      <c r="G17" s="9" t="n">
        <v>112.2</v>
      </c>
      <c r="H17" s="9" t="n">
        <v>55</v>
      </c>
      <c r="I17" s="9" t="n">
        <v>2.0401</v>
      </c>
      <c r="J17" s="9" t="inlineStr">
        <is>
          <t>propio</t>
        </is>
      </c>
      <c r="K17" s="8" t="n"/>
      <c r="L17" s="11">
        <f>IF(F17=0,"",E17/F17)</f>
        <v/>
      </c>
      <c r="M17" s="11">
        <f>IF(ISNUMBER(L17),ROUND(L17-G17,4),"")</f>
        <v/>
      </c>
      <c r="N17" s="11">
        <f>IF(H17=0,"",G17/H17)</f>
        <v/>
      </c>
      <c r="O17" s="11">
        <f>IF(ISNUMBER(N17),ROUND(N17-I17,4),"")</f>
        <v/>
      </c>
    </row>
    <row r="18">
      <c r="A18" s="6" t="inlineStr">
        <is>
          <t>barita</t>
        </is>
      </c>
      <c r="B18" s="6" t="inlineStr">
        <is>
          <t>no metalico/industrial</t>
        </is>
      </c>
      <c r="C18" s="6" t="n">
        <v>2006</v>
      </c>
      <c r="D18" s="6" t="inlineStr">
        <is>
          <t>251110</t>
        </is>
      </c>
      <c r="E18" s="6" t="n">
        <v>1879184</v>
      </c>
      <c r="F18" s="6" t="n">
        <v>12729.714</v>
      </c>
      <c r="G18" s="6" t="n">
        <v>147.62</v>
      </c>
      <c r="H18" s="6" t="n">
        <v>56</v>
      </c>
      <c r="I18" s="6" t="n">
        <v>2.6361</v>
      </c>
      <c r="J18" s="6" t="inlineStr">
        <is>
          <t>propio</t>
        </is>
      </c>
      <c r="K18" s="5" t="n"/>
      <c r="L18" s="11">
        <f>IF(F18=0,"",E18/F18)</f>
        <v/>
      </c>
      <c r="M18" s="11">
        <f>IF(ISNUMBER(L18),ROUND(L18-G18,4),"")</f>
        <v/>
      </c>
      <c r="N18" s="11">
        <f>IF(H18=0,"",G18/H18)</f>
        <v/>
      </c>
      <c r="O18" s="11">
        <f>IF(ISNUMBER(N18),ROUND(N18-I18,4),"")</f>
        <v/>
      </c>
    </row>
    <row r="19">
      <c r="A19" s="9" t="inlineStr">
        <is>
          <t>barita</t>
        </is>
      </c>
      <c r="B19" s="9" t="inlineStr">
        <is>
          <t>no metalico/industrial</t>
        </is>
      </c>
      <c r="C19" s="9" t="n">
        <v>2007</v>
      </c>
      <c r="D19" s="9" t="inlineStr">
        <is>
          <t>251110</t>
        </is>
      </c>
      <c r="E19" s="9" t="n">
        <v>1316217</v>
      </c>
      <c r="F19" s="9" t="n">
        <v>8847.177</v>
      </c>
      <c r="G19" s="9" t="n">
        <v>148.77</v>
      </c>
      <c r="H19" s="9" t="n">
        <v>71.90000000000001</v>
      </c>
      <c r="I19" s="9" t="n">
        <v>2.0692</v>
      </c>
      <c r="J19" s="9" t="inlineStr">
        <is>
          <t>propio</t>
        </is>
      </c>
      <c r="K19" s="8" t="n"/>
      <c r="L19" s="11">
        <f>IF(F19=0,"",E19/F19)</f>
        <v/>
      </c>
      <c r="M19" s="11">
        <f>IF(ISNUMBER(L19),ROUND(L19-G19,4),"")</f>
        <v/>
      </c>
      <c r="N19" s="11">
        <f>IF(H19=0,"",G19/H19)</f>
        <v/>
      </c>
      <c r="O19" s="11">
        <f>IF(ISNUMBER(N19),ROUND(N19-I19,4),"")</f>
        <v/>
      </c>
    </row>
    <row r="20">
      <c r="A20" s="6" t="inlineStr">
        <is>
          <t>barita</t>
        </is>
      </c>
      <c r="B20" s="6" t="inlineStr">
        <is>
          <t>no metalico/industrial</t>
        </is>
      </c>
      <c r="C20" s="6" t="n">
        <v>2008</v>
      </c>
      <c r="D20" s="6" t="inlineStr">
        <is>
          <t>251110</t>
        </is>
      </c>
      <c r="E20" s="6" t="n">
        <v>3232802</v>
      </c>
      <c r="F20" s="6" t="n">
        <v>58056.284</v>
      </c>
      <c r="G20" s="6" t="n">
        <v>55.68</v>
      </c>
      <c r="H20" s="6" t="n">
        <v>76.3</v>
      </c>
      <c r="I20" s="6" t="n">
        <v>0.7298</v>
      </c>
      <c r="J20" s="6" t="inlineStr">
        <is>
          <t>propio</t>
        </is>
      </c>
      <c r="K20" s="5" t="n"/>
      <c r="L20" s="11">
        <f>IF(F20=0,"",E20/F20)</f>
        <v/>
      </c>
      <c r="M20" s="11">
        <f>IF(ISNUMBER(L20),ROUND(L20-G20,4),"")</f>
        <v/>
      </c>
      <c r="N20" s="11">
        <f>IF(H20=0,"",G20/H20)</f>
        <v/>
      </c>
      <c r="O20" s="11">
        <f>IF(ISNUMBER(N20),ROUND(N20-I20,4),"")</f>
        <v/>
      </c>
    </row>
    <row r="21">
      <c r="A21" s="9" t="inlineStr">
        <is>
          <t>barita</t>
        </is>
      </c>
      <c r="B21" s="9" t="inlineStr">
        <is>
          <t>no metalico/industrial</t>
        </is>
      </c>
      <c r="C21" s="9" t="n">
        <v>2009</v>
      </c>
      <c r="D21" s="9" t="inlineStr">
        <is>
          <t>251110</t>
        </is>
      </c>
      <c r="E21" s="9" t="n">
        <v>1255779</v>
      </c>
      <c r="F21" s="9" t="n">
        <v>18210.942</v>
      </c>
      <c r="G21" s="9" t="n">
        <v>68.95999999999999</v>
      </c>
      <c r="H21" s="9" t="n">
        <v>85.09999999999999</v>
      </c>
      <c r="I21" s="9" t="n">
        <v>0.8103</v>
      </c>
      <c r="J21" s="9" t="inlineStr">
        <is>
          <t>propio</t>
        </is>
      </c>
      <c r="K21" s="8" t="n"/>
      <c r="L21" s="11">
        <f>IF(F21=0,"",E21/F21)</f>
        <v/>
      </c>
      <c r="M21" s="11">
        <f>IF(ISNUMBER(L21),ROUND(L21-G21,4),"")</f>
        <v/>
      </c>
      <c r="N21" s="11">
        <f>IF(H21=0,"",G21/H21)</f>
        <v/>
      </c>
      <c r="O21" s="11">
        <f>IF(ISNUMBER(N21),ROUND(N21-I21,4),"")</f>
        <v/>
      </c>
    </row>
    <row r="22">
      <c r="A22" s="6" t="inlineStr">
        <is>
          <t>barita</t>
        </is>
      </c>
      <c r="B22" s="6" t="inlineStr">
        <is>
          <t>no metalico/industrial</t>
        </is>
      </c>
      <c r="C22" s="6" t="n">
        <v>2010</v>
      </c>
      <c r="D22" s="6" t="inlineStr">
        <is>
          <t>251110</t>
        </is>
      </c>
      <c r="E22" s="6" t="n">
        <v>1827686</v>
      </c>
      <c r="F22" s="6" t="n">
        <v>24574.651</v>
      </c>
      <c r="G22" s="6" t="n">
        <v>74.37</v>
      </c>
      <c r="H22" s="6" t="n">
        <v>86.2</v>
      </c>
      <c r="I22" s="6" t="n">
        <v>0.8628</v>
      </c>
      <c r="J22" s="6" t="inlineStr">
        <is>
          <t>propio</t>
        </is>
      </c>
      <c r="K22" s="5" t="n"/>
      <c r="L22" s="11">
        <f>IF(F22=0,"",E22/F22)</f>
        <v/>
      </c>
      <c r="M22" s="11">
        <f>IF(ISNUMBER(L22),ROUND(L22-G22,4),"")</f>
        <v/>
      </c>
      <c r="N22" s="11">
        <f>IF(H22=0,"",G22/H22)</f>
        <v/>
      </c>
      <c r="O22" s="11">
        <f>IF(ISNUMBER(N22),ROUND(N22-I22,4),"")</f>
        <v/>
      </c>
    </row>
    <row r="23">
      <c r="A23" s="9" t="inlineStr">
        <is>
          <t>barita</t>
        </is>
      </c>
      <c r="B23" s="9" t="inlineStr">
        <is>
          <t>no metalico/industrial</t>
        </is>
      </c>
      <c r="C23" s="9" t="n">
        <v>2011</v>
      </c>
      <c r="D23" s="9" t="inlineStr">
        <is>
          <t>251110</t>
        </is>
      </c>
      <c r="E23" s="9" t="n">
        <v>4366662</v>
      </c>
      <c r="F23" s="9" t="n">
        <v>55574.556</v>
      </c>
      <c r="G23" s="9" t="n">
        <v>78.56999999999999</v>
      </c>
      <c r="H23" s="9" t="n">
        <v>98.59999999999999</v>
      </c>
      <c r="I23" s="9" t="n">
        <v>0.7969000000000001</v>
      </c>
      <c r="J23" s="9" t="inlineStr">
        <is>
          <t>propio</t>
        </is>
      </c>
      <c r="K23" s="8" t="n"/>
      <c r="L23" s="11">
        <f>IF(F23=0,"",E23/F23)</f>
        <v/>
      </c>
      <c r="M23" s="11">
        <f>IF(ISNUMBER(L23),ROUND(L23-G23,4),"")</f>
        <v/>
      </c>
      <c r="N23" s="11">
        <f>IF(H23=0,"",G23/H23)</f>
        <v/>
      </c>
      <c r="O23" s="11">
        <f>IF(ISNUMBER(N23),ROUND(N23-I23,4),"")</f>
        <v/>
      </c>
    </row>
    <row r="24">
      <c r="A24" s="6" t="inlineStr">
        <is>
          <t>barita</t>
        </is>
      </c>
      <c r="B24" s="6" t="inlineStr">
        <is>
          <t>no metalico/industrial</t>
        </is>
      </c>
      <c r="C24" s="6" t="n">
        <v>2012</v>
      </c>
      <c r="D24" s="6" t="inlineStr">
        <is>
          <t>251110</t>
        </is>
      </c>
      <c r="E24" s="6" t="n">
        <v>12563124</v>
      </c>
      <c r="F24" s="6" t="n">
        <v>134655.952</v>
      </c>
      <c r="G24" s="6" t="n">
        <v>93.3</v>
      </c>
      <c r="H24" s="6" t="n">
        <v>141</v>
      </c>
      <c r="I24" s="6" t="n">
        <v>0.6617</v>
      </c>
      <c r="J24" s="6" t="inlineStr">
        <is>
          <t>propio</t>
        </is>
      </c>
      <c r="K24" s="5" t="n"/>
      <c r="L24" s="11">
        <f>IF(F24=0,"",E24/F24)</f>
        <v/>
      </c>
      <c r="M24" s="11">
        <f>IF(ISNUMBER(L24),ROUND(L24-G24,4),"")</f>
        <v/>
      </c>
      <c r="N24" s="11">
        <f>IF(H24=0,"",G24/H24)</f>
        <v/>
      </c>
      <c r="O24" s="11">
        <f>IF(ISNUMBER(N24),ROUND(N24-I24,4),"")</f>
        <v/>
      </c>
    </row>
    <row r="25">
      <c r="A25" s="9" t="inlineStr">
        <is>
          <t>barita</t>
        </is>
      </c>
      <c r="B25" s="9" t="inlineStr">
        <is>
          <t>no metalico/industrial</t>
        </is>
      </c>
      <c r="C25" s="9" t="n">
        <v>2013</v>
      </c>
      <c r="D25" s="9" t="inlineStr">
        <is>
          <t>251110</t>
        </is>
      </c>
      <c r="E25" s="9" t="n">
        <v>28863901</v>
      </c>
      <c r="F25" s="9" t="n">
        <v>285870.783</v>
      </c>
      <c r="G25" s="9" t="n">
        <v>100.97</v>
      </c>
      <c r="H25" s="9" t="n">
        <v>133</v>
      </c>
      <c r="I25" s="9" t="n">
        <v>0.7592</v>
      </c>
      <c r="J25" s="9" t="inlineStr">
        <is>
          <t>propio</t>
        </is>
      </c>
      <c r="K25" s="8" t="n"/>
      <c r="L25" s="11">
        <f>IF(F25=0,"",E25/F25)</f>
        <v/>
      </c>
      <c r="M25" s="11">
        <f>IF(ISNUMBER(L25),ROUND(L25-G25,4),"")</f>
        <v/>
      </c>
      <c r="N25" s="11">
        <f>IF(H25=0,"",G25/H25)</f>
        <v/>
      </c>
      <c r="O25" s="11">
        <f>IF(ISNUMBER(N25),ROUND(N25-I25,4),"")</f>
        <v/>
      </c>
    </row>
    <row r="26">
      <c r="A26" s="6" t="inlineStr">
        <is>
          <t>barita</t>
        </is>
      </c>
      <c r="B26" s="6" t="inlineStr">
        <is>
          <t>no metalico/industrial</t>
        </is>
      </c>
      <c r="C26" s="6" t="n">
        <v>2014</v>
      </c>
      <c r="D26" s="6" t="inlineStr">
        <is>
          <t>251110</t>
        </is>
      </c>
      <c r="E26" s="6" t="n">
        <v>41902901</v>
      </c>
      <c r="F26" s="6" t="n">
        <v>132223.306</v>
      </c>
      <c r="G26" s="6" t="n">
        <v>316.91</v>
      </c>
      <c r="H26" s="6" t="n">
        <v>130</v>
      </c>
      <c r="I26" s="6" t="n">
        <v>2.4378</v>
      </c>
      <c r="J26" s="6" t="inlineStr">
        <is>
          <t>espejo</t>
        </is>
      </c>
      <c r="K26" s="5" t="inlineStr">
        <is>
          <t>numerador por ESPEJO (importaciones de socios desde Mexico; CIF, posible sesgo al alza)</t>
        </is>
      </c>
      <c r="L26" s="11">
        <f>IF(F26=0,"",E26/F26)</f>
        <v/>
      </c>
      <c r="M26" s="11">
        <f>IF(ISNUMBER(L26),ROUND(L26-G26,4),"")</f>
        <v/>
      </c>
      <c r="N26" s="11">
        <f>IF(H26=0,"",G26/H26)</f>
        <v/>
      </c>
      <c r="O26" s="11">
        <f>IF(ISNUMBER(N26),ROUND(N26-I26,4),"")</f>
        <v/>
      </c>
    </row>
    <row r="27">
      <c r="A27" s="9" t="inlineStr">
        <is>
          <t>barita</t>
        </is>
      </c>
      <c r="B27" s="9" t="inlineStr">
        <is>
          <t>no metalico/industrial</t>
        </is>
      </c>
      <c r="C27" s="9" t="n">
        <v>2015</v>
      </c>
      <c r="D27" s="9" t="inlineStr">
        <is>
          <t>251110</t>
        </is>
      </c>
      <c r="E27" s="9" t="n">
        <v>1595323</v>
      </c>
      <c r="F27" s="9" t="n">
        <v>6381.292</v>
      </c>
      <c r="G27" s="9" t="n">
        <v>250</v>
      </c>
      <c r="H27" s="9" t="n">
        <v>125</v>
      </c>
      <c r="I27" s="9" t="n">
        <v>2</v>
      </c>
      <c r="J27" s="9" t="inlineStr">
        <is>
          <t>propio</t>
        </is>
      </c>
      <c r="K27" s="8" t="n"/>
      <c r="L27" s="11">
        <f>IF(F27=0,"",E27/F27)</f>
        <v/>
      </c>
      <c r="M27" s="11">
        <f>IF(ISNUMBER(L27),ROUND(L27-G27,4),"")</f>
        <v/>
      </c>
      <c r="N27" s="11">
        <f>IF(H27=0,"",G27/H27)</f>
        <v/>
      </c>
      <c r="O27" s="11">
        <f>IF(ISNUMBER(N27),ROUND(N27-I27,4),"")</f>
        <v/>
      </c>
    </row>
    <row r="28">
      <c r="A28" s="6" t="inlineStr">
        <is>
          <t>barita</t>
        </is>
      </c>
      <c r="B28" s="6" t="inlineStr">
        <is>
          <t>no metalico/industrial</t>
        </is>
      </c>
      <c r="C28" s="6" t="n">
        <v>2016</v>
      </c>
      <c r="D28" s="6" t="inlineStr">
        <is>
          <t>251110</t>
        </is>
      </c>
      <c r="E28" s="6" t="n">
        <v>17601565.25</v>
      </c>
      <c r="F28" s="6" t="n">
        <v>139552.839</v>
      </c>
      <c r="G28" s="6" t="n">
        <v>126.13</v>
      </c>
      <c r="H28" s="6" t="n">
        <v>130</v>
      </c>
      <c r="I28" s="6" t="n">
        <v>0.9702</v>
      </c>
      <c r="J28" s="6" t="inlineStr">
        <is>
          <t>espejo</t>
        </is>
      </c>
      <c r="K28" s="5" t="inlineStr">
        <is>
          <t>numerador por ESPEJO (importaciones de socios desde Mexico; CIF, posible sesgo al alza)</t>
        </is>
      </c>
      <c r="L28" s="11">
        <f>IF(F28=0,"",E28/F28)</f>
        <v/>
      </c>
      <c r="M28" s="11">
        <f>IF(ISNUMBER(L28),ROUND(L28-G28,4),"")</f>
        <v/>
      </c>
      <c r="N28" s="11">
        <f>IF(H28=0,"",G28/H28)</f>
        <v/>
      </c>
      <c r="O28" s="11">
        <f>IF(ISNUMBER(N28),ROUND(N28-I28,4),"")</f>
        <v/>
      </c>
    </row>
    <row r="29">
      <c r="A29" s="9" t="inlineStr">
        <is>
          <t>barita</t>
        </is>
      </c>
      <c r="B29" s="9" t="inlineStr">
        <is>
          <t>no metalico/industrial</t>
        </is>
      </c>
      <c r="C29" s="9" t="n">
        <v>2017</v>
      </c>
      <c r="D29" s="9" t="inlineStr">
        <is>
          <t>251110</t>
        </is>
      </c>
      <c r="E29" s="9" t="n">
        <v>41792987.31</v>
      </c>
      <c r="F29" s="9" t="n">
        <v>328307.02</v>
      </c>
      <c r="G29" s="9" t="n">
        <v>127.3</v>
      </c>
      <c r="H29" s="9" t="n">
        <v>100</v>
      </c>
      <c r="I29" s="9" t="n">
        <v>1.273</v>
      </c>
      <c r="J29" s="9" t="inlineStr">
        <is>
          <t>espejo</t>
        </is>
      </c>
      <c r="K29" s="8" t="inlineStr">
        <is>
          <t>numerador por ESPEJO (importaciones de socios desde Mexico; CIF, posible sesgo al alza)</t>
        </is>
      </c>
      <c r="L29" s="11">
        <f>IF(F29=0,"",E29/F29)</f>
        <v/>
      </c>
      <c r="M29" s="11">
        <f>IF(ISNUMBER(L29),ROUND(L29-G29,4),"")</f>
        <v/>
      </c>
      <c r="N29" s="11">
        <f>IF(H29=0,"",G29/H29)</f>
        <v/>
      </c>
      <c r="O29" s="11">
        <f>IF(ISNUMBER(N29),ROUND(N29-I29,4),"")</f>
        <v/>
      </c>
    </row>
    <row r="30">
      <c r="A30" s="6" t="inlineStr">
        <is>
          <t>barita</t>
        </is>
      </c>
      <c r="B30" s="6" t="inlineStr">
        <is>
          <t>no metalico/industrial</t>
        </is>
      </c>
      <c r="C30" s="6" t="n">
        <v>2018</v>
      </c>
      <c r="D30" s="6" t="inlineStr">
        <is>
          <t>251110</t>
        </is>
      </c>
      <c r="E30" s="6" t="n">
        <v>46377152.31</v>
      </c>
      <c r="F30" s="6" t="n">
        <v>339574.449</v>
      </c>
      <c r="G30" s="6" t="n">
        <v>136.57</v>
      </c>
      <c r="H30" s="6" t="n">
        <v>110</v>
      </c>
      <c r="I30" s="6" t="n">
        <v>1.2416</v>
      </c>
      <c r="J30" s="6" t="inlineStr">
        <is>
          <t>espejo</t>
        </is>
      </c>
      <c r="K30" s="5" t="inlineStr">
        <is>
          <t>numerador por ESPEJO (importaciones de socios desde Mexico; CIF, posible sesgo al alza)</t>
        </is>
      </c>
      <c r="L30" s="11">
        <f>IF(F30=0,"",E30/F30)</f>
        <v/>
      </c>
      <c r="M30" s="11">
        <f>IF(ISNUMBER(L30),ROUND(L30-G30,4),"")</f>
        <v/>
      </c>
      <c r="N30" s="11">
        <f>IF(H30=0,"",G30/H30)</f>
        <v/>
      </c>
      <c r="O30" s="11">
        <f>IF(ISNUMBER(N30),ROUND(N30-I30,4),"")</f>
        <v/>
      </c>
    </row>
    <row r="31">
      <c r="A31" s="9" t="inlineStr">
        <is>
          <t>barita</t>
        </is>
      </c>
      <c r="B31" s="9" t="inlineStr">
        <is>
          <t>no metalico/industrial</t>
        </is>
      </c>
      <c r="C31" s="9" t="n">
        <v>2019</v>
      </c>
      <c r="D31" s="9" t="inlineStr">
        <is>
          <t>251110</t>
        </is>
      </c>
      <c r="E31" s="9" t="n">
        <v>49841738.99</v>
      </c>
      <c r="F31" s="9" t="n">
        <v>378413.316</v>
      </c>
      <c r="G31" s="9" t="n">
        <v>131.71</v>
      </c>
      <c r="H31" s="9" t="n">
        <v>113</v>
      </c>
      <c r="I31" s="9" t="n">
        <v>1.1656</v>
      </c>
      <c r="J31" s="9" t="inlineStr">
        <is>
          <t>espejo</t>
        </is>
      </c>
      <c r="K31" s="8" t="inlineStr">
        <is>
          <t>numerador por ESPEJO (importaciones de socios desde Mexico; CIF, posible sesgo al alza)</t>
        </is>
      </c>
      <c r="L31" s="11">
        <f>IF(F31=0,"",E31/F31)</f>
        <v/>
      </c>
      <c r="M31" s="11">
        <f>IF(ISNUMBER(L31),ROUND(L31-G31,4),"")</f>
        <v/>
      </c>
      <c r="N31" s="11">
        <f>IF(H31=0,"",G31/H31)</f>
        <v/>
      </c>
      <c r="O31" s="11">
        <f>IF(ISNUMBER(N31),ROUND(N31-I31,4),"")</f>
        <v/>
      </c>
    </row>
    <row r="32">
      <c r="A32" s="6" t="inlineStr">
        <is>
          <t>barita</t>
        </is>
      </c>
      <c r="B32" s="6" t="inlineStr">
        <is>
          <t>no metalico/industrial</t>
        </is>
      </c>
      <c r="C32" s="6" t="n">
        <v>2020</v>
      </c>
      <c r="D32" s="6" t="inlineStr">
        <is>
          <t>251110</t>
        </is>
      </c>
      <c r="E32" s="6" t="n">
        <v>34531481.98</v>
      </c>
      <c r="F32" s="6" t="n">
        <v>249004.05</v>
      </c>
      <c r="G32" s="6" t="n">
        <v>138.68</v>
      </c>
      <c r="H32" s="6" t="n">
        <v>115.53</v>
      </c>
      <c r="I32" s="6" t="n">
        <v>1.2004</v>
      </c>
      <c r="J32" s="6" t="inlineStr">
        <is>
          <t>espejo</t>
        </is>
      </c>
      <c r="K32" s="5" t="inlineStr">
        <is>
          <t>numerador por ESPEJO (importaciones de socios desde Mexico; CIF, posible sesgo al alza)</t>
        </is>
      </c>
      <c r="L32" s="11">
        <f>IF(F32=0,"",E32/F32)</f>
        <v/>
      </c>
      <c r="M32" s="11">
        <f>IF(ISNUMBER(L32),ROUND(L32-G32,4),"")</f>
        <v/>
      </c>
      <c r="N32" s="11">
        <f>IF(H32=0,"",G32/H32)</f>
        <v/>
      </c>
      <c r="O32" s="11">
        <f>IF(ISNUMBER(N32),ROUND(N32-I32,4),"")</f>
        <v/>
      </c>
    </row>
    <row r="33">
      <c r="A33" s="9" t="inlineStr">
        <is>
          <t>barita</t>
        </is>
      </c>
      <c r="B33" s="9" t="inlineStr">
        <is>
          <t>no metalico/industrial</t>
        </is>
      </c>
      <c r="C33" s="9" t="n">
        <v>2021</v>
      </c>
      <c r="D33" s="9" t="inlineStr">
        <is>
          <t>251110</t>
        </is>
      </c>
      <c r="E33" s="9" t="n">
        <v>19124233</v>
      </c>
      <c r="F33" s="9" t="n">
        <v>183157.85</v>
      </c>
      <c r="G33" s="9" t="n">
        <v>104.41</v>
      </c>
      <c r="H33" s="9" t="n">
        <v>105.42</v>
      </c>
      <c r="I33" s="9" t="n">
        <v>0.9903999999999999</v>
      </c>
      <c r="J33" s="9" t="inlineStr">
        <is>
          <t>propio</t>
        </is>
      </c>
      <c r="K33" s="8" t="n"/>
      <c r="L33" s="11">
        <f>IF(F33=0,"",E33/F33)</f>
        <v/>
      </c>
      <c r="M33" s="11">
        <f>IF(ISNUMBER(L33),ROUND(L33-G33,4),"")</f>
        <v/>
      </c>
      <c r="N33" s="11">
        <f>IF(H33=0,"",G33/H33)</f>
        <v/>
      </c>
      <c r="O33" s="11">
        <f>IF(ISNUMBER(N33),ROUND(N33-I33,4),"")</f>
        <v/>
      </c>
    </row>
    <row r="34">
      <c r="A34" s="6" t="inlineStr">
        <is>
          <t>barita</t>
        </is>
      </c>
      <c r="B34" s="6" t="inlineStr">
        <is>
          <t>no metalico/industrial</t>
        </is>
      </c>
      <c r="C34" s="6" t="n">
        <v>2022</v>
      </c>
      <c r="D34" s="6" t="inlineStr">
        <is>
          <t>251110</t>
        </is>
      </c>
      <c r="E34" s="6" t="n">
        <v>27236605</v>
      </c>
      <c r="F34" s="6" t="n">
        <v>231514.311</v>
      </c>
      <c r="G34" s="6" t="n">
        <v>117.65</v>
      </c>
      <c r="H34" s="6" t="n">
        <v>91.54000000000001</v>
      </c>
      <c r="I34" s="6" t="n">
        <v>1.2852</v>
      </c>
      <c r="J34" s="6" t="inlineStr">
        <is>
          <t>propio</t>
        </is>
      </c>
      <c r="K34" s="5" t="n"/>
      <c r="L34" s="11">
        <f>IF(F34=0,"",E34/F34)</f>
        <v/>
      </c>
      <c r="M34" s="11">
        <f>IF(ISNUMBER(L34),ROUND(L34-G34,4),"")</f>
        <v/>
      </c>
      <c r="N34" s="11">
        <f>IF(H34=0,"",G34/H34)</f>
        <v/>
      </c>
      <c r="O34" s="11">
        <f>IF(ISNUMBER(N34),ROUND(N34-I34,4),"")</f>
        <v/>
      </c>
    </row>
    <row r="35">
      <c r="A35" s="9" t="inlineStr">
        <is>
          <t>barita</t>
        </is>
      </c>
      <c r="B35" s="9" t="inlineStr">
        <is>
          <t>no metalico/industrial</t>
        </is>
      </c>
      <c r="C35" s="9" t="n">
        <v>2023</v>
      </c>
      <c r="D35" s="9" t="inlineStr">
        <is>
          <t>251110</t>
        </is>
      </c>
      <c r="E35" s="9" t="n">
        <v>26073174</v>
      </c>
      <c r="F35" s="9" t="n">
        <v>217538.9</v>
      </c>
      <c r="G35" s="9" t="n">
        <v>119.86</v>
      </c>
      <c r="H35" s="9" t="n">
        <v>137.62</v>
      </c>
      <c r="I35" s="9" t="n">
        <v>0.8709</v>
      </c>
      <c r="J35" s="9" t="inlineStr">
        <is>
          <t>propio</t>
        </is>
      </c>
      <c r="K35" s="8" t="n"/>
      <c r="L35" s="11">
        <f>IF(F35=0,"",E35/F35)</f>
        <v/>
      </c>
      <c r="M35" s="11">
        <f>IF(ISNUMBER(L35),ROUND(L35-G35,4),"")</f>
        <v/>
      </c>
      <c r="N35" s="11">
        <f>IF(H35=0,"",G35/H35)</f>
        <v/>
      </c>
      <c r="O35" s="11">
        <f>IF(ISNUMBER(N35),ROUND(N35-I35,4),"")</f>
        <v/>
      </c>
    </row>
    <row r="36">
      <c r="A36" s="6" t="inlineStr">
        <is>
          <t>barita</t>
        </is>
      </c>
      <c r="B36" s="6" t="inlineStr">
        <is>
          <t>no metalico/industrial</t>
        </is>
      </c>
      <c r="C36" s="6" t="n">
        <v>2024</v>
      </c>
      <c r="D36" s="6" t="inlineStr">
        <is>
          <t>251110</t>
        </is>
      </c>
      <c r="E36" s="6" t="n">
        <v>13093040</v>
      </c>
      <c r="F36" s="6" t="n">
        <v>106562.4</v>
      </c>
      <c r="G36" s="6" t="n">
        <v>122.87</v>
      </c>
      <c r="H36" s="6" t="n">
        <v>132.57</v>
      </c>
      <c r="I36" s="6" t="n">
        <v>0.9268</v>
      </c>
      <c r="J36" s="6" t="inlineStr">
        <is>
          <t>propio</t>
        </is>
      </c>
      <c r="K36" s="5" t="n"/>
      <c r="L36" s="11">
        <f>IF(F36=0,"",E36/F36)</f>
        <v/>
      </c>
      <c r="M36" s="11">
        <f>IF(ISNUMBER(L36),ROUND(L36-G36,4),"")</f>
        <v/>
      </c>
      <c r="N36" s="11">
        <f>IF(H36=0,"",G36/H36)</f>
        <v/>
      </c>
      <c r="O36" s="11">
        <f>IF(ISNUMBER(N36),ROUND(N36-I36,4),"")</f>
        <v/>
      </c>
    </row>
    <row r="37">
      <c r="A37" s="9" t="inlineStr">
        <is>
          <t>barita</t>
        </is>
      </c>
      <c r="B37" s="9" t="inlineStr">
        <is>
          <t>no metalico/industrial</t>
        </is>
      </c>
      <c r="C37" s="9" t="n">
        <v>2025</v>
      </c>
      <c r="D37" s="9" t="inlineStr">
        <is>
          <t>251110</t>
        </is>
      </c>
      <c r="E37" s="9" t="n">
        <v>27730976</v>
      </c>
      <c r="F37" s="9" t="n">
        <v>255119.244</v>
      </c>
      <c r="G37" s="9" t="n">
        <v>108.7</v>
      </c>
      <c r="H37" s="9" t="n">
        <v>132.57</v>
      </c>
      <c r="I37" s="9" t="n">
        <v>0.8199</v>
      </c>
      <c r="J37" s="9" t="inlineStr">
        <is>
          <t>propio</t>
        </is>
      </c>
      <c r="K37" s="8" t="n"/>
      <c r="L37" s="11">
        <f>IF(F37=0,"",E37/F37)</f>
        <v/>
      </c>
      <c r="M37" s="11">
        <f>IF(ISNUMBER(L37),ROUND(L37-G37,4),"")</f>
        <v/>
      </c>
      <c r="N37" s="11">
        <f>IF(H37=0,"",G37/H37)</f>
        <v/>
      </c>
      <c r="O37" s="11">
        <f>IF(ISNUMBER(N37),ROUND(N37-I37,4),"")</f>
        <v/>
      </c>
    </row>
    <row r="38">
      <c r="A38" s="6" t="inlineStr">
        <is>
          <t>cobre</t>
        </is>
      </c>
      <c r="B38" s="6" t="inlineStr">
        <is>
          <t>metal base</t>
        </is>
      </c>
      <c r="C38" s="6" t="n">
        <v>1992</v>
      </c>
      <c r="D38" s="6" t="inlineStr">
        <is>
          <t>2603</t>
        </is>
      </c>
      <c r="E38" s="6" t="n">
        <v>31605000</v>
      </c>
      <c r="F38" s="6" t="n">
        <v>67482.216</v>
      </c>
      <c r="G38" s="6" t="n">
        <v>468.35</v>
      </c>
      <c r="H38" s="6" t="n">
        <v>2370</v>
      </c>
      <c r="I38" s="6" t="n">
        <v>0.1976</v>
      </c>
      <c r="J38" s="6" t="inlineStr">
        <is>
          <t>propio</t>
        </is>
      </c>
      <c r="K38" s="5" t="n"/>
      <c r="L38" s="11">
        <f>IF(F38=0,"",E38/F38)</f>
        <v/>
      </c>
      <c r="M38" s="11">
        <f>IF(ISNUMBER(L38),ROUND(L38-G38,4),"")</f>
        <v/>
      </c>
      <c r="N38" s="11">
        <f>IF(H38=0,"",G38/H38)</f>
        <v/>
      </c>
      <c r="O38" s="11">
        <f>IF(ISNUMBER(N38),ROUND(N38-I38,4),"")</f>
        <v/>
      </c>
    </row>
    <row r="39">
      <c r="A39" s="9" t="inlineStr">
        <is>
          <t>cobre</t>
        </is>
      </c>
      <c r="B39" s="9" t="inlineStr">
        <is>
          <t>metal base</t>
        </is>
      </c>
      <c r="C39" s="9" t="n">
        <v>1993</v>
      </c>
      <c r="D39" s="9" t="inlineStr">
        <is>
          <t>2603</t>
        </is>
      </c>
      <c r="E39" s="9" t="n">
        <v>61000</v>
      </c>
      <c r="F39" s="9" t="n">
        <v>82.925</v>
      </c>
      <c r="G39" s="9" t="n">
        <v>735.6</v>
      </c>
      <c r="H39" s="9" t="n">
        <v>2020</v>
      </c>
      <c r="I39" s="9" t="n">
        <v>0.3642</v>
      </c>
      <c r="J39" s="9" t="inlineStr">
        <is>
          <t>propio</t>
        </is>
      </c>
      <c r="K39" s="8" t="n"/>
      <c r="L39" s="11">
        <f>IF(F39=0,"",E39/F39)</f>
        <v/>
      </c>
      <c r="M39" s="11">
        <f>IF(ISNUMBER(L39),ROUND(L39-G39,4),"")</f>
        <v/>
      </c>
      <c r="N39" s="11">
        <f>IF(H39=0,"",G39/H39)</f>
        <v/>
      </c>
      <c r="O39" s="11">
        <f>IF(ISNUMBER(N39),ROUND(N39-I39,4),"")</f>
        <v/>
      </c>
    </row>
    <row r="40">
      <c r="A40" s="6" t="inlineStr">
        <is>
          <t>cobre</t>
        </is>
      </c>
      <c r="B40" s="6" t="inlineStr">
        <is>
          <t>metal base</t>
        </is>
      </c>
      <c r="C40" s="6" t="n">
        <v>1994</v>
      </c>
      <c r="D40" s="6" t="inlineStr">
        <is>
          <t>2603</t>
        </is>
      </c>
      <c r="E40" s="6" t="n">
        <v>4748557</v>
      </c>
      <c r="F40" s="6" t="n">
        <v>8304.535</v>
      </c>
      <c r="G40" s="6" t="n">
        <v>571.8</v>
      </c>
      <c r="H40" s="6" t="n">
        <v>2450</v>
      </c>
      <c r="I40" s="6" t="n">
        <v>0.2334</v>
      </c>
      <c r="J40" s="6" t="inlineStr">
        <is>
          <t>propio</t>
        </is>
      </c>
      <c r="K40" s="5" t="n"/>
      <c r="L40" s="11">
        <f>IF(F40=0,"",E40/F40)</f>
        <v/>
      </c>
      <c r="M40" s="11">
        <f>IF(ISNUMBER(L40),ROUND(L40-G40,4),"")</f>
        <v/>
      </c>
      <c r="N40" s="11">
        <f>IF(H40=0,"",G40/H40)</f>
        <v/>
      </c>
      <c r="O40" s="11">
        <f>IF(ISNUMBER(N40),ROUND(N40-I40,4),"")</f>
        <v/>
      </c>
    </row>
    <row r="41">
      <c r="A41" s="9" t="inlineStr">
        <is>
          <t>cobre</t>
        </is>
      </c>
      <c r="B41" s="9" t="inlineStr">
        <is>
          <t>metal base</t>
        </is>
      </c>
      <c r="C41" s="9" t="n">
        <v>1995</v>
      </c>
      <c r="D41" s="9" t="inlineStr">
        <is>
          <t>2603</t>
        </is>
      </c>
      <c r="E41" s="9" t="n">
        <v>20182000</v>
      </c>
      <c r="F41" s="9" t="n">
        <v>31652.52</v>
      </c>
      <c r="G41" s="9" t="n">
        <v>637.61</v>
      </c>
      <c r="H41" s="9" t="n">
        <v>3050</v>
      </c>
      <c r="I41" s="9" t="n">
        <v>0.2091</v>
      </c>
      <c r="J41" s="9" t="inlineStr">
        <is>
          <t>propio</t>
        </is>
      </c>
      <c r="K41" s="8" t="n"/>
      <c r="L41" s="11">
        <f>IF(F41=0,"",E41/F41)</f>
        <v/>
      </c>
      <c r="M41" s="11">
        <f>IF(ISNUMBER(L41),ROUND(L41-G41,4),"")</f>
        <v/>
      </c>
      <c r="N41" s="11">
        <f>IF(H41=0,"",G41/H41)</f>
        <v/>
      </c>
      <c r="O41" s="11">
        <f>IF(ISNUMBER(N41),ROUND(N41-I41,4),"")</f>
        <v/>
      </c>
    </row>
    <row r="42">
      <c r="A42" s="6" t="inlineStr">
        <is>
          <t>cobre</t>
        </is>
      </c>
      <c r="B42" s="6" t="inlineStr">
        <is>
          <t>metal base</t>
        </is>
      </c>
      <c r="C42" s="6" t="n">
        <v>1996</v>
      </c>
      <c r="D42" s="6" t="inlineStr">
        <is>
          <t>2603</t>
        </is>
      </c>
      <c r="E42" s="6" t="n">
        <v>15994984</v>
      </c>
      <c r="F42" s="6" t="n">
        <v>53179.452</v>
      </c>
      <c r="G42" s="6" t="n">
        <v>300.77</v>
      </c>
      <c r="H42" s="6" t="n">
        <v>2400</v>
      </c>
      <c r="I42" s="6" t="n">
        <v>0.1253</v>
      </c>
      <c r="J42" s="6" t="inlineStr">
        <is>
          <t>propio</t>
        </is>
      </c>
      <c r="K42" s="5" t="n"/>
      <c r="L42" s="11">
        <f>IF(F42=0,"",E42/F42)</f>
        <v/>
      </c>
      <c r="M42" s="11">
        <f>IF(ISNUMBER(L42),ROUND(L42-G42,4),"")</f>
        <v/>
      </c>
      <c r="N42" s="11">
        <f>IF(H42=0,"",G42/H42)</f>
        <v/>
      </c>
      <c r="O42" s="11">
        <f>IF(ISNUMBER(N42),ROUND(N42-I42,4),"")</f>
        <v/>
      </c>
    </row>
    <row r="43">
      <c r="A43" s="9" t="inlineStr">
        <is>
          <t>cobre</t>
        </is>
      </c>
      <c r="B43" s="9" t="inlineStr">
        <is>
          <t>metal base</t>
        </is>
      </c>
      <c r="C43" s="9" t="n">
        <v>1997</v>
      </c>
      <c r="D43" s="9" t="inlineStr">
        <is>
          <t>2603</t>
        </is>
      </c>
      <c r="E43" s="9" t="n">
        <v>18588480</v>
      </c>
      <c r="F43" s="9" t="n">
        <v>44533.856</v>
      </c>
      <c r="G43" s="9" t="n">
        <v>417.4</v>
      </c>
      <c r="H43" s="9" t="n">
        <v>2360</v>
      </c>
      <c r="I43" s="9" t="n">
        <v>0.1769</v>
      </c>
      <c r="J43" s="9" t="inlineStr">
        <is>
          <t>propio</t>
        </is>
      </c>
      <c r="K43" s="8" t="n"/>
      <c r="L43" s="11">
        <f>IF(F43=0,"",E43/F43)</f>
        <v/>
      </c>
      <c r="M43" s="11">
        <f>IF(ISNUMBER(L43),ROUND(L43-G43,4),"")</f>
        <v/>
      </c>
      <c r="N43" s="11">
        <f>IF(H43=0,"",G43/H43)</f>
        <v/>
      </c>
      <c r="O43" s="11">
        <f>IF(ISNUMBER(N43),ROUND(N43-I43,4),"")</f>
        <v/>
      </c>
    </row>
    <row r="44">
      <c r="A44" s="6" t="inlineStr">
        <is>
          <t>cobre</t>
        </is>
      </c>
      <c r="B44" s="6" t="inlineStr">
        <is>
          <t>metal base</t>
        </is>
      </c>
      <c r="C44" s="6" t="n">
        <v>1998</v>
      </c>
      <c r="D44" s="6" t="inlineStr">
        <is>
          <t>2603</t>
        </is>
      </c>
      <c r="E44" s="6" t="n">
        <v>25456432</v>
      </c>
      <c r="F44" s="6" t="n">
        <v>68722.216</v>
      </c>
      <c r="G44" s="6" t="n">
        <v>370.43</v>
      </c>
      <c r="H44" s="6" t="n">
        <v>1730</v>
      </c>
      <c r="I44" s="6" t="n">
        <v>0.2141</v>
      </c>
      <c r="J44" s="6" t="inlineStr">
        <is>
          <t>propio</t>
        </is>
      </c>
      <c r="K44" s="5" t="n"/>
      <c r="L44" s="11">
        <f>IF(F44=0,"",E44/F44)</f>
        <v/>
      </c>
      <c r="M44" s="11">
        <f>IF(ISNUMBER(L44),ROUND(L44-G44,4),"")</f>
        <v/>
      </c>
      <c r="N44" s="11">
        <f>IF(H44=0,"",G44/H44)</f>
        <v/>
      </c>
      <c r="O44" s="11">
        <f>IF(ISNUMBER(N44),ROUND(N44-I44,4),"")</f>
        <v/>
      </c>
    </row>
    <row r="45">
      <c r="A45" s="9" t="inlineStr">
        <is>
          <t>cobre</t>
        </is>
      </c>
      <c r="B45" s="9" t="inlineStr">
        <is>
          <t>metal base</t>
        </is>
      </c>
      <c r="C45" s="9" t="n">
        <v>1999</v>
      </c>
      <c r="D45" s="9" t="inlineStr">
        <is>
          <t>2603</t>
        </is>
      </c>
      <c r="E45" s="9" t="n">
        <v>24479468</v>
      </c>
      <c r="F45" s="9" t="n">
        <v>76845.84</v>
      </c>
      <c r="G45" s="9" t="n">
        <v>318.55</v>
      </c>
      <c r="H45" s="9" t="n">
        <v>1670</v>
      </c>
      <c r="I45" s="9" t="n">
        <v>0.1908</v>
      </c>
      <c r="J45" s="9" t="inlineStr">
        <is>
          <t>propio</t>
        </is>
      </c>
      <c r="K45" s="8" t="n"/>
      <c r="L45" s="11">
        <f>IF(F45=0,"",E45/F45)</f>
        <v/>
      </c>
      <c r="M45" s="11">
        <f>IF(ISNUMBER(L45),ROUND(L45-G45,4),"")</f>
        <v/>
      </c>
      <c r="N45" s="11">
        <f>IF(H45=0,"",G45/H45)</f>
        <v/>
      </c>
      <c r="O45" s="11">
        <f>IF(ISNUMBER(N45),ROUND(N45-I45,4),"")</f>
        <v/>
      </c>
    </row>
    <row r="46">
      <c r="A46" s="6" t="inlineStr">
        <is>
          <t>cobre</t>
        </is>
      </c>
      <c r="B46" s="6" t="inlineStr">
        <is>
          <t>metal base</t>
        </is>
      </c>
      <c r="C46" s="6" t="n">
        <v>2000</v>
      </c>
      <c r="D46" s="6" t="inlineStr">
        <is>
          <t>2603</t>
        </is>
      </c>
      <c r="E46" s="6" t="n">
        <v>115701455</v>
      </c>
      <c r="F46" s="6" t="n">
        <v>308619.55</v>
      </c>
      <c r="G46" s="6" t="n">
        <v>374.9</v>
      </c>
      <c r="H46" s="6" t="n">
        <v>1940</v>
      </c>
      <c r="I46" s="6" t="n">
        <v>0.1932</v>
      </c>
      <c r="J46" s="6" t="inlineStr">
        <is>
          <t>propio</t>
        </is>
      </c>
      <c r="K46" s="5" t="n"/>
      <c r="L46" s="11">
        <f>IF(F46=0,"",E46/F46)</f>
        <v/>
      </c>
      <c r="M46" s="11">
        <f>IF(ISNUMBER(L46),ROUND(L46-G46,4),"")</f>
        <v/>
      </c>
      <c r="N46" s="11">
        <f>IF(H46=0,"",G46/H46)</f>
        <v/>
      </c>
      <c r="O46" s="11">
        <f>IF(ISNUMBER(N46),ROUND(N46-I46,4),"")</f>
        <v/>
      </c>
    </row>
    <row r="47">
      <c r="A47" s="9" t="inlineStr">
        <is>
          <t>cobre</t>
        </is>
      </c>
      <c r="B47" s="9" t="inlineStr">
        <is>
          <t>metal base</t>
        </is>
      </c>
      <c r="C47" s="9" t="n">
        <v>2001</v>
      </c>
      <c r="D47" s="9" t="inlineStr">
        <is>
          <t>2603</t>
        </is>
      </c>
      <c r="E47" s="9" t="n">
        <v>39768255</v>
      </c>
      <c r="F47" s="9" t="n">
        <v>100142.909</v>
      </c>
      <c r="G47" s="9" t="n">
        <v>397.12</v>
      </c>
      <c r="H47" s="9" t="n">
        <v>1690</v>
      </c>
      <c r="I47" s="9" t="n">
        <v>0.235</v>
      </c>
      <c r="J47" s="9" t="inlineStr">
        <is>
          <t>propio</t>
        </is>
      </c>
      <c r="K47" s="8" t="n"/>
      <c r="L47" s="11">
        <f>IF(F47=0,"",E47/F47)</f>
        <v/>
      </c>
      <c r="M47" s="11">
        <f>IF(ISNUMBER(L47),ROUND(L47-G47,4),"")</f>
        <v/>
      </c>
      <c r="N47" s="11">
        <f>IF(H47=0,"",G47/H47)</f>
        <v/>
      </c>
      <c r="O47" s="11">
        <f>IF(ISNUMBER(N47),ROUND(N47-I47,4),"")</f>
        <v/>
      </c>
    </row>
    <row r="48">
      <c r="A48" s="6" t="inlineStr">
        <is>
          <t>cobre</t>
        </is>
      </c>
      <c r="B48" s="6" t="inlineStr">
        <is>
          <t>metal base</t>
        </is>
      </c>
      <c r="C48" s="6" t="n">
        <v>2002</v>
      </c>
      <c r="D48" s="6" t="inlineStr">
        <is>
          <t>2603</t>
        </is>
      </c>
      <c r="E48" s="6" t="n">
        <v>48017012</v>
      </c>
      <c r="F48" s="6" t="n">
        <v>137586.631</v>
      </c>
      <c r="G48" s="6" t="n">
        <v>348.99</v>
      </c>
      <c r="H48" s="6" t="n">
        <v>1670</v>
      </c>
      <c r="I48" s="6" t="n">
        <v>0.209</v>
      </c>
      <c r="J48" s="6" t="inlineStr">
        <is>
          <t>propio</t>
        </is>
      </c>
      <c r="K48" s="5" t="n"/>
      <c r="L48" s="11">
        <f>IF(F48=0,"",E48/F48)</f>
        <v/>
      </c>
      <c r="M48" s="11">
        <f>IF(ISNUMBER(L48),ROUND(L48-G48,4),"")</f>
        <v/>
      </c>
      <c r="N48" s="11">
        <f>IF(H48=0,"",G48/H48)</f>
        <v/>
      </c>
      <c r="O48" s="11">
        <f>IF(ISNUMBER(N48),ROUND(N48-I48,4),"")</f>
        <v/>
      </c>
    </row>
    <row r="49">
      <c r="A49" s="9" t="inlineStr">
        <is>
          <t>cobre</t>
        </is>
      </c>
      <c r="B49" s="9" t="inlineStr">
        <is>
          <t>metal base</t>
        </is>
      </c>
      <c r="C49" s="9" t="n">
        <v>2003</v>
      </c>
      <c r="D49" s="9" t="inlineStr">
        <is>
          <t>2603</t>
        </is>
      </c>
      <c r="E49" s="9" t="n">
        <v>55865611</v>
      </c>
      <c r="F49" s="9" t="n">
        <v>141089.31</v>
      </c>
      <c r="G49" s="9" t="n">
        <v>395.96</v>
      </c>
      <c r="H49" s="9" t="n">
        <v>1880</v>
      </c>
      <c r="I49" s="9" t="n">
        <v>0.2106</v>
      </c>
      <c r="J49" s="9" t="inlineStr">
        <is>
          <t>propio</t>
        </is>
      </c>
      <c r="K49" s="8" t="n"/>
      <c r="L49" s="11">
        <f>IF(F49=0,"",E49/F49)</f>
        <v/>
      </c>
      <c r="M49" s="11">
        <f>IF(ISNUMBER(L49),ROUND(L49-G49,4),"")</f>
        <v/>
      </c>
      <c r="N49" s="11">
        <f>IF(H49=0,"",G49/H49)</f>
        <v/>
      </c>
      <c r="O49" s="11">
        <f>IF(ISNUMBER(N49),ROUND(N49-I49,4),"")</f>
        <v/>
      </c>
    </row>
    <row r="50">
      <c r="A50" s="6" t="inlineStr">
        <is>
          <t>cobre</t>
        </is>
      </c>
      <c r="B50" s="6" t="inlineStr">
        <is>
          <t>metal base</t>
        </is>
      </c>
      <c r="C50" s="6" t="n">
        <v>2004</v>
      </c>
      <c r="D50" s="6" t="inlineStr">
        <is>
          <t>2603</t>
        </is>
      </c>
      <c r="E50" s="6" t="n">
        <v>142696018</v>
      </c>
      <c r="F50" s="6" t="n">
        <v>263406.575</v>
      </c>
      <c r="G50" s="6" t="n">
        <v>541.73</v>
      </c>
      <c r="H50" s="6" t="n">
        <v>2950</v>
      </c>
      <c r="I50" s="6" t="n">
        <v>0.1836</v>
      </c>
      <c r="J50" s="6" t="inlineStr">
        <is>
          <t>propio</t>
        </is>
      </c>
      <c r="K50" s="5" t="n"/>
      <c r="L50" s="11">
        <f>IF(F50=0,"",E50/F50)</f>
        <v/>
      </c>
      <c r="M50" s="11">
        <f>IF(ISNUMBER(L50),ROUND(L50-G50,4),"")</f>
        <v/>
      </c>
      <c r="N50" s="11">
        <f>IF(H50=0,"",G50/H50)</f>
        <v/>
      </c>
      <c r="O50" s="11">
        <f>IF(ISNUMBER(N50),ROUND(N50-I50,4),"")</f>
        <v/>
      </c>
    </row>
    <row r="51">
      <c r="A51" s="9" t="inlineStr">
        <is>
          <t>cobre</t>
        </is>
      </c>
      <c r="B51" s="9" t="inlineStr">
        <is>
          <t>metal base</t>
        </is>
      </c>
      <c r="C51" s="9" t="n">
        <v>2005</v>
      </c>
      <c r="D51" s="9" t="inlineStr">
        <is>
          <t>2603</t>
        </is>
      </c>
      <c r="E51" s="9" t="n">
        <v>89827731</v>
      </c>
      <c r="F51" s="9" t="n">
        <v>132100.853</v>
      </c>
      <c r="G51" s="9" t="n">
        <v>679.99</v>
      </c>
      <c r="H51" s="9" t="n">
        <v>3820</v>
      </c>
      <c r="I51" s="9" t="n">
        <v>0.178</v>
      </c>
      <c r="J51" s="9" t="inlineStr">
        <is>
          <t>propio</t>
        </is>
      </c>
      <c r="K51" s="8" t="n"/>
      <c r="L51" s="11">
        <f>IF(F51=0,"",E51/F51)</f>
        <v/>
      </c>
      <c r="M51" s="11">
        <f>IF(ISNUMBER(L51),ROUND(L51-G51,4),"")</f>
        <v/>
      </c>
      <c r="N51" s="11">
        <f>IF(H51=0,"",G51/H51)</f>
        <v/>
      </c>
      <c r="O51" s="11">
        <f>IF(ISNUMBER(N51),ROUND(N51-I51,4),"")</f>
        <v/>
      </c>
    </row>
    <row r="52">
      <c r="A52" s="6" t="inlineStr">
        <is>
          <t>cobre</t>
        </is>
      </c>
      <c r="B52" s="6" t="inlineStr">
        <is>
          <t>metal base</t>
        </is>
      </c>
      <c r="C52" s="6" t="n">
        <v>2006</v>
      </c>
      <c r="D52" s="6" t="inlineStr">
        <is>
          <t>2603</t>
        </is>
      </c>
      <c r="E52" s="6" t="n">
        <v>146021267</v>
      </c>
      <c r="F52" s="6" t="n">
        <v>111719.664</v>
      </c>
      <c r="G52" s="6" t="n">
        <v>1307.03</v>
      </c>
      <c r="H52" s="6" t="n">
        <v>6940</v>
      </c>
      <c r="I52" s="6" t="n">
        <v>0.1883</v>
      </c>
      <c r="J52" s="6" t="inlineStr">
        <is>
          <t>propio</t>
        </is>
      </c>
      <c r="K52" s="5" t="n"/>
      <c r="L52" s="11">
        <f>IF(F52=0,"",E52/F52)</f>
        <v/>
      </c>
      <c r="M52" s="11">
        <f>IF(ISNUMBER(L52),ROUND(L52-G52,4),"")</f>
        <v/>
      </c>
      <c r="N52" s="11">
        <f>IF(H52=0,"",G52/H52)</f>
        <v/>
      </c>
      <c r="O52" s="11">
        <f>IF(ISNUMBER(N52),ROUND(N52-I52,4),"")</f>
        <v/>
      </c>
    </row>
    <row r="53">
      <c r="A53" s="9" t="inlineStr">
        <is>
          <t>cobre</t>
        </is>
      </c>
      <c r="B53" s="9" t="inlineStr">
        <is>
          <t>metal base</t>
        </is>
      </c>
      <c r="C53" s="9" t="n">
        <v>2007</v>
      </c>
      <c r="D53" s="9" t="inlineStr">
        <is>
          <t>2603</t>
        </is>
      </c>
      <c r="E53" s="9" t="n">
        <v>267223083</v>
      </c>
      <c r="F53" s="9" t="n">
        <v>167585.938</v>
      </c>
      <c r="G53" s="9" t="n">
        <v>1594.54</v>
      </c>
      <c r="H53" s="9" t="n">
        <v>7230</v>
      </c>
      <c r="I53" s="9" t="n">
        <v>0.2205</v>
      </c>
      <c r="J53" s="9" t="inlineStr">
        <is>
          <t>propio</t>
        </is>
      </c>
      <c r="K53" s="8" t="n"/>
      <c r="L53" s="11">
        <f>IF(F53=0,"",E53/F53)</f>
        <v/>
      </c>
      <c r="M53" s="11">
        <f>IF(ISNUMBER(L53),ROUND(L53-G53,4),"")</f>
        <v/>
      </c>
      <c r="N53" s="11">
        <f>IF(H53=0,"",G53/H53)</f>
        <v/>
      </c>
      <c r="O53" s="11">
        <f>IF(ISNUMBER(N53),ROUND(N53-I53,4),"")</f>
        <v/>
      </c>
    </row>
    <row r="54">
      <c r="A54" s="6" t="inlineStr">
        <is>
          <t>cobre</t>
        </is>
      </c>
      <c r="B54" s="6" t="inlineStr">
        <is>
          <t>metal base</t>
        </is>
      </c>
      <c r="C54" s="6" t="n">
        <v>2008</v>
      </c>
      <c r="D54" s="6" t="inlineStr">
        <is>
          <t>2603</t>
        </is>
      </c>
      <c r="E54" s="6" t="n">
        <v>327348222</v>
      </c>
      <c r="F54" s="6" t="n">
        <v>199171.567</v>
      </c>
      <c r="G54" s="6" t="n">
        <v>1643.55</v>
      </c>
      <c r="H54" s="6" t="n">
        <v>7040</v>
      </c>
      <c r="I54" s="6" t="n">
        <v>0.2335</v>
      </c>
      <c r="J54" s="6" t="inlineStr">
        <is>
          <t>propio</t>
        </is>
      </c>
      <c r="K54" s="5" t="n"/>
      <c r="L54" s="11">
        <f>IF(F54=0,"",E54/F54)</f>
        <v/>
      </c>
      <c r="M54" s="11">
        <f>IF(ISNUMBER(L54),ROUND(L54-G54,4),"")</f>
        <v/>
      </c>
      <c r="N54" s="11">
        <f>IF(H54=0,"",G54/H54)</f>
        <v/>
      </c>
      <c r="O54" s="11">
        <f>IF(ISNUMBER(N54),ROUND(N54-I54,4),"")</f>
        <v/>
      </c>
    </row>
    <row r="55">
      <c r="A55" s="9" t="inlineStr">
        <is>
          <t>cobre</t>
        </is>
      </c>
      <c r="B55" s="9" t="inlineStr">
        <is>
          <t>metal base</t>
        </is>
      </c>
      <c r="C55" s="9" t="n">
        <v>2009</v>
      </c>
      <c r="D55" s="9" t="inlineStr">
        <is>
          <t>2603</t>
        </is>
      </c>
      <c r="E55" s="9" t="n">
        <v>288865844</v>
      </c>
      <c r="F55" s="9" t="n">
        <v>241786.235</v>
      </c>
      <c r="G55" s="9" t="n">
        <v>1194.72</v>
      </c>
      <c r="H55" s="9" t="n">
        <v>5320</v>
      </c>
      <c r="I55" s="9" t="n">
        <v>0.2246</v>
      </c>
      <c r="J55" s="9" t="inlineStr">
        <is>
          <t>propio</t>
        </is>
      </c>
      <c r="K55" s="8" t="n"/>
      <c r="L55" s="11">
        <f>IF(F55=0,"",E55/F55)</f>
        <v/>
      </c>
      <c r="M55" s="11">
        <f>IF(ISNUMBER(L55),ROUND(L55-G55,4),"")</f>
        <v/>
      </c>
      <c r="N55" s="11">
        <f>IF(H55=0,"",G55/H55)</f>
        <v/>
      </c>
      <c r="O55" s="11">
        <f>IF(ISNUMBER(N55),ROUND(N55-I55,4),"")</f>
        <v/>
      </c>
    </row>
    <row r="56">
      <c r="A56" s="6" t="inlineStr">
        <is>
          <t>cobre</t>
        </is>
      </c>
      <c r="B56" s="6" t="inlineStr">
        <is>
          <t>metal base</t>
        </is>
      </c>
      <c r="C56" s="6" t="n">
        <v>2010</v>
      </c>
      <c r="D56" s="6" t="inlineStr">
        <is>
          <t>2603</t>
        </is>
      </c>
      <c r="E56" s="6" t="n">
        <v>684848560</v>
      </c>
      <c r="F56" s="6" t="n">
        <v>374116.233</v>
      </c>
      <c r="G56" s="6" t="n">
        <v>1830.58</v>
      </c>
      <c r="H56" s="6" t="n">
        <v>7680</v>
      </c>
      <c r="I56" s="6" t="n">
        <v>0.2384</v>
      </c>
      <c r="J56" s="6" t="inlineStr">
        <is>
          <t>propio</t>
        </is>
      </c>
      <c r="K56" s="5" t="n"/>
      <c r="L56" s="11">
        <f>IF(F56=0,"",E56/F56)</f>
        <v/>
      </c>
      <c r="M56" s="11">
        <f>IF(ISNUMBER(L56),ROUND(L56-G56,4),"")</f>
        <v/>
      </c>
      <c r="N56" s="11">
        <f>IF(H56=0,"",G56/H56)</f>
        <v/>
      </c>
      <c r="O56" s="11">
        <f>IF(ISNUMBER(N56),ROUND(N56-I56,4),"")</f>
        <v/>
      </c>
    </row>
    <row r="57">
      <c r="A57" s="9" t="inlineStr">
        <is>
          <t>cobre</t>
        </is>
      </c>
      <c r="B57" s="9" t="inlineStr">
        <is>
          <t>metal base</t>
        </is>
      </c>
      <c r="C57" s="9" t="n">
        <v>2011</v>
      </c>
      <c r="D57" s="9" t="inlineStr">
        <is>
          <t>2603</t>
        </is>
      </c>
      <c r="E57" s="9" t="n">
        <v>1170994128</v>
      </c>
      <c r="F57" s="9" t="n">
        <v>440482.047</v>
      </c>
      <c r="G57" s="9" t="n">
        <v>2658.44</v>
      </c>
      <c r="H57" s="9" t="n">
        <v>8950</v>
      </c>
      <c r="I57" s="9" t="n">
        <v>0.297</v>
      </c>
      <c r="J57" s="9" t="inlineStr">
        <is>
          <t>propio</t>
        </is>
      </c>
      <c r="K57" s="8" t="n"/>
      <c r="L57" s="11">
        <f>IF(F57=0,"",E57/F57)</f>
        <v/>
      </c>
      <c r="M57" s="11">
        <f>IF(ISNUMBER(L57),ROUND(L57-G57,4),"")</f>
        <v/>
      </c>
      <c r="N57" s="11">
        <f>IF(H57=0,"",G57/H57)</f>
        <v/>
      </c>
      <c r="O57" s="11">
        <f>IF(ISNUMBER(N57),ROUND(N57-I57,4),"")</f>
        <v/>
      </c>
    </row>
    <row r="58">
      <c r="A58" s="6" t="inlineStr">
        <is>
          <t>cobre</t>
        </is>
      </c>
      <c r="B58" s="6" t="inlineStr">
        <is>
          <t>metal base</t>
        </is>
      </c>
      <c r="C58" s="6" t="n">
        <v>2012</v>
      </c>
      <c r="D58" s="6" t="inlineStr">
        <is>
          <t>2603</t>
        </is>
      </c>
      <c r="E58" s="6" t="n">
        <v>1362964233</v>
      </c>
      <c r="F58" s="6" t="n">
        <v>576140.208</v>
      </c>
      <c r="G58" s="6" t="n">
        <v>2365.68</v>
      </c>
      <c r="H58" s="6" t="n">
        <v>8100</v>
      </c>
      <c r="I58" s="6" t="n">
        <v>0.2921</v>
      </c>
      <c r="J58" s="6" t="inlineStr">
        <is>
          <t>propio</t>
        </is>
      </c>
      <c r="K58" s="5" t="n"/>
      <c r="L58" s="11">
        <f>IF(F58=0,"",E58/F58)</f>
        <v/>
      </c>
      <c r="M58" s="11">
        <f>IF(ISNUMBER(L58),ROUND(L58-G58,4),"")</f>
        <v/>
      </c>
      <c r="N58" s="11">
        <f>IF(H58=0,"",G58/H58)</f>
        <v/>
      </c>
      <c r="O58" s="11">
        <f>IF(ISNUMBER(N58),ROUND(N58-I58,4),"")</f>
        <v/>
      </c>
    </row>
    <row r="59">
      <c r="A59" s="9" t="inlineStr">
        <is>
          <t>cobre</t>
        </is>
      </c>
      <c r="B59" s="9" t="inlineStr">
        <is>
          <t>metal base</t>
        </is>
      </c>
      <c r="C59" s="9" t="n">
        <v>2013</v>
      </c>
      <c r="D59" s="9" t="inlineStr">
        <is>
          <t>2603</t>
        </is>
      </c>
      <c r="E59" s="9" t="n">
        <v>1486416565</v>
      </c>
      <c r="F59" s="9" t="n">
        <v>683451.865</v>
      </c>
      <c r="G59" s="9" t="n">
        <v>2174.87</v>
      </c>
      <c r="H59" s="9" t="n">
        <v>7490</v>
      </c>
      <c r="I59" s="9" t="n">
        <v>0.2904</v>
      </c>
      <c r="J59" s="9" t="inlineStr">
        <is>
          <t>propio</t>
        </is>
      </c>
      <c r="K59" s="8" t="n"/>
      <c r="L59" s="11">
        <f>IF(F59=0,"",E59/F59)</f>
        <v/>
      </c>
      <c r="M59" s="11">
        <f>IF(ISNUMBER(L59),ROUND(L59-G59,4),"")</f>
        <v/>
      </c>
      <c r="N59" s="11">
        <f>IF(H59=0,"",G59/H59)</f>
        <v/>
      </c>
      <c r="O59" s="11">
        <f>IF(ISNUMBER(N59),ROUND(N59-I59,4),"")</f>
        <v/>
      </c>
    </row>
    <row r="60">
      <c r="A60" s="6" t="inlineStr">
        <is>
          <t>cobre</t>
        </is>
      </c>
      <c r="B60" s="6" t="inlineStr">
        <is>
          <t>metal base</t>
        </is>
      </c>
      <c r="C60" s="6" t="n">
        <v>2014</v>
      </c>
      <c r="D60" s="6" t="inlineStr">
        <is>
          <t>2603</t>
        </is>
      </c>
      <c r="E60" s="6" t="n">
        <v>1170641398</v>
      </c>
      <c r="F60" s="6" t="n">
        <v>659351.024</v>
      </c>
      <c r="G60" s="6" t="n">
        <v>1775.44</v>
      </c>
      <c r="H60" s="6" t="n">
        <v>7010</v>
      </c>
      <c r="I60" s="6" t="n">
        <v>0.2533</v>
      </c>
      <c r="J60" s="6" t="inlineStr">
        <is>
          <t>propio</t>
        </is>
      </c>
      <c r="K60" s="5" t="n"/>
      <c r="L60" s="11">
        <f>IF(F60=0,"",E60/F60)</f>
        <v/>
      </c>
      <c r="M60" s="11">
        <f>IF(ISNUMBER(L60),ROUND(L60-G60,4),"")</f>
        <v/>
      </c>
      <c r="N60" s="11">
        <f>IF(H60=0,"",G60/H60)</f>
        <v/>
      </c>
      <c r="O60" s="11">
        <f>IF(ISNUMBER(N60),ROUND(N60-I60,4),"")</f>
        <v/>
      </c>
    </row>
    <row r="61">
      <c r="A61" s="9" t="inlineStr">
        <is>
          <t>cobre</t>
        </is>
      </c>
      <c r="B61" s="9" t="inlineStr">
        <is>
          <t>metal base</t>
        </is>
      </c>
      <c r="C61" s="9" t="n">
        <v>2015</v>
      </c>
      <c r="D61" s="9" t="inlineStr">
        <is>
          <t>2603</t>
        </is>
      </c>
      <c r="E61" s="9" t="n">
        <v>2346037775.5</v>
      </c>
      <c r="F61" s="9" t="n">
        <v>1467244.566</v>
      </c>
      <c r="G61" s="9" t="n">
        <v>1598.94</v>
      </c>
      <c r="H61" s="9" t="n">
        <v>5650</v>
      </c>
      <c r="I61" s="9" t="n">
        <v>0.283</v>
      </c>
      <c r="J61" s="9" t="inlineStr">
        <is>
          <t>espejo</t>
        </is>
      </c>
      <c r="K61" s="8" t="inlineStr">
        <is>
          <t>numerador por ESPEJO (importaciones de socios desde Mexico; CIF, posible sesgo al alza)</t>
        </is>
      </c>
      <c r="L61" s="11">
        <f>IF(F61=0,"",E61/F61)</f>
        <v/>
      </c>
      <c r="M61" s="11">
        <f>IF(ISNUMBER(L61),ROUND(L61-G61,4),"")</f>
        <v/>
      </c>
      <c r="N61" s="11">
        <f>IF(H61=0,"",G61/H61)</f>
        <v/>
      </c>
      <c r="O61" s="11">
        <f>IF(ISNUMBER(N61),ROUND(N61-I61,4),"")</f>
        <v/>
      </c>
    </row>
    <row r="62">
      <c r="A62" s="6" t="inlineStr">
        <is>
          <t>cobre</t>
        </is>
      </c>
      <c r="B62" s="6" t="inlineStr">
        <is>
          <t>metal base</t>
        </is>
      </c>
      <c r="C62" s="6" t="n">
        <v>2016</v>
      </c>
      <c r="D62" s="6" t="inlineStr">
        <is>
          <t>2603</t>
        </is>
      </c>
      <c r="E62" s="6" t="n">
        <v>1323559500</v>
      </c>
      <c r="F62" s="6" t="n">
        <v>1097421.1</v>
      </c>
      <c r="G62" s="6" t="n">
        <v>1206.06</v>
      </c>
      <c r="H62" s="6" t="n">
        <v>4960</v>
      </c>
      <c r="I62" s="6" t="n">
        <v>0.2432</v>
      </c>
      <c r="J62" s="6" t="inlineStr">
        <is>
          <t>propio</t>
        </is>
      </c>
      <c r="K62" s="5" t="n"/>
      <c r="L62" s="11">
        <f>IF(F62=0,"",E62/F62)</f>
        <v/>
      </c>
      <c r="M62" s="11">
        <f>IF(ISNUMBER(L62),ROUND(L62-G62,4),"")</f>
        <v/>
      </c>
      <c r="N62" s="11">
        <f>IF(H62=0,"",G62/H62)</f>
        <v/>
      </c>
      <c r="O62" s="11">
        <f>IF(ISNUMBER(N62),ROUND(N62-I62,4),"")</f>
        <v/>
      </c>
    </row>
    <row r="63">
      <c r="A63" s="9" t="inlineStr">
        <is>
          <t>cobre</t>
        </is>
      </c>
      <c r="B63" s="9" t="inlineStr">
        <is>
          <t>metal base</t>
        </is>
      </c>
      <c r="C63" s="9" t="n">
        <v>2017</v>
      </c>
      <c r="D63" s="9" t="inlineStr">
        <is>
          <t>2603</t>
        </is>
      </c>
      <c r="E63" s="9" t="n">
        <v>1568943333</v>
      </c>
      <c r="F63" s="9" t="n">
        <v>1218662.452</v>
      </c>
      <c r="G63" s="9" t="n">
        <v>1287.43</v>
      </c>
      <c r="H63" s="9" t="n">
        <v>6290</v>
      </c>
      <c r="I63" s="9" t="n">
        <v>0.2047</v>
      </c>
      <c r="J63" s="9" t="inlineStr">
        <is>
          <t>propio</t>
        </is>
      </c>
      <c r="K63" s="8" t="n"/>
      <c r="L63" s="11">
        <f>IF(F63=0,"",E63/F63)</f>
        <v/>
      </c>
      <c r="M63" s="11">
        <f>IF(ISNUMBER(L63),ROUND(L63-G63,4),"")</f>
        <v/>
      </c>
      <c r="N63" s="11">
        <f>IF(H63=0,"",G63/H63)</f>
        <v/>
      </c>
      <c r="O63" s="11">
        <f>IF(ISNUMBER(N63),ROUND(N63-I63,4),"")</f>
        <v/>
      </c>
    </row>
    <row r="64">
      <c r="A64" s="6" t="inlineStr">
        <is>
          <t>cobre</t>
        </is>
      </c>
      <c r="B64" s="6" t="inlineStr">
        <is>
          <t>metal base</t>
        </is>
      </c>
      <c r="C64" s="6" t="n">
        <v>2018</v>
      </c>
      <c r="D64" s="6" t="inlineStr">
        <is>
          <t>2603</t>
        </is>
      </c>
      <c r="E64" s="6" t="n">
        <v>2318095785</v>
      </c>
      <c r="F64" s="6" t="n">
        <v>1583502.358</v>
      </c>
      <c r="G64" s="6" t="n">
        <v>1463.9</v>
      </c>
      <c r="H64" s="6" t="n">
        <v>6590</v>
      </c>
      <c r="I64" s="6" t="n">
        <v>0.2221</v>
      </c>
      <c r="J64" s="6" t="inlineStr">
        <is>
          <t>propio</t>
        </is>
      </c>
      <c r="K64" s="5" t="n"/>
      <c r="L64" s="11">
        <f>IF(F64=0,"",E64/F64)</f>
        <v/>
      </c>
      <c r="M64" s="11">
        <f>IF(ISNUMBER(L64),ROUND(L64-G64,4),"")</f>
        <v/>
      </c>
      <c r="N64" s="11">
        <f>IF(H64=0,"",G64/H64)</f>
        <v/>
      </c>
      <c r="O64" s="11">
        <f>IF(ISNUMBER(N64),ROUND(N64-I64,4),"")</f>
        <v/>
      </c>
    </row>
    <row r="65">
      <c r="A65" s="9" t="inlineStr">
        <is>
          <t>cobre</t>
        </is>
      </c>
      <c r="B65" s="9" t="inlineStr">
        <is>
          <t>metal base</t>
        </is>
      </c>
      <c r="C65" s="9" t="n">
        <v>2019</v>
      </c>
      <c r="D65" s="9" t="inlineStr">
        <is>
          <t>2603</t>
        </is>
      </c>
      <c r="E65" s="9" t="n">
        <v>2339268612</v>
      </c>
      <c r="F65" s="9" t="n">
        <v>1838532.173</v>
      </c>
      <c r="G65" s="9" t="n">
        <v>1272.36</v>
      </c>
      <c r="H65" s="9" t="n">
        <v>6160</v>
      </c>
      <c r="I65" s="9" t="n">
        <v>0.2066</v>
      </c>
      <c r="J65" s="9" t="inlineStr">
        <is>
          <t>propio</t>
        </is>
      </c>
      <c r="K65" s="8" t="n"/>
      <c r="L65" s="11">
        <f>IF(F65=0,"",E65/F65)</f>
        <v/>
      </c>
      <c r="M65" s="11">
        <f>IF(ISNUMBER(L65),ROUND(L65-G65,4),"")</f>
        <v/>
      </c>
      <c r="N65" s="11">
        <f>IF(H65=0,"",G65/H65)</f>
        <v/>
      </c>
      <c r="O65" s="11">
        <f>IF(ISNUMBER(N65),ROUND(N65-I65,4),"")</f>
        <v/>
      </c>
    </row>
    <row r="66">
      <c r="A66" s="6" t="inlineStr">
        <is>
          <t>cobre</t>
        </is>
      </c>
      <c r="B66" s="6" t="inlineStr">
        <is>
          <t>metal base</t>
        </is>
      </c>
      <c r="C66" s="6" t="n">
        <v>2020</v>
      </c>
      <c r="D66" s="6" t="inlineStr">
        <is>
          <t>2603</t>
        </is>
      </c>
      <c r="E66" s="6" t="n">
        <v>2878626776</v>
      </c>
      <c r="F66" s="6" t="n">
        <v>1816661.181</v>
      </c>
      <c r="G66" s="6" t="n">
        <v>1584.57</v>
      </c>
      <c r="H66" s="6" t="n">
        <v>6320</v>
      </c>
      <c r="I66" s="6" t="n">
        <v>0.2507</v>
      </c>
      <c r="J66" s="6" t="inlineStr">
        <is>
          <t>propio</t>
        </is>
      </c>
      <c r="K66" s="5" t="n"/>
      <c r="L66" s="11">
        <f>IF(F66=0,"",E66/F66)</f>
        <v/>
      </c>
      <c r="M66" s="11">
        <f>IF(ISNUMBER(L66),ROUND(L66-G66,4),"")</f>
        <v/>
      </c>
      <c r="N66" s="11">
        <f>IF(H66=0,"",G66/H66)</f>
        <v/>
      </c>
      <c r="O66" s="11">
        <f>IF(ISNUMBER(N66),ROUND(N66-I66,4),"")</f>
        <v/>
      </c>
    </row>
    <row r="67">
      <c r="A67" s="9" t="inlineStr">
        <is>
          <t>cobre</t>
        </is>
      </c>
      <c r="B67" s="9" t="inlineStr">
        <is>
          <t>metal base</t>
        </is>
      </c>
      <c r="C67" s="9" t="n">
        <v>2021</v>
      </c>
      <c r="D67" s="9" t="inlineStr">
        <is>
          <t>2603</t>
        </is>
      </c>
      <c r="E67" s="9" t="n">
        <v>3420948513</v>
      </c>
      <c r="F67" s="9" t="n">
        <v>1551769.274</v>
      </c>
      <c r="G67" s="9" t="n">
        <v>2204.55</v>
      </c>
      <c r="H67" s="9" t="n">
        <v>9543.370000000001</v>
      </c>
      <c r="I67" s="9" t="n">
        <v>0.231</v>
      </c>
      <c r="J67" s="9" t="inlineStr">
        <is>
          <t>propio</t>
        </is>
      </c>
      <c r="K67" s="8" t="n"/>
      <c r="L67" s="11">
        <f>IF(F67=0,"",E67/F67)</f>
        <v/>
      </c>
      <c r="M67" s="11">
        <f>IF(ISNUMBER(L67),ROUND(L67-G67,4),"")</f>
        <v/>
      </c>
      <c r="N67" s="11">
        <f>IF(H67=0,"",G67/H67)</f>
        <v/>
      </c>
      <c r="O67" s="11">
        <f>IF(ISNUMBER(N67),ROUND(N67-I67,4),"")</f>
        <v/>
      </c>
    </row>
    <row r="68">
      <c r="A68" s="6" t="inlineStr">
        <is>
          <t>cobre</t>
        </is>
      </c>
      <c r="B68" s="6" t="inlineStr">
        <is>
          <t>metal base</t>
        </is>
      </c>
      <c r="C68" s="6" t="n">
        <v>2022</v>
      </c>
      <c r="D68" s="6" t="inlineStr">
        <is>
          <t>2603</t>
        </is>
      </c>
      <c r="E68" s="6" t="n">
        <v>3137587661</v>
      </c>
      <c r="F68" s="6" t="n">
        <v>1566996.225</v>
      </c>
      <c r="G68" s="6" t="n">
        <v>2002.29</v>
      </c>
      <c r="H68" s="6" t="n">
        <v>9030.98</v>
      </c>
      <c r="I68" s="6" t="n">
        <v>0.2217</v>
      </c>
      <c r="J68" s="6" t="inlineStr">
        <is>
          <t>propio</t>
        </is>
      </c>
      <c r="K68" s="5" t="n"/>
      <c r="L68" s="11">
        <f>IF(F68=0,"",E68/F68)</f>
        <v/>
      </c>
      <c r="M68" s="11">
        <f>IF(ISNUMBER(L68),ROUND(L68-G68,4),"")</f>
        <v/>
      </c>
      <c r="N68" s="11">
        <f>IF(H68=0,"",G68/H68)</f>
        <v/>
      </c>
      <c r="O68" s="11">
        <f>IF(ISNUMBER(N68),ROUND(N68-I68,4),"")</f>
        <v/>
      </c>
    </row>
    <row r="69">
      <c r="A69" s="9" t="inlineStr">
        <is>
          <t>cobre</t>
        </is>
      </c>
      <c r="B69" s="9" t="inlineStr">
        <is>
          <t>metal base</t>
        </is>
      </c>
      <c r="C69" s="9" t="n">
        <v>2023</v>
      </c>
      <c r="D69" s="9" t="inlineStr">
        <is>
          <t>2603</t>
        </is>
      </c>
      <c r="E69" s="9" t="n">
        <v>3715931601</v>
      </c>
      <c r="F69" s="9" t="n">
        <v>2729477.99</v>
      </c>
      <c r="G69" s="9" t="n">
        <v>1361.41</v>
      </c>
      <c r="H69" s="9" t="n">
        <v>8693.059999999999</v>
      </c>
      <c r="I69" s="9" t="n">
        <v>0.1566</v>
      </c>
      <c r="J69" s="9" t="inlineStr">
        <is>
          <t>propio</t>
        </is>
      </c>
      <c r="K69" s="8" t="n"/>
      <c r="L69" s="11">
        <f>IF(F69=0,"",E69/F69)</f>
        <v/>
      </c>
      <c r="M69" s="11">
        <f>IF(ISNUMBER(L69),ROUND(L69-G69,4),"")</f>
        <v/>
      </c>
      <c r="N69" s="11">
        <f>IF(H69=0,"",G69/H69)</f>
        <v/>
      </c>
      <c r="O69" s="11">
        <f>IF(ISNUMBER(N69),ROUND(N69-I69,4),"")</f>
        <v/>
      </c>
    </row>
    <row r="70">
      <c r="A70" s="6" t="inlineStr">
        <is>
          <t>cobre</t>
        </is>
      </c>
      <c r="B70" s="6" t="inlineStr">
        <is>
          <t>metal base</t>
        </is>
      </c>
      <c r="C70" s="6" t="n">
        <v>2024</v>
      </c>
      <c r="D70" s="6" t="inlineStr">
        <is>
          <t>2603</t>
        </is>
      </c>
      <c r="E70" s="6" t="n">
        <v>3718889902</v>
      </c>
      <c r="F70" s="6" t="n">
        <v>1722560.002</v>
      </c>
      <c r="G70" s="6" t="n">
        <v>2158.93</v>
      </c>
      <c r="H70" s="6" t="n">
        <v>9368.530000000001</v>
      </c>
      <c r="I70" s="6" t="n">
        <v>0.2304</v>
      </c>
      <c r="J70" s="6" t="inlineStr">
        <is>
          <t>propio</t>
        </is>
      </c>
      <c r="K70" s="5" t="n"/>
      <c r="L70" s="11">
        <f>IF(F70=0,"",E70/F70)</f>
        <v/>
      </c>
      <c r="M70" s="11">
        <f>IF(ISNUMBER(L70),ROUND(L70-G70,4),"")</f>
        <v/>
      </c>
      <c r="N70" s="11">
        <f>IF(H70=0,"",G70/H70)</f>
        <v/>
      </c>
      <c r="O70" s="11">
        <f>IF(ISNUMBER(N70),ROUND(N70-I70,4),"")</f>
        <v/>
      </c>
    </row>
    <row r="71">
      <c r="A71" s="9" t="inlineStr">
        <is>
          <t>cobre</t>
        </is>
      </c>
      <c r="B71" s="9" t="inlineStr">
        <is>
          <t>metal base</t>
        </is>
      </c>
      <c r="C71" s="9" t="n">
        <v>2025</v>
      </c>
      <c r="D71" s="9" t="inlineStr">
        <is>
          <t>2603</t>
        </is>
      </c>
      <c r="E71" s="9" t="n">
        <v>4122406903</v>
      </c>
      <c r="F71" s="9" t="n">
        <v>1602679.427</v>
      </c>
      <c r="G71" s="9" t="n">
        <v>2572.2</v>
      </c>
      <c r="H71" s="9" t="n">
        <v>9938.43</v>
      </c>
      <c r="I71" s="9" t="n">
        <v>0.2588</v>
      </c>
      <c r="J71" s="9" t="inlineStr">
        <is>
          <t>propio</t>
        </is>
      </c>
      <c r="K71" s="8" t="n"/>
      <c r="L71" s="11">
        <f>IF(F71=0,"",E71/F71)</f>
        <v/>
      </c>
      <c r="M71" s="11">
        <f>IF(ISNUMBER(L71),ROUND(L71-G71,4),"")</f>
        <v/>
      </c>
      <c r="N71" s="11">
        <f>IF(H71=0,"",G71/H71)</f>
        <v/>
      </c>
      <c r="O71" s="11">
        <f>IF(ISNUMBER(N71),ROUND(N71-I71,4),"")</f>
        <v/>
      </c>
    </row>
    <row r="72">
      <c r="A72" s="6" t="inlineStr">
        <is>
          <t>fluorita</t>
        </is>
      </c>
      <c r="B72" s="6" t="inlineStr">
        <is>
          <t>no metalico/industrial</t>
        </is>
      </c>
      <c r="C72" s="6" t="n">
        <v>1992</v>
      </c>
      <c r="D72" s="6" t="inlineStr">
        <is>
          <t>252921;252922</t>
        </is>
      </c>
      <c r="E72" s="6" t="n">
        <v>13929000</v>
      </c>
      <c r="F72" s="6" t="n">
        <v>150281.26</v>
      </c>
      <c r="G72" s="6" t="n">
        <v>92.69</v>
      </c>
      <c r="H72" s="6" t="n">
        <v>193</v>
      </c>
      <c r="I72" s="6" t="n">
        <v>0.4802</v>
      </c>
      <c r="J72" s="6" t="inlineStr">
        <is>
          <t>propio</t>
        </is>
      </c>
      <c r="K72" s="5" t="n"/>
      <c r="L72" s="11">
        <f>IF(F72=0,"",E72/F72)</f>
        <v/>
      </c>
      <c r="M72" s="11">
        <f>IF(ISNUMBER(L72),ROUND(L72-G72,4),"")</f>
        <v/>
      </c>
      <c r="N72" s="11">
        <f>IF(H72=0,"",G72/H72)</f>
        <v/>
      </c>
      <c r="O72" s="11">
        <f>IF(ISNUMBER(N72),ROUND(N72-I72,4),"")</f>
        <v/>
      </c>
    </row>
    <row r="73">
      <c r="A73" s="9" t="inlineStr">
        <is>
          <t>fluorita</t>
        </is>
      </c>
      <c r="B73" s="9" t="inlineStr">
        <is>
          <t>no metalico/industrial</t>
        </is>
      </c>
      <c r="C73" s="9" t="n">
        <v>1993</v>
      </c>
      <c r="D73" s="9" t="inlineStr">
        <is>
          <t>252921;252922</t>
        </is>
      </c>
      <c r="E73" s="9" t="n">
        <v>9385000</v>
      </c>
      <c r="F73" s="9" t="n">
        <v>111686.322</v>
      </c>
      <c r="G73" s="9" t="n">
        <v>84.03</v>
      </c>
      <c r="H73" s="9" t="n">
        <v>95</v>
      </c>
      <c r="I73" s="9" t="n">
        <v>0.8845</v>
      </c>
      <c r="J73" s="9" t="inlineStr">
        <is>
          <t>propio</t>
        </is>
      </c>
      <c r="K73" s="8" t="n"/>
      <c r="L73" s="11">
        <f>IF(F73=0,"",E73/F73)</f>
        <v/>
      </c>
      <c r="M73" s="11">
        <f>IF(ISNUMBER(L73),ROUND(L73-G73,4),"")</f>
        <v/>
      </c>
      <c r="N73" s="11">
        <f>IF(H73=0,"",G73/H73)</f>
        <v/>
      </c>
      <c r="O73" s="11">
        <f>IF(ISNUMBER(N73),ROUND(N73-I73,4),"")</f>
        <v/>
      </c>
    </row>
    <row r="74">
      <c r="A74" s="6" t="inlineStr">
        <is>
          <t>fluorita</t>
        </is>
      </c>
      <c r="B74" s="6" t="inlineStr">
        <is>
          <t>no metalico/industrial</t>
        </is>
      </c>
      <c r="C74" s="6" t="n">
        <v>1994</v>
      </c>
      <c r="D74" s="6" t="inlineStr">
        <is>
          <t>252921;252922</t>
        </is>
      </c>
      <c r="E74" s="6" t="n">
        <v>15135902</v>
      </c>
      <c r="F74" s="6" t="n">
        <v>148130.426</v>
      </c>
      <c r="G74" s="6" t="n">
        <v>102.18</v>
      </c>
      <c r="H74" s="6" t="n">
        <v>97</v>
      </c>
      <c r="I74" s="6" t="n">
        <v>1.0534</v>
      </c>
      <c r="J74" s="6" t="inlineStr">
        <is>
          <t>propio</t>
        </is>
      </c>
      <c r="K74" s="5" t="n"/>
      <c r="L74" s="11">
        <f>IF(F74=0,"",E74/F74)</f>
        <v/>
      </c>
      <c r="M74" s="11">
        <f>IF(ISNUMBER(L74),ROUND(L74-G74,4),"")</f>
        <v/>
      </c>
      <c r="N74" s="11">
        <f>IF(H74=0,"",G74/H74)</f>
        <v/>
      </c>
      <c r="O74" s="11">
        <f>IF(ISNUMBER(N74),ROUND(N74-I74,4),"")</f>
        <v/>
      </c>
    </row>
    <row r="75">
      <c r="A75" s="9" t="inlineStr">
        <is>
          <t>fluorita</t>
        </is>
      </c>
      <c r="B75" s="9" t="inlineStr">
        <is>
          <t>no metalico/industrial</t>
        </is>
      </c>
      <c r="C75" s="9" t="n">
        <v>1995</v>
      </c>
      <c r="D75" s="9" t="inlineStr">
        <is>
          <t>252921;252922</t>
        </is>
      </c>
      <c r="E75" s="9" t="n">
        <v>23708000</v>
      </c>
      <c r="F75" s="9" t="n">
        <v>291905.496</v>
      </c>
      <c r="G75" s="9" t="n">
        <v>81.22</v>
      </c>
      <c r="H75" s="9" t="n">
        <v>121</v>
      </c>
      <c r="I75" s="9" t="n">
        <v>0.6712</v>
      </c>
      <c r="J75" s="9" t="inlineStr">
        <is>
          <t>propio</t>
        </is>
      </c>
      <c r="K75" s="8" t="n"/>
      <c r="L75" s="11">
        <f>IF(F75=0,"",E75/F75)</f>
        <v/>
      </c>
      <c r="M75" s="11">
        <f>IF(ISNUMBER(L75),ROUND(L75-G75,4),"")</f>
        <v/>
      </c>
      <c r="N75" s="11">
        <f>IF(H75=0,"",G75/H75)</f>
        <v/>
      </c>
      <c r="O75" s="11">
        <f>IF(ISNUMBER(N75),ROUND(N75-I75,4),"")</f>
        <v/>
      </c>
    </row>
    <row r="76">
      <c r="A76" s="6" t="inlineStr">
        <is>
          <t>fluorita</t>
        </is>
      </c>
      <c r="B76" s="6" t="inlineStr">
        <is>
          <t>no metalico/industrial</t>
        </is>
      </c>
      <c r="C76" s="6" t="n">
        <v>1996</v>
      </c>
      <c r="D76" s="6" t="inlineStr">
        <is>
          <t>252921;252922</t>
        </is>
      </c>
      <c r="E76" s="6" t="n">
        <v>20073116</v>
      </c>
      <c r="F76" s="6" t="n">
        <v>255634.112</v>
      </c>
      <c r="G76" s="6" t="n">
        <v>78.52</v>
      </c>
      <c r="H76" s="6" t="n">
        <v>138</v>
      </c>
      <c r="I76" s="6" t="n">
        <v>0.569</v>
      </c>
      <c r="J76" s="6" t="inlineStr">
        <is>
          <t>propio</t>
        </is>
      </c>
      <c r="K76" s="5" t="n"/>
      <c r="L76" s="11">
        <f>IF(F76=0,"",E76/F76)</f>
        <v/>
      </c>
      <c r="M76" s="11">
        <f>IF(ISNUMBER(L76),ROUND(L76-G76,4),"")</f>
        <v/>
      </c>
      <c r="N76" s="11">
        <f>IF(H76=0,"",G76/H76)</f>
        <v/>
      </c>
      <c r="O76" s="11">
        <f>IF(ISNUMBER(N76),ROUND(N76-I76,4),"")</f>
        <v/>
      </c>
    </row>
    <row r="77">
      <c r="A77" s="9" t="inlineStr">
        <is>
          <t>fluorita</t>
        </is>
      </c>
      <c r="B77" s="9" t="inlineStr">
        <is>
          <t>no metalico/industrial</t>
        </is>
      </c>
      <c r="C77" s="9" t="n">
        <v>1997</v>
      </c>
      <c r="D77" s="9" t="inlineStr">
        <is>
          <t>252921;252922</t>
        </is>
      </c>
      <c r="E77" s="9" t="n">
        <v>23322192</v>
      </c>
      <c r="F77" s="9" t="n">
        <v>317341.016</v>
      </c>
      <c r="G77" s="9" t="n">
        <v>73.48999999999999</v>
      </c>
      <c r="H77" s="9" t="n">
        <v>129</v>
      </c>
      <c r="I77" s="9" t="n">
        <v>0.5697</v>
      </c>
      <c r="J77" s="9" t="inlineStr">
        <is>
          <t>propio</t>
        </is>
      </c>
      <c r="K77" s="8" t="n"/>
      <c r="L77" s="11">
        <f>IF(F77=0,"",E77/F77)</f>
        <v/>
      </c>
      <c r="M77" s="11">
        <f>IF(ISNUMBER(L77),ROUND(L77-G77,4),"")</f>
        <v/>
      </c>
      <c r="N77" s="11">
        <f>IF(H77=0,"",G77/H77)</f>
        <v/>
      </c>
      <c r="O77" s="11">
        <f>IF(ISNUMBER(N77),ROUND(N77-I77,4),"")</f>
        <v/>
      </c>
    </row>
    <row r="78">
      <c r="A78" s="6" t="inlineStr">
        <is>
          <t>fluorita</t>
        </is>
      </c>
      <c r="B78" s="6" t="inlineStr">
        <is>
          <t>no metalico/industrial</t>
        </is>
      </c>
      <c r="C78" s="6" t="n">
        <v>1998</v>
      </c>
      <c r="D78" s="6" t="inlineStr">
        <is>
          <t>252921;252922</t>
        </is>
      </c>
      <c r="E78" s="6" t="n">
        <v>25967668</v>
      </c>
      <c r="F78" s="6" t="n">
        <v>335236.12</v>
      </c>
      <c r="G78" s="6" t="n">
        <v>77.45999999999999</v>
      </c>
      <c r="H78" s="6" t="n">
        <v>125</v>
      </c>
      <c r="I78" s="6" t="n">
        <v>0.6197</v>
      </c>
      <c r="J78" s="6" t="inlineStr">
        <is>
          <t>propio</t>
        </is>
      </c>
      <c r="K78" s="5" t="n"/>
      <c r="L78" s="11">
        <f>IF(F78=0,"",E78/F78)</f>
        <v/>
      </c>
      <c r="M78" s="11">
        <f>IF(ISNUMBER(L78),ROUND(L78-G78,4),"")</f>
        <v/>
      </c>
      <c r="N78" s="11">
        <f>IF(H78=0,"",G78/H78)</f>
        <v/>
      </c>
      <c r="O78" s="11">
        <f>IF(ISNUMBER(N78),ROUND(N78-I78,4),"")</f>
        <v/>
      </c>
    </row>
    <row r="79">
      <c r="A79" s="9" t="inlineStr">
        <is>
          <t>fluorita</t>
        </is>
      </c>
      <c r="B79" s="9" t="inlineStr">
        <is>
          <t>no metalico/industrial</t>
        </is>
      </c>
      <c r="C79" s="9" t="n">
        <v>1999</v>
      </c>
      <c r="D79" s="9" t="inlineStr">
        <is>
          <t>252921;252922</t>
        </is>
      </c>
      <c r="E79" s="9" t="n">
        <v>26503055</v>
      </c>
      <c r="F79" s="9" t="n">
        <v>365809.008</v>
      </c>
      <c r="G79" s="9" t="n">
        <v>72.45</v>
      </c>
      <c r="H79" s="9" t="n">
        <v>119</v>
      </c>
      <c r="I79" s="9" t="n">
        <v>0.6088</v>
      </c>
      <c r="J79" s="9" t="inlineStr">
        <is>
          <t>propio</t>
        </is>
      </c>
      <c r="K79" s="8" t="n"/>
      <c r="L79" s="11">
        <f>IF(F79=0,"",E79/F79)</f>
        <v/>
      </c>
      <c r="M79" s="11">
        <f>IF(ISNUMBER(L79),ROUND(L79-G79,4),"")</f>
        <v/>
      </c>
      <c r="N79" s="11">
        <f>IF(H79=0,"",G79/H79)</f>
        <v/>
      </c>
      <c r="O79" s="11">
        <f>IF(ISNUMBER(N79),ROUND(N79-I79,4),"")</f>
        <v/>
      </c>
    </row>
    <row r="80">
      <c r="A80" s="6" t="inlineStr">
        <is>
          <t>fluorita</t>
        </is>
      </c>
      <c r="B80" s="6" t="inlineStr">
        <is>
          <t>no metalico/industrial</t>
        </is>
      </c>
      <c r="C80" s="6" t="n">
        <v>2000</v>
      </c>
      <c r="D80" s="6" t="inlineStr">
        <is>
          <t>252921;252922</t>
        </is>
      </c>
      <c r="E80" s="6" t="n">
        <v>29324727</v>
      </c>
      <c r="F80" s="6" t="n">
        <v>398342.703</v>
      </c>
      <c r="G80" s="6" t="n">
        <v>73.62</v>
      </c>
      <c r="H80" s="6" t="n">
        <v>124.67</v>
      </c>
      <c r="I80" s="6" t="n">
        <v>0.5905</v>
      </c>
      <c r="J80" s="6" t="inlineStr">
        <is>
          <t>propio</t>
        </is>
      </c>
      <c r="K80" s="5" t="n"/>
      <c r="L80" s="11">
        <f>IF(F80=0,"",E80/F80)</f>
        <v/>
      </c>
      <c r="M80" s="11">
        <f>IF(ISNUMBER(L80),ROUND(L80-G80,4),"")</f>
        <v/>
      </c>
      <c r="N80" s="11">
        <f>IF(H80=0,"",G80/H80)</f>
        <v/>
      </c>
      <c r="O80" s="11">
        <f>IF(ISNUMBER(N80),ROUND(N80-I80,4),"")</f>
        <v/>
      </c>
    </row>
    <row r="81">
      <c r="A81" s="9" t="inlineStr">
        <is>
          <t>fluorita</t>
        </is>
      </c>
      <c r="B81" s="9" t="inlineStr">
        <is>
          <t>no metalico/industrial</t>
        </is>
      </c>
      <c r="C81" s="9" t="n">
        <v>2001</v>
      </c>
      <c r="D81" s="9" t="inlineStr">
        <is>
          <t>252921;252922</t>
        </is>
      </c>
      <c r="E81" s="9" t="n">
        <v>29491564</v>
      </c>
      <c r="F81" s="9" t="n">
        <v>360437.789</v>
      </c>
      <c r="G81" s="9" t="n">
        <v>81.81999999999999</v>
      </c>
      <c r="H81" s="9" t="n">
        <v>132.18</v>
      </c>
      <c r="I81" s="9" t="n">
        <v>0.619</v>
      </c>
      <c r="J81" s="9" t="inlineStr">
        <is>
          <t>propio</t>
        </is>
      </c>
      <c r="K81" s="8" t="n"/>
      <c r="L81" s="11">
        <f>IF(F81=0,"",E81/F81)</f>
        <v/>
      </c>
      <c r="M81" s="11">
        <f>IF(ISNUMBER(L81),ROUND(L81-G81,4),"")</f>
        <v/>
      </c>
      <c r="N81" s="11">
        <f>IF(H81=0,"",G81/H81)</f>
        <v/>
      </c>
      <c r="O81" s="11">
        <f>IF(ISNUMBER(N81),ROUND(N81-I81,4),"")</f>
        <v/>
      </c>
    </row>
    <row r="82">
      <c r="A82" s="6" t="inlineStr">
        <is>
          <t>fluorita</t>
        </is>
      </c>
      <c r="B82" s="6" t="inlineStr">
        <is>
          <t>no metalico/industrial</t>
        </is>
      </c>
      <c r="C82" s="6" t="n">
        <v>2002</v>
      </c>
      <c r="D82" s="6" t="inlineStr">
        <is>
          <t>252921;252922</t>
        </is>
      </c>
      <c r="E82" s="6" t="n">
        <v>29185599</v>
      </c>
      <c r="F82" s="6" t="n">
        <v>360323.65</v>
      </c>
      <c r="G82" s="6" t="n">
        <v>81</v>
      </c>
      <c r="H82" s="6" t="n">
        <v>125</v>
      </c>
      <c r="I82" s="6" t="n">
        <v>0.648</v>
      </c>
      <c r="J82" s="6" t="inlineStr">
        <is>
          <t>propio</t>
        </is>
      </c>
      <c r="K82" s="5" t="n"/>
      <c r="L82" s="11">
        <f>IF(F82=0,"",E82/F82)</f>
        <v/>
      </c>
      <c r="M82" s="11">
        <f>IF(ISNUMBER(L82),ROUND(L82-G82,4),"")</f>
        <v/>
      </c>
      <c r="N82" s="11">
        <f>IF(H82=0,"",G82/H82)</f>
        <v/>
      </c>
      <c r="O82" s="11">
        <f>IF(ISNUMBER(N82),ROUND(N82-I82,4),"")</f>
        <v/>
      </c>
    </row>
    <row r="83">
      <c r="A83" s="9" t="inlineStr">
        <is>
          <t>fluorita</t>
        </is>
      </c>
      <c r="B83" s="9" t="inlineStr">
        <is>
          <t>no metalico/industrial</t>
        </is>
      </c>
      <c r="C83" s="9" t="n">
        <v>2003</v>
      </c>
      <c r="D83" s="9" t="inlineStr">
        <is>
          <t>252921;252922</t>
        </is>
      </c>
      <c r="E83" s="9" t="n">
        <v>39306023</v>
      </c>
      <c r="F83" s="9" t="n">
        <v>493514.448</v>
      </c>
      <c r="G83" s="9" t="n">
        <v>79.65000000000001</v>
      </c>
      <c r="H83" s="9" t="n">
        <v>134.57</v>
      </c>
      <c r="I83" s="9" t="n">
        <v>0.5918</v>
      </c>
      <c r="J83" s="9" t="inlineStr">
        <is>
          <t>propio</t>
        </is>
      </c>
      <c r="K83" s="8" t="n"/>
      <c r="L83" s="11">
        <f>IF(F83=0,"",E83/F83)</f>
        <v/>
      </c>
      <c r="M83" s="11">
        <f>IF(ISNUMBER(L83),ROUND(L83-G83,4),"")</f>
        <v/>
      </c>
      <c r="N83" s="11">
        <f>IF(H83=0,"",G83/H83)</f>
        <v/>
      </c>
      <c r="O83" s="11">
        <f>IF(ISNUMBER(N83),ROUND(N83-I83,4),"")</f>
        <v/>
      </c>
    </row>
    <row r="84">
      <c r="A84" s="6" t="inlineStr">
        <is>
          <t>fluorita</t>
        </is>
      </c>
      <c r="B84" s="6" t="inlineStr">
        <is>
          <t>no metalico/industrial</t>
        </is>
      </c>
      <c r="C84" s="6" t="n">
        <v>2004</v>
      </c>
      <c r="D84" s="6" t="inlineStr">
        <is>
          <t>252921;252922</t>
        </is>
      </c>
      <c r="E84" s="6" t="n">
        <v>49277614</v>
      </c>
      <c r="F84" s="6" t="n">
        <v>612322.0699999999</v>
      </c>
      <c r="G84" s="6" t="n">
        <v>80.48</v>
      </c>
      <c r="H84" s="6" t="n">
        <v>159</v>
      </c>
      <c r="I84" s="6" t="n">
        <v>0.5061</v>
      </c>
      <c r="J84" s="6" t="inlineStr">
        <is>
          <t>propio</t>
        </is>
      </c>
      <c r="K84" s="5" t="n"/>
      <c r="L84" s="11">
        <f>IF(F84=0,"",E84/F84)</f>
        <v/>
      </c>
      <c r="M84" s="11">
        <f>IF(ISNUMBER(L84),ROUND(L84-G84,4),"")</f>
        <v/>
      </c>
      <c r="N84" s="11">
        <f>IF(H84=0,"",G84/H84)</f>
        <v/>
      </c>
      <c r="O84" s="11">
        <f>IF(ISNUMBER(N84),ROUND(N84-I84,4),"")</f>
        <v/>
      </c>
    </row>
    <row r="85">
      <c r="A85" s="9" t="inlineStr">
        <is>
          <t>fluorita</t>
        </is>
      </c>
      <c r="B85" s="9" t="inlineStr">
        <is>
          <t>no metalico/industrial</t>
        </is>
      </c>
      <c r="C85" s="9" t="n">
        <v>2005</v>
      </c>
      <c r="D85" s="9" t="inlineStr">
        <is>
          <t>252921;252922</t>
        </is>
      </c>
      <c r="E85" s="9" t="n">
        <v>54291105</v>
      </c>
      <c r="F85" s="9" t="n">
        <v>594471.735</v>
      </c>
      <c r="G85" s="9" t="n">
        <v>91.33</v>
      </c>
      <c r="H85" s="9" t="n">
        <v>194</v>
      </c>
      <c r="I85" s="9" t="n">
        <v>0.4708</v>
      </c>
      <c r="J85" s="9" t="inlineStr">
        <is>
          <t>propio</t>
        </is>
      </c>
      <c r="K85" s="8" t="n"/>
      <c r="L85" s="11">
        <f>IF(F85=0,"",E85/F85)</f>
        <v/>
      </c>
      <c r="M85" s="11">
        <f>IF(ISNUMBER(L85),ROUND(L85-G85,4),"")</f>
        <v/>
      </c>
      <c r="N85" s="11">
        <f>IF(H85=0,"",G85/H85)</f>
        <v/>
      </c>
      <c r="O85" s="11">
        <f>IF(ISNUMBER(N85),ROUND(N85-I85,4),"")</f>
        <v/>
      </c>
    </row>
    <row r="86">
      <c r="A86" s="6" t="inlineStr">
        <is>
          <t>fluorita</t>
        </is>
      </c>
      <c r="B86" s="6" t="inlineStr">
        <is>
          <t>no metalico/industrial</t>
        </is>
      </c>
      <c r="C86" s="6" t="n">
        <v>2006</v>
      </c>
      <c r="D86" s="6" t="inlineStr">
        <is>
          <t>252921;252922</t>
        </is>
      </c>
      <c r="E86" s="6" t="n">
        <v>58580333</v>
      </c>
      <c r="F86" s="6" t="n">
        <v>568245.498</v>
      </c>
      <c r="G86" s="6" t="n">
        <v>103.09</v>
      </c>
      <c r="H86" s="6" t="n">
        <v>203</v>
      </c>
      <c r="I86" s="6" t="n">
        <v>0.5078</v>
      </c>
      <c r="J86" s="6" t="inlineStr">
        <is>
          <t>propio</t>
        </is>
      </c>
      <c r="K86" s="5" t="n"/>
      <c r="L86" s="11">
        <f>IF(F86=0,"",E86/F86)</f>
        <v/>
      </c>
      <c r="M86" s="11">
        <f>IF(ISNUMBER(L86),ROUND(L86-G86,4),"")</f>
        <v/>
      </c>
      <c r="N86" s="11">
        <f>IF(H86=0,"",G86/H86)</f>
        <v/>
      </c>
      <c r="O86" s="11">
        <f>IF(ISNUMBER(N86),ROUND(N86-I86,4),"")</f>
        <v/>
      </c>
    </row>
    <row r="87">
      <c r="A87" s="9" t="inlineStr">
        <is>
          <t>fluorita</t>
        </is>
      </c>
      <c r="B87" s="9" t="inlineStr">
        <is>
          <t>no metalico/industrial</t>
        </is>
      </c>
      <c r="C87" s="9" t="n">
        <v>2007</v>
      </c>
      <c r="D87" s="9" t="inlineStr">
        <is>
          <t>252921;252922</t>
        </is>
      </c>
      <c r="E87" s="9" t="n">
        <v>79398700</v>
      </c>
      <c r="F87" s="9" t="n">
        <v>684465.919</v>
      </c>
      <c r="G87" s="9" t="n">
        <v>116</v>
      </c>
      <c r="H87" s="9" t="n">
        <v>179.45</v>
      </c>
      <c r="I87" s="9" t="n">
        <v>0.6464</v>
      </c>
      <c r="J87" s="9" t="inlineStr">
        <is>
          <t>propio</t>
        </is>
      </c>
      <c r="K87" s="8" t="n"/>
      <c r="L87" s="11">
        <f>IF(F87=0,"",E87/F87)</f>
        <v/>
      </c>
      <c r="M87" s="11">
        <f>IF(ISNUMBER(L87),ROUND(L87-G87,4),"")</f>
        <v/>
      </c>
      <c r="N87" s="11">
        <f>IF(H87=0,"",G87/H87)</f>
        <v/>
      </c>
      <c r="O87" s="11">
        <f>IF(ISNUMBER(N87),ROUND(N87-I87,4),"")</f>
        <v/>
      </c>
    </row>
    <row r="88">
      <c r="A88" s="6" t="inlineStr">
        <is>
          <t>fluorita</t>
        </is>
      </c>
      <c r="B88" s="6" t="inlineStr">
        <is>
          <t>no metalico/industrial</t>
        </is>
      </c>
      <c r="C88" s="6" t="n">
        <v>2008</v>
      </c>
      <c r="D88" s="6" t="inlineStr">
        <is>
          <t>252921;252922</t>
        </is>
      </c>
      <c r="E88" s="6" t="n">
        <v>96728605</v>
      </c>
      <c r="F88" s="6" t="n">
        <v>753035.998</v>
      </c>
      <c r="G88" s="6" t="n">
        <v>128.45</v>
      </c>
      <c r="H88" s="6" t="n">
        <v>233.06</v>
      </c>
      <c r="I88" s="6" t="n">
        <v>0.5512</v>
      </c>
      <c r="J88" s="6" t="inlineStr">
        <is>
          <t>propio</t>
        </is>
      </c>
      <c r="K88" s="5" t="n"/>
      <c r="L88" s="11">
        <f>IF(F88=0,"",E88/F88)</f>
        <v/>
      </c>
      <c r="M88" s="11">
        <f>IF(ISNUMBER(L88),ROUND(L88-G88,4),"")</f>
        <v/>
      </c>
      <c r="N88" s="11">
        <f>IF(H88=0,"",G88/H88)</f>
        <v/>
      </c>
      <c r="O88" s="11">
        <f>IF(ISNUMBER(N88),ROUND(N88-I88,4),"")</f>
        <v/>
      </c>
    </row>
    <row r="89">
      <c r="A89" s="9" t="inlineStr">
        <is>
          <t>fluorita</t>
        </is>
      </c>
      <c r="B89" s="9" t="inlineStr">
        <is>
          <t>no metalico/industrial</t>
        </is>
      </c>
      <c r="C89" s="9" t="n">
        <v>2009</v>
      </c>
      <c r="D89" s="9" t="inlineStr">
        <is>
          <t>252921;252922</t>
        </is>
      </c>
      <c r="E89" s="9" t="n">
        <v>91735772</v>
      </c>
      <c r="F89" s="9" t="n">
        <v>604882.6629999999</v>
      </c>
      <c r="G89" s="9" t="n">
        <v>151.66</v>
      </c>
      <c r="H89" s="9" t="n">
        <v>221.56</v>
      </c>
      <c r="I89" s="9" t="n">
        <v>0.6845</v>
      </c>
      <c r="J89" s="9" t="inlineStr">
        <is>
          <t>propio</t>
        </is>
      </c>
      <c r="K89" s="8" t="n"/>
      <c r="L89" s="11">
        <f>IF(F89=0,"",E89/F89)</f>
        <v/>
      </c>
      <c r="M89" s="11">
        <f>IF(ISNUMBER(L89),ROUND(L89-G89,4),"")</f>
        <v/>
      </c>
      <c r="N89" s="11">
        <f>IF(H89=0,"",G89/H89)</f>
        <v/>
      </c>
      <c r="O89" s="11">
        <f>IF(ISNUMBER(N89),ROUND(N89-I89,4),"")</f>
        <v/>
      </c>
    </row>
    <row r="90">
      <c r="A90" s="6" t="inlineStr">
        <is>
          <t>fluorita</t>
        </is>
      </c>
      <c r="B90" s="6" t="inlineStr">
        <is>
          <t>no metalico/industrial</t>
        </is>
      </c>
      <c r="C90" s="6" t="n">
        <v>2010</v>
      </c>
      <c r="D90" s="6" t="inlineStr">
        <is>
          <t>252921;252922</t>
        </is>
      </c>
      <c r="E90" s="6" t="n">
        <v>117263814</v>
      </c>
      <c r="F90" s="6" t="n">
        <v>764446.196</v>
      </c>
      <c r="G90" s="6" t="n">
        <v>153.4</v>
      </c>
      <c r="H90" s="6" t="n">
        <v>191.54</v>
      </c>
      <c r="I90" s="6" t="n">
        <v>0.8008999999999999</v>
      </c>
      <c r="J90" s="6" t="inlineStr">
        <is>
          <t>propio</t>
        </is>
      </c>
      <c r="K90" s="5" t="n"/>
      <c r="L90" s="11">
        <f>IF(F90=0,"",E90/F90)</f>
        <v/>
      </c>
      <c r="M90" s="11">
        <f>IF(ISNUMBER(L90),ROUND(L90-G90,4),"")</f>
        <v/>
      </c>
      <c r="N90" s="11">
        <f>IF(H90=0,"",G90/H90)</f>
        <v/>
      </c>
      <c r="O90" s="11">
        <f>IF(ISNUMBER(N90),ROUND(N90-I90,4),"")</f>
        <v/>
      </c>
    </row>
    <row r="91">
      <c r="A91" s="9" t="inlineStr">
        <is>
          <t>fluorita</t>
        </is>
      </c>
      <c r="B91" s="9" t="inlineStr">
        <is>
          <t>no metalico/industrial</t>
        </is>
      </c>
      <c r="C91" s="9" t="n">
        <v>2011</v>
      </c>
      <c r="D91" s="9" t="inlineStr">
        <is>
          <t>252921;252922</t>
        </is>
      </c>
      <c r="E91" s="9" t="n">
        <v>152988640</v>
      </c>
      <c r="F91" s="9" t="n">
        <v>1011147.259</v>
      </c>
      <c r="G91" s="9" t="n">
        <v>151.3</v>
      </c>
      <c r="H91" s="9" t="n">
        <v>212.32</v>
      </c>
      <c r="I91" s="9" t="n">
        <v>0.7126</v>
      </c>
      <c r="J91" s="9" t="inlineStr">
        <is>
          <t>propio</t>
        </is>
      </c>
      <c r="K91" s="8" t="n"/>
      <c r="L91" s="11">
        <f>IF(F91=0,"",E91/F91)</f>
        <v/>
      </c>
      <c r="M91" s="11">
        <f>IF(ISNUMBER(L91),ROUND(L91-G91,4),"")</f>
        <v/>
      </c>
      <c r="N91" s="11">
        <f>IF(H91=0,"",G91/H91)</f>
        <v/>
      </c>
      <c r="O91" s="11">
        <f>IF(ISNUMBER(N91),ROUND(N91-I91,4),"")</f>
        <v/>
      </c>
    </row>
    <row r="92">
      <c r="A92" s="6" t="inlineStr">
        <is>
          <t>fluorita</t>
        </is>
      </c>
      <c r="B92" s="6" t="inlineStr">
        <is>
          <t>no metalico/industrial</t>
        </is>
      </c>
      <c r="C92" s="6" t="n">
        <v>2012</v>
      </c>
      <c r="D92" s="6" t="inlineStr">
        <is>
          <t>252921;252922</t>
        </is>
      </c>
      <c r="E92" s="6" t="n">
        <v>207835946</v>
      </c>
      <c r="F92" s="6" t="n">
        <v>927790.255</v>
      </c>
      <c r="G92" s="6" t="n">
        <v>224.01</v>
      </c>
      <c r="H92" s="6" t="n">
        <v>253.81</v>
      </c>
      <c r="I92" s="6" t="n">
        <v>0.8826000000000001</v>
      </c>
      <c r="J92" s="6" t="inlineStr">
        <is>
          <t>propio</t>
        </is>
      </c>
      <c r="K92" s="5" t="n"/>
      <c r="L92" s="11">
        <f>IF(F92=0,"",E92/F92)</f>
        <v/>
      </c>
      <c r="M92" s="11">
        <f>IF(ISNUMBER(L92),ROUND(L92-G92,4),"")</f>
        <v/>
      </c>
      <c r="N92" s="11">
        <f>IF(H92=0,"",G92/H92)</f>
        <v/>
      </c>
      <c r="O92" s="11">
        <f>IF(ISNUMBER(N92),ROUND(N92-I92,4),"")</f>
        <v/>
      </c>
    </row>
    <row r="93">
      <c r="A93" s="9" t="inlineStr">
        <is>
          <t>fluorita</t>
        </is>
      </c>
      <c r="B93" s="9" t="inlineStr">
        <is>
          <t>no metalico/industrial</t>
        </is>
      </c>
      <c r="C93" s="9" t="n">
        <v>2013</v>
      </c>
      <c r="D93" s="9" t="inlineStr">
        <is>
          <t>252921;252922</t>
        </is>
      </c>
      <c r="E93" s="9" t="n">
        <v>164211292</v>
      </c>
      <c r="F93" s="9" t="n">
        <v>777141.778</v>
      </c>
      <c r="G93" s="9" t="n">
        <v>211.3</v>
      </c>
      <c r="H93" s="9" t="n">
        <v>229.14</v>
      </c>
      <c r="I93" s="9" t="n">
        <v>0.9221</v>
      </c>
      <c r="J93" s="9" t="inlineStr">
        <is>
          <t>propio</t>
        </is>
      </c>
      <c r="K93" s="8" t="n"/>
      <c r="L93" s="11">
        <f>IF(F93=0,"",E93/F93)</f>
        <v/>
      </c>
      <c r="M93" s="11">
        <f>IF(ISNUMBER(L93),ROUND(L93-G93,4),"")</f>
        <v/>
      </c>
      <c r="N93" s="11">
        <f>IF(H93=0,"",G93/H93)</f>
        <v/>
      </c>
      <c r="O93" s="11">
        <f>IF(ISNUMBER(N93),ROUND(N93-I93,4),"")</f>
        <v/>
      </c>
    </row>
    <row r="94">
      <c r="A94" s="6" t="inlineStr">
        <is>
          <t>fluorita</t>
        </is>
      </c>
      <c r="B94" s="6" t="inlineStr">
        <is>
          <t>no metalico/industrial</t>
        </is>
      </c>
      <c r="C94" s="6" t="n">
        <v>2014</v>
      </c>
      <c r="D94" s="6" t="inlineStr">
        <is>
          <t>252921;252922</t>
        </is>
      </c>
      <c r="E94" s="6" t="n">
        <v>69212880</v>
      </c>
      <c r="F94" s="6" t="n">
        <v>298718.59</v>
      </c>
      <c r="G94" s="6" t="n">
        <v>231.7</v>
      </c>
      <c r="H94" s="6" t="n">
        <v>254.21</v>
      </c>
      <c r="I94" s="6" t="n">
        <v>0.9114</v>
      </c>
      <c r="J94" s="6" t="inlineStr">
        <is>
          <t>propio</t>
        </is>
      </c>
      <c r="K94" s="5" t="n"/>
      <c r="L94" s="11">
        <f>IF(F94=0,"",E94/F94)</f>
        <v/>
      </c>
      <c r="M94" s="11">
        <f>IF(ISNUMBER(L94),ROUND(L94-G94,4),"")</f>
        <v/>
      </c>
      <c r="N94" s="11">
        <f>IF(H94=0,"",G94/H94)</f>
        <v/>
      </c>
      <c r="O94" s="11">
        <f>IF(ISNUMBER(N94),ROUND(N94-I94,4),"")</f>
        <v/>
      </c>
    </row>
    <row r="95">
      <c r="A95" s="9" t="inlineStr">
        <is>
          <t>fluorita</t>
        </is>
      </c>
      <c r="B95" s="9" t="inlineStr">
        <is>
          <t>no metalico/industrial</t>
        </is>
      </c>
      <c r="C95" s="9" t="n">
        <v>2015</v>
      </c>
      <c r="D95" s="9" t="inlineStr">
        <is>
          <t>252921;252922</t>
        </is>
      </c>
      <c r="E95" s="9" t="n">
        <v>59599502</v>
      </c>
      <c r="F95" s="9" t="n">
        <v>153893.416</v>
      </c>
      <c r="G95" s="9" t="n">
        <v>387.28</v>
      </c>
      <c r="H95" s="9" t="n">
        <v>285.23</v>
      </c>
      <c r="I95" s="9" t="n">
        <v>1.3578</v>
      </c>
      <c r="J95" s="9" t="inlineStr">
        <is>
          <t>propio</t>
        </is>
      </c>
      <c r="K95" s="8" t="n"/>
      <c r="L95" s="11">
        <f>IF(F95=0,"",E95/F95)</f>
        <v/>
      </c>
      <c r="M95" s="11">
        <f>IF(ISNUMBER(L95),ROUND(L95-G95,4),"")</f>
        <v/>
      </c>
      <c r="N95" s="11">
        <f>IF(H95=0,"",G95/H95)</f>
        <v/>
      </c>
      <c r="O95" s="11">
        <f>IF(ISNUMBER(N95),ROUND(N95-I95,4),"")</f>
        <v/>
      </c>
    </row>
    <row r="96">
      <c r="A96" s="6" t="inlineStr">
        <is>
          <t>fluorita</t>
        </is>
      </c>
      <c r="B96" s="6" t="inlineStr">
        <is>
          <t>no metalico/industrial</t>
        </is>
      </c>
      <c r="C96" s="6" t="n">
        <v>2016</v>
      </c>
      <c r="D96" s="6" t="inlineStr">
        <is>
          <t>252921;252922</t>
        </is>
      </c>
      <c r="E96" s="6" t="n">
        <v>62572145</v>
      </c>
      <c r="F96" s="6" t="n">
        <v>189512.013</v>
      </c>
      <c r="G96" s="6" t="n">
        <v>330.18</v>
      </c>
      <c r="H96" s="6" t="n">
        <v>255.39</v>
      </c>
      <c r="I96" s="6" t="n">
        <v>1.2928</v>
      </c>
      <c r="J96" s="6" t="inlineStr">
        <is>
          <t>propio</t>
        </is>
      </c>
      <c r="K96" s="5" t="n"/>
      <c r="L96" s="11">
        <f>IF(F96=0,"",E96/F96)</f>
        <v/>
      </c>
      <c r="M96" s="11">
        <f>IF(ISNUMBER(L96),ROUND(L96-G96,4),"")</f>
        <v/>
      </c>
      <c r="N96" s="11">
        <f>IF(H96=0,"",G96/H96)</f>
        <v/>
      </c>
      <c r="O96" s="11">
        <f>IF(ISNUMBER(N96),ROUND(N96-I96,4),"")</f>
        <v/>
      </c>
    </row>
    <row r="97">
      <c r="A97" s="9" t="inlineStr">
        <is>
          <t>fluorita</t>
        </is>
      </c>
      <c r="B97" s="9" t="inlineStr">
        <is>
          <t>no metalico/industrial</t>
        </is>
      </c>
      <c r="C97" s="9" t="n">
        <v>2017</v>
      </c>
      <c r="D97" s="9" t="inlineStr">
        <is>
          <t>252921;252922</t>
        </is>
      </c>
      <c r="E97" s="9" t="n">
        <v>71003890</v>
      </c>
      <c r="F97" s="9" t="n">
        <v>211708.163</v>
      </c>
      <c r="G97" s="9" t="n">
        <v>335.39</v>
      </c>
      <c r="H97" s="9" t="n">
        <v>249.77</v>
      </c>
      <c r="I97" s="9" t="n">
        <v>1.3428</v>
      </c>
      <c r="J97" s="9" t="inlineStr">
        <is>
          <t>propio</t>
        </is>
      </c>
      <c r="K97" s="8" t="n"/>
      <c r="L97" s="11">
        <f>IF(F97=0,"",E97/F97)</f>
        <v/>
      </c>
      <c r="M97" s="11">
        <f>IF(ISNUMBER(L97),ROUND(L97-G97,4),"")</f>
        <v/>
      </c>
      <c r="N97" s="11">
        <f>IF(H97=0,"",G97/H97)</f>
        <v/>
      </c>
      <c r="O97" s="11">
        <f>IF(ISNUMBER(N97),ROUND(N97-I97,4),"")</f>
        <v/>
      </c>
    </row>
    <row r="98">
      <c r="A98" s="6" t="inlineStr">
        <is>
          <t>fluorita</t>
        </is>
      </c>
      <c r="B98" s="6" t="inlineStr">
        <is>
          <t>no metalico/industrial</t>
        </is>
      </c>
      <c r="C98" s="6" t="n">
        <v>2018</v>
      </c>
      <c r="D98" s="6" t="inlineStr">
        <is>
          <t>252921;252922</t>
        </is>
      </c>
      <c r="E98" s="6" t="n">
        <v>73420659</v>
      </c>
      <c r="F98" s="6" t="n">
        <v>126901.474</v>
      </c>
      <c r="G98" s="6" t="n">
        <v>439.84</v>
      </c>
      <c r="H98" s="6" t="n">
        <v>258.19</v>
      </c>
      <c r="I98" s="6" t="n">
        <v>1.7035</v>
      </c>
      <c r="J98" s="6" t="inlineStr">
        <is>
          <t>propio</t>
        </is>
      </c>
      <c r="K98" s="5" t="inlineStr">
        <is>
          <t>valor unit. sobre 1/2 fracciones E1 con peso</t>
        </is>
      </c>
      <c r="L98" s="11">
        <f>IF(F98=0,"",E98/F98)</f>
        <v/>
      </c>
      <c r="M98" s="11">
        <f>IF(ISNUMBER(L98),ROUND(L98-G98,4),"")</f>
        <v/>
      </c>
      <c r="N98" s="11">
        <f>IF(H98=0,"",G98/H98)</f>
        <v/>
      </c>
      <c r="O98" s="11">
        <f>IF(ISNUMBER(N98),ROUND(N98-I98,4),"")</f>
        <v/>
      </c>
    </row>
    <row r="99">
      <c r="A99" s="9" t="inlineStr">
        <is>
          <t>fluorita</t>
        </is>
      </c>
      <c r="B99" s="9" t="inlineStr">
        <is>
          <t>no metalico/industrial</t>
        </is>
      </c>
      <c r="C99" s="9" t="n">
        <v>2019</v>
      </c>
      <c r="D99" s="9" t="inlineStr">
        <is>
          <t>252921;252922</t>
        </is>
      </c>
      <c r="E99" s="9" t="n">
        <v>107197953</v>
      </c>
      <c r="F99" s="9" t="n">
        <v>219192.218</v>
      </c>
      <c r="G99" s="9" t="n">
        <v>489.06</v>
      </c>
      <c r="H99" s="9" t="n">
        <v>303.1</v>
      </c>
      <c r="I99" s="9" t="n">
        <v>1.6135</v>
      </c>
      <c r="J99" s="9" t="inlineStr">
        <is>
          <t>propio</t>
        </is>
      </c>
      <c r="K99" s="8" t="n"/>
      <c r="L99" s="11">
        <f>IF(F99=0,"",E99/F99)</f>
        <v/>
      </c>
      <c r="M99" s="11">
        <f>IF(ISNUMBER(L99),ROUND(L99-G99,4),"")</f>
        <v/>
      </c>
      <c r="N99" s="11">
        <f>IF(H99=0,"",G99/H99)</f>
        <v/>
      </c>
      <c r="O99" s="11">
        <f>IF(ISNUMBER(N99),ROUND(N99-I99,4),"")</f>
        <v/>
      </c>
    </row>
    <row r="100">
      <c r="A100" s="6" t="inlineStr">
        <is>
          <t>fluorita</t>
        </is>
      </c>
      <c r="B100" s="6" t="inlineStr">
        <is>
          <t>no metalico/industrial</t>
        </is>
      </c>
      <c r="C100" s="6" t="n">
        <v>2020</v>
      </c>
      <c r="D100" s="6" t="inlineStr">
        <is>
          <t>252921;252922</t>
        </is>
      </c>
      <c r="E100" s="6" t="n">
        <v>77026577</v>
      </c>
      <c r="F100" s="6" t="n">
        <v>66078.61500000001</v>
      </c>
      <c r="G100" s="6" t="n">
        <v>246.41</v>
      </c>
      <c r="H100" s="6" t="n">
        <v>299.35</v>
      </c>
      <c r="I100" s="6" t="n">
        <v>0.8232</v>
      </c>
      <c r="J100" s="6" t="inlineStr">
        <is>
          <t>propio</t>
        </is>
      </c>
      <c r="K100" s="5" t="inlineStr">
        <is>
          <t>valor unit. sobre 1/2 fracciones E1 con peso</t>
        </is>
      </c>
      <c r="L100" s="11">
        <f>IF(F100=0,"",E100/F100)</f>
        <v/>
      </c>
      <c r="M100" s="11">
        <f>IF(ISNUMBER(L100),ROUND(L100-G100,4),"")</f>
        <v/>
      </c>
      <c r="N100" s="11">
        <f>IF(H100=0,"",G100/H100)</f>
        <v/>
      </c>
      <c r="O100" s="11">
        <f>IF(ISNUMBER(N100),ROUND(N100-I100,4),"")</f>
        <v/>
      </c>
    </row>
    <row r="101">
      <c r="A101" s="9" t="inlineStr">
        <is>
          <t>fluorita</t>
        </is>
      </c>
      <c r="B101" s="9" t="inlineStr">
        <is>
          <t>no metalico/industrial</t>
        </is>
      </c>
      <c r="C101" s="9" t="n">
        <v>2021</v>
      </c>
      <c r="D101" s="9" t="inlineStr">
        <is>
          <t>252921;252922</t>
        </is>
      </c>
      <c r="E101" s="9" t="n">
        <v>91633901</v>
      </c>
      <c r="F101" s="9" t="n">
        <v>288867.6</v>
      </c>
      <c r="G101" s="9" t="n">
        <v>317.22</v>
      </c>
      <c r="H101" s="9" t="n">
        <v>301.23</v>
      </c>
      <c r="I101" s="9" t="n">
        <v>1.0531</v>
      </c>
      <c r="J101" s="9" t="inlineStr">
        <is>
          <t>propio</t>
        </is>
      </c>
      <c r="K101" s="8" t="n"/>
      <c r="L101" s="11">
        <f>IF(F101=0,"",E101/F101)</f>
        <v/>
      </c>
      <c r="M101" s="11">
        <f>IF(ISNUMBER(L101),ROUND(L101-G101,4),"")</f>
        <v/>
      </c>
      <c r="N101" s="11">
        <f>IF(H101=0,"",G101/H101)</f>
        <v/>
      </c>
      <c r="O101" s="11">
        <f>IF(ISNUMBER(N101),ROUND(N101-I101,4),"")</f>
        <v/>
      </c>
    </row>
    <row r="102">
      <c r="A102" s="6" t="inlineStr">
        <is>
          <t>fluorita</t>
        </is>
      </c>
      <c r="B102" s="6" t="inlineStr">
        <is>
          <t>no metalico/industrial</t>
        </is>
      </c>
      <c r="C102" s="6" t="n">
        <v>2022</v>
      </c>
      <c r="D102" s="6" t="inlineStr">
        <is>
          <t>252921;252922</t>
        </is>
      </c>
      <c r="E102" s="6" t="n">
        <v>55800331</v>
      </c>
      <c r="F102" s="6" t="n">
        <v>159212.265</v>
      </c>
      <c r="G102" s="6" t="n">
        <v>350.48</v>
      </c>
      <c r="H102" s="6" t="n">
        <v>362.03</v>
      </c>
      <c r="I102" s="6" t="n">
        <v>0.9681</v>
      </c>
      <c r="J102" s="6" t="inlineStr">
        <is>
          <t>propio</t>
        </is>
      </c>
      <c r="K102" s="5" t="n"/>
      <c r="L102" s="11">
        <f>IF(F102=0,"",E102/F102)</f>
        <v/>
      </c>
      <c r="M102" s="11">
        <f>IF(ISNUMBER(L102),ROUND(L102-G102,4),"")</f>
        <v/>
      </c>
      <c r="N102" s="11">
        <f>IF(H102=0,"",G102/H102)</f>
        <v/>
      </c>
      <c r="O102" s="11">
        <f>IF(ISNUMBER(N102),ROUND(N102-I102,4),"")</f>
        <v/>
      </c>
    </row>
    <row r="103">
      <c r="A103" s="9" t="inlineStr">
        <is>
          <t>fluorita</t>
        </is>
      </c>
      <c r="B103" s="9" t="inlineStr">
        <is>
          <t>no metalico/industrial</t>
        </is>
      </c>
      <c r="C103" s="9" t="n">
        <v>2023</v>
      </c>
      <c r="D103" s="9" t="inlineStr">
        <is>
          <t>252921;252922</t>
        </is>
      </c>
      <c r="E103" s="9" t="n">
        <v>66031726</v>
      </c>
      <c r="F103" s="9" t="n">
        <v>152897.889</v>
      </c>
      <c r="G103" s="9" t="n">
        <v>431.87</v>
      </c>
      <c r="H103" s="9" t="n">
        <v>400.39</v>
      </c>
      <c r="I103" s="9" t="n">
        <v>1.0786</v>
      </c>
      <c r="J103" s="9" t="inlineStr">
        <is>
          <t>propio</t>
        </is>
      </c>
      <c r="K103" s="8" t="n"/>
      <c r="L103" s="11">
        <f>IF(F103=0,"",E103/F103)</f>
        <v/>
      </c>
      <c r="M103" s="11">
        <f>IF(ISNUMBER(L103),ROUND(L103-G103,4),"")</f>
        <v/>
      </c>
      <c r="N103" s="11">
        <f>IF(H103=0,"",G103/H103)</f>
        <v/>
      </c>
      <c r="O103" s="11">
        <f>IF(ISNUMBER(N103),ROUND(N103-I103,4),"")</f>
        <v/>
      </c>
    </row>
    <row r="104">
      <c r="A104" s="6" t="inlineStr">
        <is>
          <t>fluorita</t>
        </is>
      </c>
      <c r="B104" s="6" t="inlineStr">
        <is>
          <t>no metalico/industrial</t>
        </is>
      </c>
      <c r="C104" s="6" t="n">
        <v>2024</v>
      </c>
      <c r="D104" s="6" t="inlineStr">
        <is>
          <t>252921;252922</t>
        </is>
      </c>
      <c r="E104" s="6" t="n">
        <v>25305600</v>
      </c>
      <c r="F104" s="6" t="n">
        <v>54376.586</v>
      </c>
      <c r="G104" s="6" t="n">
        <v>465.38</v>
      </c>
      <c r="H104" s="6" t="n">
        <v>434.06</v>
      </c>
      <c r="I104" s="6" t="n">
        <v>1.0721</v>
      </c>
      <c r="J104" s="6" t="inlineStr">
        <is>
          <t>propio</t>
        </is>
      </c>
      <c r="K104" s="5" t="n"/>
      <c r="L104" s="11">
        <f>IF(F104=0,"",E104/F104)</f>
        <v/>
      </c>
      <c r="M104" s="11">
        <f>IF(ISNUMBER(L104),ROUND(L104-G104,4),"")</f>
        <v/>
      </c>
      <c r="N104" s="11">
        <f>IF(H104=0,"",G104/H104)</f>
        <v/>
      </c>
      <c r="O104" s="11">
        <f>IF(ISNUMBER(N104),ROUND(N104-I104,4),"")</f>
        <v/>
      </c>
    </row>
    <row r="105">
      <c r="A105" s="9" t="inlineStr">
        <is>
          <t>fluorita</t>
        </is>
      </c>
      <c r="B105" s="9" t="inlineStr">
        <is>
          <t>no metalico/industrial</t>
        </is>
      </c>
      <c r="C105" s="9" t="n">
        <v>2025</v>
      </c>
      <c r="D105" s="9" t="inlineStr">
        <is>
          <t>252921;252922</t>
        </is>
      </c>
      <c r="E105" s="9" t="n">
        <v>51346506</v>
      </c>
      <c r="F105" s="9" t="n">
        <v>103272.109</v>
      </c>
      <c r="G105" s="9" t="n">
        <v>497.2</v>
      </c>
      <c r="H105" s="9" t="n">
        <v>439.68</v>
      </c>
      <c r="I105" s="9" t="n">
        <v>1.1308</v>
      </c>
      <c r="J105" s="9" t="inlineStr">
        <is>
          <t>propio</t>
        </is>
      </c>
      <c r="K105" s="8" t="n"/>
      <c r="L105" s="11">
        <f>IF(F105=0,"",E105/F105)</f>
        <v/>
      </c>
      <c r="M105" s="11">
        <f>IF(ISNUMBER(L105),ROUND(L105-G105,4),"")</f>
        <v/>
      </c>
      <c r="N105" s="11">
        <f>IF(H105=0,"",G105/H105)</f>
        <v/>
      </c>
      <c r="O105" s="11">
        <f>IF(ISNUMBER(N105),ROUND(N105-I105,4),"")</f>
        <v/>
      </c>
    </row>
    <row r="106">
      <c r="A106" s="6" t="inlineStr">
        <is>
          <t>grafito</t>
        </is>
      </c>
      <c r="B106" s="6" t="inlineStr">
        <is>
          <t>no metalico/industrial</t>
        </is>
      </c>
      <c r="C106" s="6" t="n">
        <v>1992</v>
      </c>
      <c r="D106" s="6" t="inlineStr">
        <is>
          <t>250410;250490</t>
        </is>
      </c>
      <c r="E106" s="6" t="n">
        <v>3073000</v>
      </c>
      <c r="F106" s="6" t="n">
        <v>14265.073</v>
      </c>
      <c r="G106" s="6" t="n">
        <v>215.42</v>
      </c>
      <c r="H106" s="6" t="n">
        <v>513.1</v>
      </c>
      <c r="I106" s="6" t="n">
        <v>0.4198</v>
      </c>
      <c r="J106" s="6" t="inlineStr">
        <is>
          <t>propio</t>
        </is>
      </c>
      <c r="K106" s="5" t="n"/>
      <c r="L106" s="11">
        <f>IF(F106=0,"",E106/F106)</f>
        <v/>
      </c>
      <c r="M106" s="11">
        <f>IF(ISNUMBER(L106),ROUND(L106-G106,4),"")</f>
        <v/>
      </c>
      <c r="N106" s="11">
        <f>IF(H106=0,"",G106/H106)</f>
        <v/>
      </c>
      <c r="O106" s="11">
        <f>IF(ISNUMBER(N106),ROUND(N106-I106,4),"")</f>
        <v/>
      </c>
    </row>
    <row r="107">
      <c r="A107" s="9" t="inlineStr">
        <is>
          <t>grafito</t>
        </is>
      </c>
      <c r="B107" s="9" t="inlineStr">
        <is>
          <t>no metalico/industrial</t>
        </is>
      </c>
      <c r="C107" s="9" t="n">
        <v>1993</v>
      </c>
      <c r="D107" s="9" t="inlineStr">
        <is>
          <t>250410;250490</t>
        </is>
      </c>
      <c r="E107" s="9" t="n">
        <v>1995000</v>
      </c>
      <c r="F107" s="9" t="n">
        <v>13901.475</v>
      </c>
      <c r="G107" s="9" t="n">
        <v>143.51</v>
      </c>
      <c r="H107" s="9" t="n">
        <v>572.8</v>
      </c>
      <c r="I107" s="9" t="n">
        <v>0.2505</v>
      </c>
      <c r="J107" s="9" t="inlineStr">
        <is>
          <t>propio</t>
        </is>
      </c>
      <c r="K107" s="8" t="n"/>
      <c r="L107" s="11">
        <f>IF(F107=0,"",E107/F107)</f>
        <v/>
      </c>
      <c r="M107" s="11">
        <f>IF(ISNUMBER(L107),ROUND(L107-G107,4),"")</f>
        <v/>
      </c>
      <c r="N107" s="11">
        <f>IF(H107=0,"",G107/H107)</f>
        <v/>
      </c>
      <c r="O107" s="11">
        <f>IF(ISNUMBER(N107),ROUND(N107-I107,4),"")</f>
        <v/>
      </c>
    </row>
    <row r="108">
      <c r="A108" s="6" t="inlineStr">
        <is>
          <t>grafito</t>
        </is>
      </c>
      <c r="B108" s="6" t="inlineStr">
        <is>
          <t>no metalico/industrial</t>
        </is>
      </c>
      <c r="C108" s="6" t="n">
        <v>1994</v>
      </c>
      <c r="D108" s="6" t="inlineStr">
        <is>
          <t>250410;250490</t>
        </is>
      </c>
      <c r="E108" s="6" t="n">
        <v>2376785</v>
      </c>
      <c r="F108" s="6" t="n">
        <v>17042.182</v>
      </c>
      <c r="G108" s="6" t="n">
        <v>139.46</v>
      </c>
      <c r="H108" s="6" t="n">
        <v>506.6</v>
      </c>
      <c r="I108" s="6" t="n">
        <v>0.2753</v>
      </c>
      <c r="J108" s="6" t="inlineStr">
        <is>
          <t>propio</t>
        </is>
      </c>
      <c r="K108" s="5" t="n"/>
      <c r="L108" s="11">
        <f>IF(F108=0,"",E108/F108)</f>
        <v/>
      </c>
      <c r="M108" s="11">
        <f>IF(ISNUMBER(L108),ROUND(L108-G108,4),"")</f>
        <v/>
      </c>
      <c r="N108" s="11">
        <f>IF(H108=0,"",G108/H108)</f>
        <v/>
      </c>
      <c r="O108" s="11">
        <f>IF(ISNUMBER(N108),ROUND(N108-I108,4),"")</f>
        <v/>
      </c>
    </row>
    <row r="109">
      <c r="A109" s="9" t="inlineStr">
        <is>
          <t>grafito</t>
        </is>
      </c>
      <c r="B109" s="9" t="inlineStr">
        <is>
          <t>no metalico/industrial</t>
        </is>
      </c>
      <c r="C109" s="9" t="n">
        <v>1995</v>
      </c>
      <c r="D109" s="9" t="inlineStr">
        <is>
          <t>250410;250490</t>
        </is>
      </c>
      <c r="E109" s="9" t="n">
        <v>2264000</v>
      </c>
      <c r="F109" s="9" t="n">
        <v>15107.803</v>
      </c>
      <c r="G109" s="9" t="n">
        <v>149.86</v>
      </c>
      <c r="H109" s="9" t="n">
        <v>495.9</v>
      </c>
      <c r="I109" s="9" t="n">
        <v>0.3022</v>
      </c>
      <c r="J109" s="9" t="inlineStr">
        <is>
          <t>propio</t>
        </is>
      </c>
      <c r="K109" s="8" t="n"/>
      <c r="L109" s="11">
        <f>IF(F109=0,"",E109/F109)</f>
        <v/>
      </c>
      <c r="M109" s="11">
        <f>IF(ISNUMBER(L109),ROUND(L109-G109,4),"")</f>
        <v/>
      </c>
      <c r="N109" s="11">
        <f>IF(H109=0,"",G109/H109)</f>
        <v/>
      </c>
      <c r="O109" s="11">
        <f>IF(ISNUMBER(N109),ROUND(N109-I109,4),"")</f>
        <v/>
      </c>
    </row>
    <row r="110">
      <c r="A110" s="6" t="inlineStr">
        <is>
          <t>grafito</t>
        </is>
      </c>
      <c r="B110" s="6" t="inlineStr">
        <is>
          <t>no metalico/industrial</t>
        </is>
      </c>
      <c r="C110" s="6" t="n">
        <v>1996</v>
      </c>
      <c r="D110" s="6" t="inlineStr">
        <is>
          <t>250410;250490</t>
        </is>
      </c>
      <c r="E110" s="6" t="n">
        <v>2075280</v>
      </c>
      <c r="F110" s="6" t="n">
        <v>16366.437</v>
      </c>
      <c r="G110" s="6" t="n">
        <v>126.8</v>
      </c>
      <c r="H110" s="6" t="n">
        <v>535.6</v>
      </c>
      <c r="I110" s="6" t="n">
        <v>0.2367</v>
      </c>
      <c r="J110" s="6" t="inlineStr">
        <is>
          <t>propio</t>
        </is>
      </c>
      <c r="K110" s="5" t="n"/>
      <c r="L110" s="11">
        <f>IF(F110=0,"",E110/F110)</f>
        <v/>
      </c>
      <c r="M110" s="11">
        <f>IF(ISNUMBER(L110),ROUND(L110-G110,4),"")</f>
        <v/>
      </c>
      <c r="N110" s="11">
        <f>IF(H110=0,"",G110/H110)</f>
        <v/>
      </c>
      <c r="O110" s="11">
        <f>IF(ISNUMBER(N110),ROUND(N110-I110,4),"")</f>
        <v/>
      </c>
    </row>
    <row r="111">
      <c r="A111" s="9" t="inlineStr">
        <is>
          <t>grafito</t>
        </is>
      </c>
      <c r="B111" s="9" t="inlineStr">
        <is>
          <t>no metalico/industrial</t>
        </is>
      </c>
      <c r="C111" s="9" t="n">
        <v>1997</v>
      </c>
      <c r="D111" s="9" t="inlineStr">
        <is>
          <t>250410;250490</t>
        </is>
      </c>
      <c r="E111" s="9" t="n">
        <v>2299340</v>
      </c>
      <c r="F111" s="9" t="n">
        <v>16651.105</v>
      </c>
      <c r="G111" s="9" t="n">
        <v>138.09</v>
      </c>
      <c r="H111" s="9" t="n">
        <v>557.7</v>
      </c>
      <c r="I111" s="9" t="n">
        <v>0.2476</v>
      </c>
      <c r="J111" s="9" t="inlineStr">
        <is>
          <t>propio</t>
        </is>
      </c>
      <c r="K111" s="8" t="n"/>
      <c r="L111" s="11">
        <f>IF(F111=0,"",E111/F111)</f>
        <v/>
      </c>
      <c r="M111" s="11">
        <f>IF(ISNUMBER(L111),ROUND(L111-G111,4),"")</f>
        <v/>
      </c>
      <c r="N111" s="11">
        <f>IF(H111=0,"",G111/H111)</f>
        <v/>
      </c>
      <c r="O111" s="11">
        <f>IF(ISNUMBER(N111),ROUND(N111-I111,4),"")</f>
        <v/>
      </c>
    </row>
    <row r="112">
      <c r="A112" s="6" t="inlineStr">
        <is>
          <t>grafito</t>
        </is>
      </c>
      <c r="B112" s="6" t="inlineStr">
        <is>
          <t>no metalico/industrial</t>
        </is>
      </c>
      <c r="C112" s="6" t="n">
        <v>1998</v>
      </c>
      <c r="D112" s="6" t="inlineStr">
        <is>
          <t>250410;250490</t>
        </is>
      </c>
      <c r="E112" s="6" t="n">
        <v>2571031</v>
      </c>
      <c r="F112" s="6" t="n">
        <v>16973.697</v>
      </c>
      <c r="G112" s="6" t="n">
        <v>151.47</v>
      </c>
      <c r="H112" s="6" t="n">
        <v>565</v>
      </c>
      <c r="I112" s="6" t="n">
        <v>0.2681</v>
      </c>
      <c r="J112" s="6" t="inlineStr">
        <is>
          <t>propio</t>
        </is>
      </c>
      <c r="K112" s="5" t="n"/>
      <c r="L112" s="11">
        <f>IF(F112=0,"",E112/F112)</f>
        <v/>
      </c>
      <c r="M112" s="11">
        <f>IF(ISNUMBER(L112),ROUND(L112-G112,4),"")</f>
        <v/>
      </c>
      <c r="N112" s="11">
        <f>IF(H112=0,"",G112/H112)</f>
        <v/>
      </c>
      <c r="O112" s="11">
        <f>IF(ISNUMBER(N112),ROUND(N112-I112,4),"")</f>
        <v/>
      </c>
    </row>
    <row r="113">
      <c r="A113" s="9" t="inlineStr">
        <is>
          <t>grafito</t>
        </is>
      </c>
      <c r="B113" s="9" t="inlineStr">
        <is>
          <t>no metalico/industrial</t>
        </is>
      </c>
      <c r="C113" s="9" t="n">
        <v>1999</v>
      </c>
      <c r="D113" s="9" t="inlineStr">
        <is>
          <t>250410;250490</t>
        </is>
      </c>
      <c r="E113" s="9" t="n">
        <v>2027221</v>
      </c>
      <c r="F113" s="9" t="n">
        <v>15039.472</v>
      </c>
      <c r="G113" s="9" t="n">
        <v>134.79</v>
      </c>
      <c r="H113" s="9" t="n">
        <v>624</v>
      </c>
      <c r="I113" s="9" t="n">
        <v>0.216</v>
      </c>
      <c r="J113" s="9" t="inlineStr">
        <is>
          <t>propio</t>
        </is>
      </c>
      <c r="K113" s="8" t="n"/>
      <c r="L113" s="11">
        <f>IF(F113=0,"",E113/F113)</f>
        <v/>
      </c>
      <c r="M113" s="11">
        <f>IF(ISNUMBER(L113),ROUND(L113-G113,4),"")</f>
        <v/>
      </c>
      <c r="N113" s="11">
        <f>IF(H113=0,"",G113/H113)</f>
        <v/>
      </c>
      <c r="O113" s="11">
        <f>IF(ISNUMBER(N113),ROUND(N113-I113,4),"")</f>
        <v/>
      </c>
    </row>
    <row r="114">
      <c r="A114" s="6" t="inlineStr">
        <is>
          <t>grafito</t>
        </is>
      </c>
      <c r="B114" s="6" t="inlineStr">
        <is>
          <t>no metalico/industrial</t>
        </is>
      </c>
      <c r="C114" s="6" t="n">
        <v>2000</v>
      </c>
      <c r="D114" s="6" t="inlineStr">
        <is>
          <t>250410;250490</t>
        </is>
      </c>
      <c r="E114" s="6" t="n">
        <v>2392258</v>
      </c>
      <c r="F114" s="6" t="n">
        <v>15888.038</v>
      </c>
      <c r="G114" s="6" t="n">
        <v>150.57</v>
      </c>
      <c r="H114" s="6" t="n">
        <v>535</v>
      </c>
      <c r="I114" s="6" t="n">
        <v>0.2814</v>
      </c>
      <c r="J114" s="6" t="inlineStr">
        <is>
          <t>propio</t>
        </is>
      </c>
      <c r="K114" s="5" t="n"/>
      <c r="L114" s="11">
        <f>IF(F114=0,"",E114/F114)</f>
        <v/>
      </c>
      <c r="M114" s="11">
        <f>IF(ISNUMBER(L114),ROUND(L114-G114,4),"")</f>
        <v/>
      </c>
      <c r="N114" s="11">
        <f>IF(H114=0,"",G114/H114)</f>
        <v/>
      </c>
      <c r="O114" s="11">
        <f>IF(ISNUMBER(N114),ROUND(N114-I114,4),"")</f>
        <v/>
      </c>
    </row>
    <row r="115">
      <c r="A115" s="9" t="inlineStr">
        <is>
          <t>grafito</t>
        </is>
      </c>
      <c r="B115" s="9" t="inlineStr">
        <is>
          <t>no metalico/industrial</t>
        </is>
      </c>
      <c r="C115" s="9" t="n">
        <v>2001</v>
      </c>
      <c r="D115" s="9" t="inlineStr">
        <is>
          <t>250410;250490</t>
        </is>
      </c>
      <c r="E115" s="9" t="n">
        <v>2331722</v>
      </c>
      <c r="F115" s="9" t="n">
        <v>16972.935</v>
      </c>
      <c r="G115" s="9" t="n">
        <v>137.38</v>
      </c>
      <c r="H115" s="9" t="n">
        <v>447</v>
      </c>
      <c r="I115" s="9" t="n">
        <v>0.3073</v>
      </c>
      <c r="J115" s="9" t="inlineStr">
        <is>
          <t>propio</t>
        </is>
      </c>
      <c r="K115" s="8" t="n"/>
      <c r="L115" s="11">
        <f>IF(F115=0,"",E115/F115)</f>
        <v/>
      </c>
      <c r="M115" s="11">
        <f>IF(ISNUMBER(L115),ROUND(L115-G115,4),"")</f>
        <v/>
      </c>
      <c r="N115" s="11">
        <f>IF(H115=0,"",G115/H115)</f>
        <v/>
      </c>
      <c r="O115" s="11">
        <f>IF(ISNUMBER(N115),ROUND(N115-I115,4),"")</f>
        <v/>
      </c>
    </row>
    <row r="116">
      <c r="A116" s="6" t="inlineStr">
        <is>
          <t>grafito</t>
        </is>
      </c>
      <c r="B116" s="6" t="inlineStr">
        <is>
          <t>no metalico/industrial</t>
        </is>
      </c>
      <c r="C116" s="6" t="n">
        <v>2002</v>
      </c>
      <c r="D116" s="6" t="inlineStr">
        <is>
          <t>250410;250490</t>
        </is>
      </c>
      <c r="E116" s="6" t="n">
        <v>1540744</v>
      </c>
      <c r="F116" s="6" t="n">
        <v>11594.86</v>
      </c>
      <c r="G116" s="6" t="n">
        <v>132.88</v>
      </c>
      <c r="H116" s="6" t="n">
        <v>495</v>
      </c>
      <c r="I116" s="6" t="n">
        <v>0.2684</v>
      </c>
      <c r="J116" s="6" t="inlineStr">
        <is>
          <t>propio</t>
        </is>
      </c>
      <c r="K116" s="5" t="n"/>
      <c r="L116" s="11">
        <f>IF(F116=0,"",E116/F116)</f>
        <v/>
      </c>
      <c r="M116" s="11">
        <f>IF(ISNUMBER(L116),ROUND(L116-G116,4),"")</f>
        <v/>
      </c>
      <c r="N116" s="11">
        <f>IF(H116=0,"",G116/H116)</f>
        <v/>
      </c>
      <c r="O116" s="11">
        <f>IF(ISNUMBER(N116),ROUND(N116-I116,4),"")</f>
        <v/>
      </c>
    </row>
    <row r="117">
      <c r="A117" s="9" t="inlineStr">
        <is>
          <t>grafito</t>
        </is>
      </c>
      <c r="B117" s="9" t="inlineStr">
        <is>
          <t>no metalico/industrial</t>
        </is>
      </c>
      <c r="C117" s="9" t="n">
        <v>2003</v>
      </c>
      <c r="D117" s="9" t="inlineStr">
        <is>
          <t>250410;250490</t>
        </is>
      </c>
      <c r="E117" s="9" t="n">
        <v>1493698</v>
      </c>
      <c r="F117" s="9" t="n">
        <v>11679.68</v>
      </c>
      <c r="G117" s="9" t="n">
        <v>127.89</v>
      </c>
      <c r="H117" s="9" t="n">
        <v>467</v>
      </c>
      <c r="I117" s="9" t="n">
        <v>0.2739</v>
      </c>
      <c r="J117" s="9" t="inlineStr">
        <is>
          <t>propio</t>
        </is>
      </c>
      <c r="K117" s="8" t="n"/>
      <c r="L117" s="11">
        <f>IF(F117=0,"",E117/F117)</f>
        <v/>
      </c>
      <c r="M117" s="11">
        <f>IF(ISNUMBER(L117),ROUND(L117-G117,4),"")</f>
        <v/>
      </c>
      <c r="N117" s="11">
        <f>IF(H117=0,"",G117/H117)</f>
        <v/>
      </c>
      <c r="O117" s="11">
        <f>IF(ISNUMBER(N117),ROUND(N117-I117,4),"")</f>
        <v/>
      </c>
    </row>
    <row r="118">
      <c r="A118" s="6" t="inlineStr">
        <is>
          <t>grafito</t>
        </is>
      </c>
      <c r="B118" s="6" t="inlineStr">
        <is>
          <t>no metalico/industrial</t>
        </is>
      </c>
      <c r="C118" s="6" t="n">
        <v>2004</v>
      </c>
      <c r="D118" s="6" t="inlineStr">
        <is>
          <t>250410;250490</t>
        </is>
      </c>
      <c r="E118" s="6" t="n">
        <v>2862457</v>
      </c>
      <c r="F118" s="6" t="n">
        <v>22803.278</v>
      </c>
      <c r="G118" s="6" t="n">
        <v>125.53</v>
      </c>
      <c r="H118" s="6" t="n">
        <v>469</v>
      </c>
      <c r="I118" s="6" t="n">
        <v>0.2677</v>
      </c>
      <c r="J118" s="6" t="inlineStr">
        <is>
          <t>propio</t>
        </is>
      </c>
      <c r="K118" s="5" t="n"/>
      <c r="L118" s="11">
        <f>IF(F118=0,"",E118/F118)</f>
        <v/>
      </c>
      <c r="M118" s="11">
        <f>IF(ISNUMBER(L118),ROUND(L118-G118,4),"")</f>
        <v/>
      </c>
      <c r="N118" s="11">
        <f>IF(H118=0,"",G118/H118)</f>
        <v/>
      </c>
      <c r="O118" s="11">
        <f>IF(ISNUMBER(N118),ROUND(N118-I118,4),"")</f>
        <v/>
      </c>
    </row>
    <row r="119">
      <c r="A119" s="9" t="inlineStr">
        <is>
          <t>grafito</t>
        </is>
      </c>
      <c r="B119" s="9" t="inlineStr">
        <is>
          <t>no metalico/industrial</t>
        </is>
      </c>
      <c r="C119" s="9" t="n">
        <v>2005</v>
      </c>
      <c r="D119" s="9" t="inlineStr">
        <is>
          <t>250410;250490</t>
        </is>
      </c>
      <c r="E119" s="9" t="n">
        <v>2735828</v>
      </c>
      <c r="F119" s="9" t="n">
        <v>16688.962</v>
      </c>
      <c r="G119" s="9" t="n">
        <v>163.93</v>
      </c>
      <c r="H119" s="9" t="n">
        <v>537</v>
      </c>
      <c r="I119" s="9" t="n">
        <v>0.3053</v>
      </c>
      <c r="J119" s="9" t="inlineStr">
        <is>
          <t>propio</t>
        </is>
      </c>
      <c r="K119" s="8" t="n"/>
      <c r="L119" s="11">
        <f>IF(F119=0,"",E119/F119)</f>
        <v/>
      </c>
      <c r="M119" s="11">
        <f>IF(ISNUMBER(L119),ROUND(L119-G119,4),"")</f>
        <v/>
      </c>
      <c r="N119" s="11">
        <f>IF(H119=0,"",G119/H119)</f>
        <v/>
      </c>
      <c r="O119" s="11">
        <f>IF(ISNUMBER(N119),ROUND(N119-I119,4),"")</f>
        <v/>
      </c>
    </row>
    <row r="120">
      <c r="A120" s="6" t="inlineStr">
        <is>
          <t>grafito</t>
        </is>
      </c>
      <c r="B120" s="6" t="inlineStr">
        <is>
          <t>no metalico/industrial</t>
        </is>
      </c>
      <c r="C120" s="6" t="n">
        <v>2006</v>
      </c>
      <c r="D120" s="6" t="inlineStr">
        <is>
          <t>250410;250490</t>
        </is>
      </c>
      <c r="E120" s="6" t="n">
        <v>4131235</v>
      </c>
      <c r="F120" s="6" t="n">
        <v>21715.711</v>
      </c>
      <c r="G120" s="6" t="n">
        <v>190.24</v>
      </c>
      <c r="H120" s="6" t="n">
        <v>553</v>
      </c>
      <c r="I120" s="6" t="n">
        <v>0.344</v>
      </c>
      <c r="J120" s="6" t="inlineStr">
        <is>
          <t>propio</t>
        </is>
      </c>
      <c r="K120" s="5" t="n"/>
      <c r="L120" s="11">
        <f>IF(F120=0,"",E120/F120)</f>
        <v/>
      </c>
      <c r="M120" s="11">
        <f>IF(ISNUMBER(L120),ROUND(L120-G120,4),"")</f>
        <v/>
      </c>
      <c r="N120" s="11">
        <f>IF(H120=0,"",G120/H120)</f>
        <v/>
      </c>
      <c r="O120" s="11">
        <f>IF(ISNUMBER(N120),ROUND(N120-I120,4),"")</f>
        <v/>
      </c>
    </row>
    <row r="121">
      <c r="A121" s="9" t="inlineStr">
        <is>
          <t>grafito</t>
        </is>
      </c>
      <c r="B121" s="9" t="inlineStr">
        <is>
          <t>no metalico/industrial</t>
        </is>
      </c>
      <c r="C121" s="9" t="n">
        <v>2007</v>
      </c>
      <c r="D121" s="9" t="inlineStr">
        <is>
          <t>250410;250490</t>
        </is>
      </c>
      <c r="E121" s="9" t="n">
        <v>3148939</v>
      </c>
      <c r="F121" s="9" t="n">
        <v>16083.271</v>
      </c>
      <c r="G121" s="9" t="n">
        <v>195.79</v>
      </c>
      <c r="H121" s="9" t="n">
        <v>636</v>
      </c>
      <c r="I121" s="9" t="n">
        <v>0.3078</v>
      </c>
      <c r="J121" s="9" t="inlineStr">
        <is>
          <t>propio</t>
        </is>
      </c>
      <c r="K121" s="8" t="n"/>
      <c r="L121" s="11">
        <f>IF(F121=0,"",E121/F121)</f>
        <v/>
      </c>
      <c r="M121" s="11">
        <f>IF(ISNUMBER(L121),ROUND(L121-G121,4),"")</f>
        <v/>
      </c>
      <c r="N121" s="11">
        <f>IF(H121=0,"",G121/H121)</f>
        <v/>
      </c>
      <c r="O121" s="11">
        <f>IF(ISNUMBER(N121),ROUND(N121-I121,4),"")</f>
        <v/>
      </c>
    </row>
    <row r="122">
      <c r="A122" s="6" t="inlineStr">
        <is>
          <t>grafito</t>
        </is>
      </c>
      <c r="B122" s="6" t="inlineStr">
        <is>
          <t>no metalico/industrial</t>
        </is>
      </c>
      <c r="C122" s="6" t="n">
        <v>2008</v>
      </c>
      <c r="D122" s="6" t="inlineStr">
        <is>
          <t>250410;250490</t>
        </is>
      </c>
      <c r="E122" s="6" t="n">
        <v>3017760</v>
      </c>
      <c r="F122" s="6" t="n">
        <v>13347.673</v>
      </c>
      <c r="G122" s="6" t="n">
        <v>226.09</v>
      </c>
      <c r="H122" s="6" t="n">
        <v>826</v>
      </c>
      <c r="I122" s="6" t="n">
        <v>0.2737</v>
      </c>
      <c r="J122" s="6" t="inlineStr">
        <is>
          <t>propio</t>
        </is>
      </c>
      <c r="K122" s="5" t="n"/>
      <c r="L122" s="11">
        <f>IF(F122=0,"",E122/F122)</f>
        <v/>
      </c>
      <c r="M122" s="11">
        <f>IF(ISNUMBER(L122),ROUND(L122-G122,4),"")</f>
        <v/>
      </c>
      <c r="N122" s="11">
        <f>IF(H122=0,"",G122/H122)</f>
        <v/>
      </c>
      <c r="O122" s="11">
        <f>IF(ISNUMBER(N122),ROUND(N122-I122,4),"")</f>
        <v/>
      </c>
    </row>
    <row r="123">
      <c r="A123" s="9" t="inlineStr">
        <is>
          <t>grafito</t>
        </is>
      </c>
      <c r="B123" s="9" t="inlineStr">
        <is>
          <t>no metalico/industrial</t>
        </is>
      </c>
      <c r="C123" s="9" t="n">
        <v>2009</v>
      </c>
      <c r="D123" s="9" t="inlineStr">
        <is>
          <t>250410;250490</t>
        </is>
      </c>
      <c r="E123" s="9" t="n">
        <v>2441001</v>
      </c>
      <c r="F123" s="9" t="n">
        <v>9379.700000000001</v>
      </c>
      <c r="G123" s="9" t="n">
        <v>260.24</v>
      </c>
      <c r="H123" s="9" t="n">
        <v>897</v>
      </c>
      <c r="I123" s="9" t="n">
        <v>0.2901</v>
      </c>
      <c r="J123" s="9" t="inlineStr">
        <is>
          <t>propio</t>
        </is>
      </c>
      <c r="K123" s="8" t="n"/>
      <c r="L123" s="11">
        <f>IF(F123=0,"",E123/F123)</f>
        <v/>
      </c>
      <c r="M123" s="11">
        <f>IF(ISNUMBER(L123),ROUND(L123-G123,4),"")</f>
        <v/>
      </c>
      <c r="N123" s="11">
        <f>IF(H123=0,"",G123/H123)</f>
        <v/>
      </c>
      <c r="O123" s="11">
        <f>IF(ISNUMBER(N123),ROUND(N123-I123,4),"")</f>
        <v/>
      </c>
    </row>
    <row r="124">
      <c r="A124" s="6" t="inlineStr">
        <is>
          <t>grafito</t>
        </is>
      </c>
      <c r="B124" s="6" t="inlineStr">
        <is>
          <t>no metalico/industrial</t>
        </is>
      </c>
      <c r="C124" s="6" t="n">
        <v>2010</v>
      </c>
      <c r="D124" s="6" t="inlineStr">
        <is>
          <t>250410;250490</t>
        </is>
      </c>
      <c r="E124" s="6" t="n">
        <v>2947104</v>
      </c>
      <c r="F124" s="6" t="n">
        <v>11576.859</v>
      </c>
      <c r="G124" s="6" t="n">
        <v>254.57</v>
      </c>
      <c r="H124" s="6" t="n">
        <v>797.04</v>
      </c>
      <c r="I124" s="6" t="n">
        <v>0.3194</v>
      </c>
      <c r="J124" s="6" t="inlineStr">
        <is>
          <t>propio</t>
        </is>
      </c>
      <c r="K124" s="5" t="n"/>
      <c r="L124" s="11">
        <f>IF(F124=0,"",E124/F124)</f>
        <v/>
      </c>
      <c r="M124" s="11">
        <f>IF(ISNUMBER(L124),ROUND(L124-G124,4),"")</f>
        <v/>
      </c>
      <c r="N124" s="11">
        <f>IF(H124=0,"",G124/H124)</f>
        <v/>
      </c>
      <c r="O124" s="11">
        <f>IF(ISNUMBER(N124),ROUND(N124-I124,4),"")</f>
        <v/>
      </c>
    </row>
    <row r="125">
      <c r="A125" s="9" t="inlineStr">
        <is>
          <t>grafito</t>
        </is>
      </c>
      <c r="B125" s="9" t="inlineStr">
        <is>
          <t>no metalico/industrial</t>
        </is>
      </c>
      <c r="C125" s="9" t="n">
        <v>2011</v>
      </c>
      <c r="D125" s="9" t="inlineStr">
        <is>
          <t>250410;250490</t>
        </is>
      </c>
      <c r="E125" s="9" t="n">
        <v>5648984</v>
      </c>
      <c r="F125" s="9" t="n">
        <v>18300.097</v>
      </c>
      <c r="G125" s="9" t="n">
        <v>308.69</v>
      </c>
      <c r="H125" s="9" t="n">
        <v>1130</v>
      </c>
      <c r="I125" s="9" t="n">
        <v>0.2732</v>
      </c>
      <c r="J125" s="9" t="inlineStr">
        <is>
          <t>propio</t>
        </is>
      </c>
      <c r="K125" s="8" t="n"/>
      <c r="L125" s="11">
        <f>IF(F125=0,"",E125/F125)</f>
        <v/>
      </c>
      <c r="M125" s="11">
        <f>IF(ISNUMBER(L125),ROUND(L125-G125,4),"")</f>
        <v/>
      </c>
      <c r="N125" s="11">
        <f>IF(H125=0,"",G125/H125)</f>
        <v/>
      </c>
      <c r="O125" s="11">
        <f>IF(ISNUMBER(N125),ROUND(N125-I125,4),"")</f>
        <v/>
      </c>
    </row>
    <row r="126">
      <c r="A126" s="6" t="inlineStr">
        <is>
          <t>grafito</t>
        </is>
      </c>
      <c r="B126" s="6" t="inlineStr">
        <is>
          <t>no metalico/industrial</t>
        </is>
      </c>
      <c r="C126" s="6" t="n">
        <v>2012</v>
      </c>
      <c r="D126" s="6" t="inlineStr">
        <is>
          <t>250410;250490</t>
        </is>
      </c>
      <c r="E126" s="6" t="n">
        <v>7342268</v>
      </c>
      <c r="F126" s="6" t="n">
        <v>21284.81</v>
      </c>
      <c r="G126" s="6" t="n">
        <v>344.95</v>
      </c>
      <c r="H126" s="6" t="n">
        <v>1210</v>
      </c>
      <c r="I126" s="6" t="n">
        <v>0.2851</v>
      </c>
      <c r="J126" s="6" t="inlineStr">
        <is>
          <t>propio</t>
        </is>
      </c>
      <c r="K126" s="5" t="n"/>
      <c r="L126" s="11">
        <f>IF(F126=0,"",E126/F126)</f>
        <v/>
      </c>
      <c r="M126" s="11">
        <f>IF(ISNUMBER(L126),ROUND(L126-G126,4),"")</f>
        <v/>
      </c>
      <c r="N126" s="11">
        <f>IF(H126=0,"",G126/H126)</f>
        <v/>
      </c>
      <c r="O126" s="11">
        <f>IF(ISNUMBER(N126),ROUND(N126-I126,4),"")</f>
        <v/>
      </c>
    </row>
    <row r="127">
      <c r="A127" s="9" t="inlineStr">
        <is>
          <t>grafito</t>
        </is>
      </c>
      <c r="B127" s="9" t="inlineStr">
        <is>
          <t>no metalico/industrial</t>
        </is>
      </c>
      <c r="C127" s="9" t="n">
        <v>2013</v>
      </c>
      <c r="D127" s="9" t="inlineStr">
        <is>
          <t>250410;250490</t>
        </is>
      </c>
      <c r="E127" s="9" t="n">
        <v>7102214</v>
      </c>
      <c r="F127" s="9" t="n">
        <v>20796.839</v>
      </c>
      <c r="G127" s="9" t="n">
        <v>341.5</v>
      </c>
      <c r="H127" s="9" t="n">
        <v>1150</v>
      </c>
      <c r="I127" s="9" t="n">
        <v>0.297</v>
      </c>
      <c r="J127" s="9" t="inlineStr">
        <is>
          <t>propio</t>
        </is>
      </c>
      <c r="K127" s="8" t="n"/>
      <c r="L127" s="11">
        <f>IF(F127=0,"",E127/F127)</f>
        <v/>
      </c>
      <c r="M127" s="11">
        <f>IF(ISNUMBER(L127),ROUND(L127-G127,4),"")</f>
        <v/>
      </c>
      <c r="N127" s="11">
        <f>IF(H127=0,"",G127/H127)</f>
        <v/>
      </c>
      <c r="O127" s="11">
        <f>IF(ISNUMBER(N127),ROUND(N127-I127,4),"")</f>
        <v/>
      </c>
    </row>
    <row r="128">
      <c r="A128" s="6" t="inlineStr">
        <is>
          <t>grafito</t>
        </is>
      </c>
      <c r="B128" s="6" t="inlineStr">
        <is>
          <t>no metalico/industrial</t>
        </is>
      </c>
      <c r="C128" s="6" t="n">
        <v>2014</v>
      </c>
      <c r="D128" s="6" t="inlineStr">
        <is>
          <t>250410;250490</t>
        </is>
      </c>
      <c r="E128" s="6" t="n">
        <v>7256629</v>
      </c>
      <c r="F128" s="6" t="n">
        <v>21411.771</v>
      </c>
      <c r="G128" s="6" t="n">
        <v>338.91</v>
      </c>
      <c r="H128" s="6" t="n">
        <v>1040</v>
      </c>
      <c r="I128" s="6" t="n">
        <v>0.3259</v>
      </c>
      <c r="J128" s="6" t="inlineStr">
        <is>
          <t>propio</t>
        </is>
      </c>
      <c r="K128" s="5" t="n"/>
      <c r="L128" s="11">
        <f>IF(F128=0,"",E128/F128)</f>
        <v/>
      </c>
      <c r="M128" s="11">
        <f>IF(ISNUMBER(L128),ROUND(L128-G128,4),"")</f>
        <v/>
      </c>
      <c r="N128" s="11">
        <f>IF(H128=0,"",G128/H128)</f>
        <v/>
      </c>
      <c r="O128" s="11">
        <f>IF(ISNUMBER(N128),ROUND(N128-I128,4),"")</f>
        <v/>
      </c>
    </row>
    <row r="129">
      <c r="A129" s="9" t="inlineStr">
        <is>
          <t>grafito</t>
        </is>
      </c>
      <c r="B129" s="9" t="inlineStr">
        <is>
          <t>no metalico/industrial</t>
        </is>
      </c>
      <c r="C129" s="9" t="n">
        <v>2015</v>
      </c>
      <c r="D129" s="9" t="inlineStr">
        <is>
          <t>250410;250490</t>
        </is>
      </c>
      <c r="E129" s="9" t="n">
        <v>102168</v>
      </c>
      <c r="F129" s="9" t="n">
        <v>69.774</v>
      </c>
      <c r="G129" s="9" t="n">
        <v>1464.26</v>
      </c>
      <c r="H129" s="9" t="n">
        <v>1250</v>
      </c>
      <c r="I129" s="9" t="n">
        <v>1.1714</v>
      </c>
      <c r="J129" s="9" t="inlineStr">
        <is>
          <t>propio</t>
        </is>
      </c>
      <c r="K129" s="8" t="n"/>
      <c r="L129" s="11">
        <f>IF(F129=0,"",E129/F129)</f>
        <v/>
      </c>
      <c r="M129" s="11">
        <f>IF(ISNUMBER(L129),ROUND(L129-G129,4),"")</f>
        <v/>
      </c>
      <c r="N129" s="11">
        <f>IF(H129=0,"",G129/H129)</f>
        <v/>
      </c>
      <c r="O129" s="11">
        <f>IF(ISNUMBER(N129),ROUND(N129-I129,4),"")</f>
        <v/>
      </c>
    </row>
    <row r="130">
      <c r="A130" s="6" t="inlineStr">
        <is>
          <t>grafito</t>
        </is>
      </c>
      <c r="B130" s="6" t="inlineStr">
        <is>
          <t>no metalico/industrial</t>
        </is>
      </c>
      <c r="C130" s="6" t="n">
        <v>2016</v>
      </c>
      <c r="D130" s="6" t="inlineStr">
        <is>
          <t>250410;250490</t>
        </is>
      </c>
      <c r="E130" s="6" t="n">
        <v>3889142</v>
      </c>
      <c r="F130" s="6" t="n">
        <v>2879.762</v>
      </c>
      <c r="G130" s="6" t="n">
        <v>1350.51</v>
      </c>
      <c r="H130" s="6" t="n">
        <v>1220</v>
      </c>
      <c r="I130" s="6" t="n">
        <v>1.107</v>
      </c>
      <c r="J130" s="6" t="inlineStr">
        <is>
          <t>propio</t>
        </is>
      </c>
      <c r="K130" s="5" t="n"/>
      <c r="L130" s="11">
        <f>IF(F130=0,"",E130/F130)</f>
        <v/>
      </c>
      <c r="M130" s="11">
        <f>IF(ISNUMBER(L130),ROUND(L130-G130,4),"")</f>
        <v/>
      </c>
      <c r="N130" s="11">
        <f>IF(H130=0,"",G130/H130)</f>
        <v/>
      </c>
      <c r="O130" s="11">
        <f>IF(ISNUMBER(N130),ROUND(N130-I130,4),"")</f>
        <v/>
      </c>
    </row>
    <row r="131">
      <c r="A131" s="9" t="inlineStr">
        <is>
          <t>grafito</t>
        </is>
      </c>
      <c r="B131" s="9" t="inlineStr">
        <is>
          <t>no metalico/industrial</t>
        </is>
      </c>
      <c r="C131" s="9" t="n">
        <v>2017</v>
      </c>
      <c r="D131" s="9" t="inlineStr">
        <is>
          <t>250410;250490</t>
        </is>
      </c>
      <c r="E131" s="9" t="n">
        <v>5527568</v>
      </c>
      <c r="F131" s="9" t="n">
        <v>3520.239</v>
      </c>
      <c r="G131" s="9" t="n">
        <v>1431.98</v>
      </c>
      <c r="H131" s="9" t="n">
        <v>1130</v>
      </c>
      <c r="I131" s="9" t="n">
        <v>1.2672</v>
      </c>
      <c r="J131" s="9" t="inlineStr">
        <is>
          <t>propio</t>
        </is>
      </c>
      <c r="K131" s="8" t="inlineStr">
        <is>
          <t>valor unit. sobre 1/2 fracciones E1 con peso</t>
        </is>
      </c>
      <c r="L131" s="11">
        <f>IF(F131=0,"",E131/F131)</f>
        <v/>
      </c>
      <c r="M131" s="11">
        <f>IF(ISNUMBER(L131),ROUND(L131-G131,4),"")</f>
        <v/>
      </c>
      <c r="N131" s="11">
        <f>IF(H131=0,"",G131/H131)</f>
        <v/>
      </c>
      <c r="O131" s="11">
        <f>IF(ISNUMBER(N131),ROUND(N131-I131,4),"")</f>
        <v/>
      </c>
    </row>
    <row r="132">
      <c r="A132" s="6" t="inlineStr">
        <is>
          <t>grafito</t>
        </is>
      </c>
      <c r="B132" s="6" t="inlineStr">
        <is>
          <t>no metalico/industrial</t>
        </is>
      </c>
      <c r="C132" s="6" t="n">
        <v>2018</v>
      </c>
      <c r="D132" s="6" t="inlineStr">
        <is>
          <t>250410;250490</t>
        </is>
      </c>
      <c r="E132" s="6" t="n">
        <v>5558473</v>
      </c>
      <c r="F132" s="6" t="n">
        <v>1939.376</v>
      </c>
      <c r="G132" s="6" t="n">
        <v>2625.37</v>
      </c>
      <c r="H132" s="6" t="n">
        <v>913</v>
      </c>
      <c r="I132" s="6" t="n">
        <v>2.8755</v>
      </c>
      <c r="J132" s="6" t="inlineStr">
        <is>
          <t>propio</t>
        </is>
      </c>
      <c r="K132" s="5" t="inlineStr">
        <is>
          <t>valor unit. sobre 1/2 fracciones E1 con peso</t>
        </is>
      </c>
      <c r="L132" s="11">
        <f>IF(F132=0,"",E132/F132)</f>
        <v/>
      </c>
      <c r="M132" s="11">
        <f>IF(ISNUMBER(L132),ROUND(L132-G132,4),"")</f>
        <v/>
      </c>
      <c r="N132" s="11">
        <f>IF(H132=0,"",G132/H132)</f>
        <v/>
      </c>
      <c r="O132" s="11">
        <f>IF(ISNUMBER(N132),ROUND(N132-I132,4),"")</f>
        <v/>
      </c>
    </row>
    <row r="133">
      <c r="A133" s="9" t="inlineStr">
        <is>
          <t>grafito</t>
        </is>
      </c>
      <c r="B133" s="9" t="inlineStr">
        <is>
          <t>no metalico/industrial</t>
        </is>
      </c>
      <c r="C133" s="9" t="n">
        <v>2019</v>
      </c>
      <c r="D133" s="9" t="inlineStr">
        <is>
          <t>250410;250490</t>
        </is>
      </c>
      <c r="E133" s="9" t="n">
        <v>5686693.25</v>
      </c>
      <c r="F133" s="9" t="n">
        <v>11515.498</v>
      </c>
      <c r="G133" s="9" t="n">
        <v>493.83</v>
      </c>
      <c r="H133" s="9" t="n">
        <v>1120</v>
      </c>
      <c r="I133" s="9" t="n">
        <v>0.4409</v>
      </c>
      <c r="J133" s="9" t="inlineStr">
        <is>
          <t>espejo</t>
        </is>
      </c>
      <c r="K133" s="8" t="inlineStr">
        <is>
          <t>numerador por ESPEJO (importaciones de socios desde Mexico; CIF, posible sesgo al alza)</t>
        </is>
      </c>
      <c r="L133" s="11">
        <f>IF(F133=0,"",E133/F133)</f>
        <v/>
      </c>
      <c r="M133" s="11">
        <f>IF(ISNUMBER(L133),ROUND(L133-G133,4),"")</f>
        <v/>
      </c>
      <c r="N133" s="11">
        <f>IF(H133=0,"",G133/H133)</f>
        <v/>
      </c>
      <c r="O133" s="11">
        <f>IF(ISNUMBER(N133),ROUND(N133-I133,4),"")</f>
        <v/>
      </c>
    </row>
    <row r="134">
      <c r="A134" s="6" t="inlineStr">
        <is>
          <t>grafito</t>
        </is>
      </c>
      <c r="B134" s="6" t="inlineStr">
        <is>
          <t>no metalico/industrial</t>
        </is>
      </c>
      <c r="C134" s="6" t="n">
        <v>2020</v>
      </c>
      <c r="D134" s="6" t="inlineStr">
        <is>
          <t>250410;250490</t>
        </is>
      </c>
      <c r="E134" s="6" t="n">
        <v>4000535.82</v>
      </c>
      <c r="F134" s="6" t="n">
        <v>6135.968</v>
      </c>
      <c r="G134" s="6" t="n">
        <v>651.98</v>
      </c>
      <c r="H134" s="6" t="n">
        <v>1240</v>
      </c>
      <c r="I134" s="6" t="n">
        <v>0.5258</v>
      </c>
      <c r="J134" s="6" t="inlineStr">
        <is>
          <t>espejo</t>
        </is>
      </c>
      <c r="K134" s="5" t="inlineStr">
        <is>
          <t>numerador por ESPEJO (importaciones de socios desde Mexico; CIF, posible sesgo al alza)</t>
        </is>
      </c>
      <c r="L134" s="11">
        <f>IF(F134=0,"",E134/F134)</f>
        <v/>
      </c>
      <c r="M134" s="11">
        <f>IF(ISNUMBER(L134),ROUND(L134-G134,4),"")</f>
        <v/>
      </c>
      <c r="N134" s="11">
        <f>IF(H134=0,"",G134/H134)</f>
        <v/>
      </c>
      <c r="O134" s="11">
        <f>IF(ISNUMBER(N134),ROUND(N134-I134,4),"")</f>
        <v/>
      </c>
    </row>
    <row r="135">
      <c r="A135" s="9" t="inlineStr">
        <is>
          <t>grafito</t>
        </is>
      </c>
      <c r="B135" s="9" t="inlineStr">
        <is>
          <t>no metalico/industrial</t>
        </is>
      </c>
      <c r="C135" s="9" t="n">
        <v>2021</v>
      </c>
      <c r="D135" s="9" t="inlineStr">
        <is>
          <t>250410;250490</t>
        </is>
      </c>
      <c r="E135" s="9" t="n">
        <v>2113261</v>
      </c>
      <c r="F135" s="9" t="n">
        <v>3830.399</v>
      </c>
      <c r="G135" s="9" t="n">
        <v>551.71</v>
      </c>
      <c r="H135" s="9" t="n">
        <v>1340</v>
      </c>
      <c r="I135" s="9" t="n">
        <v>0.4117</v>
      </c>
      <c r="J135" s="9" t="inlineStr">
        <is>
          <t>propio</t>
        </is>
      </c>
      <c r="K135" s="8" t="n"/>
      <c r="L135" s="11">
        <f>IF(F135=0,"",E135/F135)</f>
        <v/>
      </c>
      <c r="M135" s="11">
        <f>IF(ISNUMBER(L135),ROUND(L135-G135,4),"")</f>
        <v/>
      </c>
      <c r="N135" s="11">
        <f>IF(H135=0,"",G135/H135)</f>
        <v/>
      </c>
      <c r="O135" s="11">
        <f>IF(ISNUMBER(N135),ROUND(N135-I135,4),"")</f>
        <v/>
      </c>
    </row>
    <row r="136">
      <c r="A136" s="6" t="inlineStr">
        <is>
          <t>grafito</t>
        </is>
      </c>
      <c r="B136" s="6" t="inlineStr">
        <is>
          <t>no metalico/industrial</t>
        </is>
      </c>
      <c r="C136" s="6" t="n">
        <v>2022</v>
      </c>
      <c r="D136" s="6" t="inlineStr">
        <is>
          <t>250410;250490</t>
        </is>
      </c>
      <c r="E136" s="6" t="n">
        <v>3434484</v>
      </c>
      <c r="F136" s="6" t="n">
        <v>6152.964</v>
      </c>
      <c r="G136" s="6" t="n">
        <v>558.1799999999999</v>
      </c>
      <c r="H136" s="6" t="n">
        <v>2090</v>
      </c>
      <c r="I136" s="6" t="n">
        <v>0.2671</v>
      </c>
      <c r="J136" s="6" t="inlineStr">
        <is>
          <t>propio</t>
        </is>
      </c>
      <c r="K136" s="5" t="n"/>
      <c r="L136" s="11">
        <f>IF(F136=0,"",E136/F136)</f>
        <v/>
      </c>
      <c r="M136" s="11">
        <f>IF(ISNUMBER(L136),ROUND(L136-G136,4),"")</f>
        <v/>
      </c>
      <c r="N136" s="11">
        <f>IF(H136=0,"",G136/H136)</f>
        <v/>
      </c>
      <c r="O136" s="11">
        <f>IF(ISNUMBER(N136),ROUND(N136-I136,4),"")</f>
        <v/>
      </c>
    </row>
    <row r="137">
      <c r="A137" s="9" t="inlineStr">
        <is>
          <t>grafito</t>
        </is>
      </c>
      <c r="B137" s="9" t="inlineStr">
        <is>
          <t>no metalico/industrial</t>
        </is>
      </c>
      <c r="C137" s="9" t="n">
        <v>2023</v>
      </c>
      <c r="D137" s="9" t="inlineStr">
        <is>
          <t>250410;250490</t>
        </is>
      </c>
      <c r="E137" s="9" t="n">
        <v>1818565</v>
      </c>
      <c r="F137" s="9" t="n">
        <v>2882.65</v>
      </c>
      <c r="G137" s="9" t="n">
        <v>630.87</v>
      </c>
      <c r="H137" s="9" t="n">
        <v>1881</v>
      </c>
      <c r="I137" s="9" t="n">
        <v>0.3354</v>
      </c>
      <c r="J137" s="9" t="inlineStr">
        <is>
          <t>propio</t>
        </is>
      </c>
      <c r="K137" s="8" t="n"/>
      <c r="L137" s="11">
        <f>IF(F137=0,"",E137/F137)</f>
        <v/>
      </c>
      <c r="M137" s="11">
        <f>IF(ISNUMBER(L137),ROUND(L137-G137,4),"")</f>
        <v/>
      </c>
      <c r="N137" s="11">
        <f>IF(H137=0,"",G137/H137)</f>
        <v/>
      </c>
      <c r="O137" s="11">
        <f>IF(ISNUMBER(N137),ROUND(N137-I137,4),"")</f>
        <v/>
      </c>
    </row>
    <row r="138">
      <c r="A138" s="6" t="inlineStr">
        <is>
          <t>grafito</t>
        </is>
      </c>
      <c r="B138" s="6" t="inlineStr">
        <is>
          <t>no metalico/industrial</t>
        </is>
      </c>
      <c r="C138" s="6" t="n">
        <v>2024</v>
      </c>
      <c r="D138" s="6" t="inlineStr">
        <is>
          <t>250410;250490</t>
        </is>
      </c>
      <c r="E138" s="6" t="n">
        <v>3808739</v>
      </c>
      <c r="F138" s="6" t="n">
        <v>5247.998</v>
      </c>
      <c r="G138" s="6" t="n">
        <v>725.75</v>
      </c>
      <c r="H138" s="6" t="n">
        <v>1828.75</v>
      </c>
      <c r="I138" s="6" t="n">
        <v>0.3969</v>
      </c>
      <c r="J138" s="6" t="inlineStr">
        <is>
          <t>propio</t>
        </is>
      </c>
      <c r="K138" s="5" t="n"/>
      <c r="L138" s="11">
        <f>IF(F138=0,"",E138/F138)</f>
        <v/>
      </c>
      <c r="M138" s="11">
        <f>IF(ISNUMBER(L138),ROUND(L138-G138,4),"")</f>
        <v/>
      </c>
      <c r="N138" s="11">
        <f>IF(H138=0,"",G138/H138)</f>
        <v/>
      </c>
      <c r="O138" s="11">
        <f>IF(ISNUMBER(N138),ROUND(N138-I138,4),"")</f>
        <v/>
      </c>
    </row>
    <row r="139">
      <c r="A139" s="9" t="inlineStr">
        <is>
          <t>grafito</t>
        </is>
      </c>
      <c r="B139" s="9" t="inlineStr">
        <is>
          <t>no metalico/industrial</t>
        </is>
      </c>
      <c r="C139" s="9" t="n">
        <v>2025</v>
      </c>
      <c r="D139" s="9" t="inlineStr">
        <is>
          <t>250410;250490</t>
        </is>
      </c>
      <c r="E139" s="9" t="n">
        <v>4341426</v>
      </c>
      <c r="F139" s="9" t="n">
        <v>6109.474</v>
      </c>
      <c r="G139" s="9" t="n">
        <v>710.61</v>
      </c>
      <c r="H139" s="9" t="n">
        <v>1741.67</v>
      </c>
      <c r="I139" s="9" t="n">
        <v>0.408</v>
      </c>
      <c r="J139" s="9" t="inlineStr">
        <is>
          <t>propio</t>
        </is>
      </c>
      <c r="K139" s="8" t="n"/>
      <c r="L139" s="11">
        <f>IF(F139=0,"",E139/F139)</f>
        <v/>
      </c>
      <c r="M139" s="11">
        <f>IF(ISNUMBER(L139),ROUND(L139-G139,4),"")</f>
        <v/>
      </c>
      <c r="N139" s="11">
        <f>IF(H139=0,"",G139/H139)</f>
        <v/>
      </c>
      <c r="O139" s="11">
        <f>IF(ISNUMBER(N139),ROUND(N139-I139,4),"")</f>
        <v/>
      </c>
    </row>
    <row r="140">
      <c r="A140" s="6" t="inlineStr">
        <is>
          <t>manganeso</t>
        </is>
      </c>
      <c r="B140" s="6" t="inlineStr">
        <is>
          <t>no metalico/industrial</t>
        </is>
      </c>
      <c r="C140" s="6" t="n">
        <v>1992</v>
      </c>
      <c r="D140" s="6" t="inlineStr">
        <is>
          <t>2602</t>
        </is>
      </c>
      <c r="E140" s="6" t="n">
        <v>6044000</v>
      </c>
      <c r="F140" s="6" t="n">
        <v>32175.024</v>
      </c>
      <c r="G140" s="6" t="n">
        <v>187.85</v>
      </c>
      <c r="H140" s="6" t="n">
        <v>654.23</v>
      </c>
      <c r="I140" s="6" t="n">
        <v>0.2871</v>
      </c>
      <c r="J140" s="6" t="inlineStr">
        <is>
          <t>propio</t>
        </is>
      </c>
      <c r="K140" s="5" t="n"/>
      <c r="L140" s="11">
        <f>IF(F140=0,"",E140/F140)</f>
        <v/>
      </c>
      <c r="M140" s="11">
        <f>IF(ISNUMBER(L140),ROUND(L140-G140,4),"")</f>
        <v/>
      </c>
      <c r="N140" s="11">
        <f>IF(H140=0,"",G140/H140)</f>
        <v/>
      </c>
      <c r="O140" s="11">
        <f>IF(ISNUMBER(N140),ROUND(N140-I140,4),"")</f>
        <v/>
      </c>
    </row>
    <row r="141">
      <c r="A141" s="9" t="inlineStr">
        <is>
          <t>manganeso</t>
        </is>
      </c>
      <c r="B141" s="9" t="inlineStr">
        <is>
          <t>no metalico/industrial</t>
        </is>
      </c>
      <c r="C141" s="9" t="n">
        <v>1993</v>
      </c>
      <c r="D141" s="9" t="inlineStr">
        <is>
          <t>2602</t>
        </is>
      </c>
      <c r="E141" s="9" t="n">
        <v>8842000</v>
      </c>
      <c r="F141" s="9" t="n">
        <v>66490</v>
      </c>
      <c r="G141" s="9" t="n">
        <v>132.98</v>
      </c>
      <c r="H141" s="9" t="n">
        <v>605</v>
      </c>
      <c r="I141" s="9" t="n">
        <v>0.2198</v>
      </c>
      <c r="J141" s="9" t="inlineStr">
        <is>
          <t>propio</t>
        </is>
      </c>
      <c r="K141" s="8" t="n"/>
      <c r="L141" s="11">
        <f>IF(F141=0,"",E141/F141)</f>
        <v/>
      </c>
      <c r="M141" s="11">
        <f>IF(ISNUMBER(L141),ROUND(L141-G141,4),"")</f>
        <v/>
      </c>
      <c r="N141" s="11">
        <f>IF(H141=0,"",G141/H141)</f>
        <v/>
      </c>
      <c r="O141" s="11">
        <f>IF(ISNUMBER(N141),ROUND(N141-I141,4),"")</f>
        <v/>
      </c>
    </row>
    <row r="142">
      <c r="A142" s="6" t="inlineStr">
        <is>
          <t>manganeso</t>
        </is>
      </c>
      <c r="B142" s="6" t="inlineStr">
        <is>
          <t>no metalico/industrial</t>
        </is>
      </c>
      <c r="C142" s="6" t="n">
        <v>1994</v>
      </c>
      <c r="D142" s="6" t="inlineStr">
        <is>
          <t>2602</t>
        </is>
      </c>
      <c r="E142" s="6" t="n">
        <v>3910169</v>
      </c>
      <c r="F142" s="6" t="n">
        <v>40587.264</v>
      </c>
      <c r="G142" s="6" t="n">
        <v>96.34</v>
      </c>
      <c r="H142" s="6" t="n">
        <v>602</v>
      </c>
      <c r="I142" s="6" t="n">
        <v>0.16</v>
      </c>
      <c r="J142" s="6" t="inlineStr">
        <is>
          <t>propio</t>
        </is>
      </c>
      <c r="K142" s="5" t="n"/>
      <c r="L142" s="11">
        <f>IF(F142=0,"",E142/F142)</f>
        <v/>
      </c>
      <c r="M142" s="11">
        <f>IF(ISNUMBER(L142),ROUND(L142-G142,4),"")</f>
        <v/>
      </c>
      <c r="N142" s="11">
        <f>IF(H142=0,"",G142/H142)</f>
        <v/>
      </c>
      <c r="O142" s="11">
        <f>IF(ISNUMBER(N142),ROUND(N142-I142,4),"")</f>
        <v/>
      </c>
    </row>
    <row r="143">
      <c r="A143" s="9" t="inlineStr">
        <is>
          <t>manganeso</t>
        </is>
      </c>
      <c r="B143" s="9" t="inlineStr">
        <is>
          <t>no metalico/industrial</t>
        </is>
      </c>
      <c r="C143" s="9" t="n">
        <v>1995</v>
      </c>
      <c r="D143" s="9" t="inlineStr">
        <is>
          <t>2602</t>
        </is>
      </c>
      <c r="E143" s="9" t="n">
        <v>9596000</v>
      </c>
      <c r="F143" s="9" t="n">
        <v>144360.656</v>
      </c>
      <c r="G143" s="9" t="n">
        <v>66.47</v>
      </c>
      <c r="H143" s="9" t="n">
        <v>599</v>
      </c>
      <c r="I143" s="9" t="n">
        <v>0.111</v>
      </c>
      <c r="J143" s="9" t="inlineStr">
        <is>
          <t>propio</t>
        </is>
      </c>
      <c r="K143" s="8" t="n"/>
      <c r="L143" s="11">
        <f>IF(F143=0,"",E143/F143)</f>
        <v/>
      </c>
      <c r="M143" s="11">
        <f>IF(ISNUMBER(L143),ROUND(L143-G143,4),"")</f>
        <v/>
      </c>
      <c r="N143" s="11">
        <f>IF(H143=0,"",G143/H143)</f>
        <v/>
      </c>
      <c r="O143" s="11">
        <f>IF(ISNUMBER(N143),ROUND(N143-I143,4),"")</f>
        <v/>
      </c>
    </row>
    <row r="144">
      <c r="A144" s="6" t="inlineStr">
        <is>
          <t>manganeso</t>
        </is>
      </c>
      <c r="B144" s="6" t="inlineStr">
        <is>
          <t>no metalico/industrial</t>
        </is>
      </c>
      <c r="C144" s="6" t="n">
        <v>1996</v>
      </c>
      <c r="D144" s="6" t="inlineStr">
        <is>
          <t>2602</t>
        </is>
      </c>
      <c r="E144" s="6" t="n">
        <v>4363511</v>
      </c>
      <c r="F144" s="6" t="n">
        <v>58511.132</v>
      </c>
      <c r="G144" s="6" t="n">
        <v>74.58</v>
      </c>
      <c r="H144" s="6" t="n">
        <v>650</v>
      </c>
      <c r="I144" s="6" t="n">
        <v>0.1147</v>
      </c>
      <c r="J144" s="6" t="inlineStr">
        <is>
          <t>propio</t>
        </is>
      </c>
      <c r="K144" s="5" t="n"/>
      <c r="L144" s="11">
        <f>IF(F144=0,"",E144/F144)</f>
        <v/>
      </c>
      <c r="M144" s="11">
        <f>IF(ISNUMBER(L144),ROUND(L144-G144,4),"")</f>
        <v/>
      </c>
      <c r="N144" s="11">
        <f>IF(H144=0,"",G144/H144)</f>
        <v/>
      </c>
      <c r="O144" s="11">
        <f>IF(ISNUMBER(N144),ROUND(N144-I144,4),"")</f>
        <v/>
      </c>
    </row>
    <row r="145">
      <c r="A145" s="9" t="inlineStr">
        <is>
          <t>manganeso</t>
        </is>
      </c>
      <c r="B145" s="9" t="inlineStr">
        <is>
          <t>no metalico/industrial</t>
        </is>
      </c>
      <c r="C145" s="9" t="n">
        <v>1997</v>
      </c>
      <c r="D145" s="9" t="inlineStr">
        <is>
          <t>2602</t>
        </is>
      </c>
      <c r="E145" s="9" t="n">
        <v>6756622</v>
      </c>
      <c r="F145" s="9" t="n">
        <v>89307.32000000001</v>
      </c>
      <c r="G145" s="9" t="n">
        <v>75.66</v>
      </c>
      <c r="H145" s="9" t="n">
        <v>635</v>
      </c>
      <c r="I145" s="9" t="n">
        <v>0.1191</v>
      </c>
      <c r="J145" s="9" t="inlineStr">
        <is>
          <t>propio</t>
        </is>
      </c>
      <c r="K145" s="8" t="n"/>
      <c r="L145" s="11">
        <f>IF(F145=0,"",E145/F145)</f>
        <v/>
      </c>
      <c r="M145" s="11">
        <f>IF(ISNUMBER(L145),ROUND(L145-G145,4),"")</f>
        <v/>
      </c>
      <c r="N145" s="11">
        <f>IF(H145=0,"",G145/H145)</f>
        <v/>
      </c>
      <c r="O145" s="11">
        <f>IF(ISNUMBER(N145),ROUND(N145-I145,4),"")</f>
        <v/>
      </c>
    </row>
    <row r="146">
      <c r="A146" s="6" t="inlineStr">
        <is>
          <t>manganeso</t>
        </is>
      </c>
      <c r="B146" s="6" t="inlineStr">
        <is>
          <t>no metalico/industrial</t>
        </is>
      </c>
      <c r="C146" s="6" t="n">
        <v>1998</v>
      </c>
      <c r="D146" s="6" t="inlineStr">
        <is>
          <t>2602</t>
        </is>
      </c>
      <c r="E146" s="6" t="n">
        <v>5560749</v>
      </c>
      <c r="F146" s="6" t="n">
        <v>48713.176</v>
      </c>
      <c r="G146" s="6" t="n">
        <v>114.15</v>
      </c>
      <c r="H146" s="6" t="n">
        <v>591</v>
      </c>
      <c r="I146" s="6" t="n">
        <v>0.1932</v>
      </c>
      <c r="J146" s="6" t="inlineStr">
        <is>
          <t>propio</t>
        </is>
      </c>
      <c r="K146" s="5" t="n"/>
      <c r="L146" s="11">
        <f>IF(F146=0,"",E146/F146)</f>
        <v/>
      </c>
      <c r="M146" s="11">
        <f>IF(ISNUMBER(L146),ROUND(L146-G146,4),"")</f>
        <v/>
      </c>
      <c r="N146" s="11">
        <f>IF(H146=0,"",G146/H146)</f>
        <v/>
      </c>
      <c r="O146" s="11">
        <f>IF(ISNUMBER(N146),ROUND(N146-I146,4),"")</f>
        <v/>
      </c>
    </row>
    <row r="147">
      <c r="A147" s="9" t="inlineStr">
        <is>
          <t>manganeso</t>
        </is>
      </c>
      <c r="B147" s="9" t="inlineStr">
        <is>
          <t>no metalico/industrial</t>
        </is>
      </c>
      <c r="C147" s="9" t="n">
        <v>1999</v>
      </c>
      <c r="D147" s="9" t="inlineStr">
        <is>
          <t>2602</t>
        </is>
      </c>
      <c r="E147" s="9" t="n">
        <v>4223878</v>
      </c>
      <c r="F147" s="9" t="n">
        <v>30404.664</v>
      </c>
      <c r="G147" s="9" t="n">
        <v>138.92</v>
      </c>
      <c r="H147" s="9" t="n">
        <v>535</v>
      </c>
      <c r="I147" s="9" t="n">
        <v>0.2597</v>
      </c>
      <c r="J147" s="9" t="inlineStr">
        <is>
          <t>propio</t>
        </is>
      </c>
      <c r="K147" s="8" t="n"/>
      <c r="L147" s="11">
        <f>IF(F147=0,"",E147/F147)</f>
        <v/>
      </c>
      <c r="M147" s="11">
        <f>IF(ISNUMBER(L147),ROUND(L147-G147,4),"")</f>
        <v/>
      </c>
      <c r="N147" s="11">
        <f>IF(H147=0,"",G147/H147)</f>
        <v/>
      </c>
      <c r="O147" s="11">
        <f>IF(ISNUMBER(N147),ROUND(N147-I147,4),"")</f>
        <v/>
      </c>
    </row>
    <row r="148">
      <c r="A148" s="6" t="inlineStr">
        <is>
          <t>manganeso</t>
        </is>
      </c>
      <c r="B148" s="6" t="inlineStr">
        <is>
          <t>no metalico/industrial</t>
        </is>
      </c>
      <c r="C148" s="6" t="n">
        <v>2000</v>
      </c>
      <c r="D148" s="6" t="inlineStr">
        <is>
          <t>2602</t>
        </is>
      </c>
      <c r="E148" s="6" t="n">
        <v>3726255</v>
      </c>
      <c r="F148" s="6" t="n">
        <v>20379.142</v>
      </c>
      <c r="G148" s="6" t="n">
        <v>182.85</v>
      </c>
      <c r="H148" s="6" t="n">
        <v>582</v>
      </c>
      <c r="I148" s="6" t="n">
        <v>0.3142</v>
      </c>
      <c r="J148" s="6" t="inlineStr">
        <is>
          <t>propio</t>
        </is>
      </c>
      <c r="K148" s="5" t="n"/>
      <c r="L148" s="11">
        <f>IF(F148=0,"",E148/F148)</f>
        <v/>
      </c>
      <c r="M148" s="11">
        <f>IF(ISNUMBER(L148),ROUND(L148-G148,4),"")</f>
        <v/>
      </c>
      <c r="N148" s="11">
        <f>IF(H148=0,"",G148/H148)</f>
        <v/>
      </c>
      <c r="O148" s="11">
        <f>IF(ISNUMBER(N148),ROUND(N148-I148,4),"")</f>
        <v/>
      </c>
    </row>
    <row r="149">
      <c r="A149" s="9" t="inlineStr">
        <is>
          <t>manganeso</t>
        </is>
      </c>
      <c r="B149" s="9" t="inlineStr">
        <is>
          <t>no metalico/industrial</t>
        </is>
      </c>
      <c r="C149" s="9" t="n">
        <v>2001</v>
      </c>
      <c r="D149" s="9" t="inlineStr">
        <is>
          <t>2602</t>
        </is>
      </c>
      <c r="E149" s="9" t="n">
        <v>1983995</v>
      </c>
      <c r="F149" s="9" t="n">
        <v>14069.549</v>
      </c>
      <c r="G149" s="9" t="n">
        <v>141.01</v>
      </c>
      <c r="H149" s="9" t="n">
        <v>529</v>
      </c>
      <c r="I149" s="9" t="n">
        <v>0.2666</v>
      </c>
      <c r="J149" s="9" t="inlineStr">
        <is>
          <t>propio</t>
        </is>
      </c>
      <c r="K149" s="8" t="n"/>
      <c r="L149" s="11">
        <f>IF(F149=0,"",E149/F149)</f>
        <v/>
      </c>
      <c r="M149" s="11">
        <f>IF(ISNUMBER(L149),ROUND(L149-G149,4),"")</f>
        <v/>
      </c>
      <c r="N149" s="11">
        <f>IF(H149=0,"",G149/H149)</f>
        <v/>
      </c>
      <c r="O149" s="11">
        <f>IF(ISNUMBER(N149),ROUND(N149-I149,4),"")</f>
        <v/>
      </c>
    </row>
    <row r="150">
      <c r="A150" s="6" t="inlineStr">
        <is>
          <t>manganeso</t>
        </is>
      </c>
      <c r="B150" s="6" t="inlineStr">
        <is>
          <t>no metalico/industrial</t>
        </is>
      </c>
      <c r="C150" s="6" t="n">
        <v>2002</v>
      </c>
      <c r="D150" s="6" t="inlineStr">
        <is>
          <t>2602</t>
        </is>
      </c>
      <c r="E150" s="6" t="n">
        <v>2499186</v>
      </c>
      <c r="F150" s="6" t="n">
        <v>10125.09</v>
      </c>
      <c r="G150" s="6" t="n">
        <v>246.83</v>
      </c>
      <c r="H150" s="6" t="n">
        <v>471</v>
      </c>
      <c r="I150" s="6" t="n">
        <v>0.5241</v>
      </c>
      <c r="J150" s="6" t="inlineStr">
        <is>
          <t>propio</t>
        </is>
      </c>
      <c r="K150" s="5" t="n"/>
      <c r="L150" s="11">
        <f>IF(F150=0,"",E150/F150)</f>
        <v/>
      </c>
      <c r="M150" s="11">
        <f>IF(ISNUMBER(L150),ROUND(L150-G150,4),"")</f>
        <v/>
      </c>
      <c r="N150" s="11">
        <f>IF(H150=0,"",G150/H150)</f>
        <v/>
      </c>
      <c r="O150" s="11">
        <f>IF(ISNUMBER(N150),ROUND(N150-I150,4),"")</f>
        <v/>
      </c>
    </row>
    <row r="151">
      <c r="A151" s="9" t="inlineStr">
        <is>
          <t>manganeso</t>
        </is>
      </c>
      <c r="B151" s="9" t="inlineStr">
        <is>
          <t>no metalico/industrial</t>
        </is>
      </c>
      <c r="C151" s="9" t="n">
        <v>2003</v>
      </c>
      <c r="D151" s="9" t="inlineStr">
        <is>
          <t>2602</t>
        </is>
      </c>
      <c r="E151" s="9" t="n">
        <v>2311065</v>
      </c>
      <c r="F151" s="9" t="n">
        <v>11345.904</v>
      </c>
      <c r="G151" s="9" t="n">
        <v>203.69</v>
      </c>
      <c r="H151" s="9" t="n">
        <v>599</v>
      </c>
      <c r="I151" s="9" t="n">
        <v>0.3401</v>
      </c>
      <c r="J151" s="9" t="inlineStr">
        <is>
          <t>propio</t>
        </is>
      </c>
      <c r="K151" s="8" t="n"/>
      <c r="L151" s="11">
        <f>IF(F151=0,"",E151/F151)</f>
        <v/>
      </c>
      <c r="M151" s="11">
        <f>IF(ISNUMBER(L151),ROUND(L151-G151,4),"")</f>
        <v/>
      </c>
      <c r="N151" s="11">
        <f>IF(H151=0,"",G151/H151)</f>
        <v/>
      </c>
      <c r="O151" s="11">
        <f>IF(ISNUMBER(N151),ROUND(N151-I151,4),"")</f>
        <v/>
      </c>
    </row>
    <row r="152">
      <c r="A152" s="6" t="inlineStr">
        <is>
          <t>manganeso</t>
        </is>
      </c>
      <c r="B152" s="6" t="inlineStr">
        <is>
          <t>no metalico/industrial</t>
        </is>
      </c>
      <c r="C152" s="6" t="n">
        <v>2004</v>
      </c>
      <c r="D152" s="6" t="inlineStr">
        <is>
          <t>2602</t>
        </is>
      </c>
      <c r="E152" s="6" t="n">
        <v>2135077</v>
      </c>
      <c r="F152" s="6" t="n">
        <v>9755.887000000001</v>
      </c>
      <c r="G152" s="6" t="n">
        <v>218.85</v>
      </c>
      <c r="H152" s="6" t="n">
        <v>1090</v>
      </c>
      <c r="I152" s="6" t="n">
        <v>0.2008</v>
      </c>
      <c r="J152" s="6" t="inlineStr">
        <is>
          <t>propio</t>
        </is>
      </c>
      <c r="K152" s="5" t="n"/>
      <c r="L152" s="11">
        <f>IF(F152=0,"",E152/F152)</f>
        <v/>
      </c>
      <c r="M152" s="11">
        <f>IF(ISNUMBER(L152),ROUND(L152-G152,4),"")</f>
        <v/>
      </c>
      <c r="N152" s="11">
        <f>IF(H152=0,"",G152/H152)</f>
        <v/>
      </c>
      <c r="O152" s="11">
        <f>IF(ISNUMBER(N152),ROUND(N152-I152,4),"")</f>
        <v/>
      </c>
    </row>
    <row r="153">
      <c r="A153" s="9" t="inlineStr">
        <is>
          <t>manganeso</t>
        </is>
      </c>
      <c r="B153" s="9" t="inlineStr">
        <is>
          <t>no metalico/industrial</t>
        </is>
      </c>
      <c r="C153" s="9" t="n">
        <v>2005</v>
      </c>
      <c r="D153" s="9" t="inlineStr">
        <is>
          <t>2602</t>
        </is>
      </c>
      <c r="E153" s="9" t="n">
        <v>2686754</v>
      </c>
      <c r="F153" s="9" t="n">
        <v>15088.302</v>
      </c>
      <c r="G153" s="9" t="n">
        <v>178.07</v>
      </c>
      <c r="H153" s="9" t="n">
        <v>712</v>
      </c>
      <c r="I153" s="9" t="n">
        <v>0.2501</v>
      </c>
      <c r="J153" s="9" t="inlineStr">
        <is>
          <t>propio</t>
        </is>
      </c>
      <c r="K153" s="8" t="n"/>
      <c r="L153" s="11">
        <f>IF(F153=0,"",E153/F153)</f>
        <v/>
      </c>
      <c r="M153" s="11">
        <f>IF(ISNUMBER(L153),ROUND(L153-G153,4),"")</f>
        <v/>
      </c>
      <c r="N153" s="11">
        <f>IF(H153=0,"",G153/H153)</f>
        <v/>
      </c>
      <c r="O153" s="11">
        <f>IF(ISNUMBER(N153),ROUND(N153-I153,4),"")</f>
        <v/>
      </c>
    </row>
    <row r="154">
      <c r="A154" s="6" t="inlineStr">
        <is>
          <t>manganeso</t>
        </is>
      </c>
      <c r="B154" s="6" t="inlineStr">
        <is>
          <t>no metalico/industrial</t>
        </is>
      </c>
      <c r="C154" s="6" t="n">
        <v>2006</v>
      </c>
      <c r="D154" s="6" t="inlineStr">
        <is>
          <t>2602</t>
        </is>
      </c>
      <c r="E154" s="6" t="n">
        <v>2469130</v>
      </c>
      <c r="F154" s="6" t="n">
        <v>12939.607</v>
      </c>
      <c r="G154" s="6" t="n">
        <v>190.82</v>
      </c>
      <c r="H154" s="6" t="n">
        <v>800</v>
      </c>
      <c r="I154" s="6" t="n">
        <v>0.2385</v>
      </c>
      <c r="J154" s="6" t="inlineStr">
        <is>
          <t>propio</t>
        </is>
      </c>
      <c r="K154" s="5" t="n"/>
      <c r="L154" s="11">
        <f>IF(F154=0,"",E154/F154)</f>
        <v/>
      </c>
      <c r="M154" s="11">
        <f>IF(ISNUMBER(L154),ROUND(L154-G154,4),"")</f>
        <v/>
      </c>
      <c r="N154" s="11">
        <f>IF(H154=0,"",G154/H154)</f>
        <v/>
      </c>
      <c r="O154" s="11">
        <f>IF(ISNUMBER(N154),ROUND(N154-I154,4),"")</f>
        <v/>
      </c>
    </row>
    <row r="155">
      <c r="A155" s="9" t="inlineStr">
        <is>
          <t>manganeso</t>
        </is>
      </c>
      <c r="B155" s="9" t="inlineStr">
        <is>
          <t>no metalico/industrial</t>
        </is>
      </c>
      <c r="C155" s="9" t="n">
        <v>2007</v>
      </c>
      <c r="D155" s="9" t="inlineStr">
        <is>
          <t>2602</t>
        </is>
      </c>
      <c r="E155" s="9" t="n">
        <v>8986533</v>
      </c>
      <c r="F155" s="9" t="n">
        <v>60560.167</v>
      </c>
      <c r="G155" s="9" t="n">
        <v>148.39</v>
      </c>
      <c r="H155" s="9" t="n">
        <v>1190</v>
      </c>
      <c r="I155" s="9" t="n">
        <v>0.1247</v>
      </c>
      <c r="J155" s="9" t="inlineStr">
        <is>
          <t>propio</t>
        </is>
      </c>
      <c r="K155" s="8" t="n"/>
      <c r="L155" s="11">
        <f>IF(F155=0,"",E155/F155)</f>
        <v/>
      </c>
      <c r="M155" s="11">
        <f>IF(ISNUMBER(L155),ROUND(L155-G155,4),"")</f>
        <v/>
      </c>
      <c r="N155" s="11">
        <f>IF(H155=0,"",G155/H155)</f>
        <v/>
      </c>
      <c r="O155" s="11">
        <f>IF(ISNUMBER(N155),ROUND(N155-I155,4),"")</f>
        <v/>
      </c>
    </row>
    <row r="156">
      <c r="A156" s="6" t="inlineStr">
        <is>
          <t>manganeso</t>
        </is>
      </c>
      <c r="B156" s="6" t="inlineStr">
        <is>
          <t>no metalico/industrial</t>
        </is>
      </c>
      <c r="C156" s="6" t="n">
        <v>2008</v>
      </c>
      <c r="D156" s="6" t="inlineStr">
        <is>
          <t>2602</t>
        </is>
      </c>
      <c r="E156" s="6" t="n">
        <v>9138991</v>
      </c>
      <c r="F156" s="6" t="n">
        <v>18406.692</v>
      </c>
      <c r="G156" s="6" t="n">
        <v>496.5</v>
      </c>
      <c r="H156" s="6" t="n">
        <v>2380</v>
      </c>
      <c r="I156" s="6" t="n">
        <v>0.2086</v>
      </c>
      <c r="J156" s="6" t="inlineStr">
        <is>
          <t>propio</t>
        </is>
      </c>
      <c r="K156" s="5" t="n"/>
      <c r="L156" s="11">
        <f>IF(F156=0,"",E156/F156)</f>
        <v/>
      </c>
      <c r="M156" s="11">
        <f>IF(ISNUMBER(L156),ROUND(L156-G156,4),"")</f>
        <v/>
      </c>
      <c r="N156" s="11">
        <f>IF(H156=0,"",G156/H156)</f>
        <v/>
      </c>
      <c r="O156" s="11">
        <f>IF(ISNUMBER(N156),ROUND(N156-I156,4),"")</f>
        <v/>
      </c>
    </row>
    <row r="157">
      <c r="A157" s="9" t="inlineStr">
        <is>
          <t>manganeso</t>
        </is>
      </c>
      <c r="B157" s="9" t="inlineStr">
        <is>
          <t>no metalico/industrial</t>
        </is>
      </c>
      <c r="C157" s="9" t="n">
        <v>2009</v>
      </c>
      <c r="D157" s="9" t="inlineStr">
        <is>
          <t>2602</t>
        </is>
      </c>
      <c r="E157" s="9" t="n">
        <v>8789243</v>
      </c>
      <c r="F157" s="9" t="n">
        <v>38402.402</v>
      </c>
      <c r="G157" s="9" t="n">
        <v>228.87</v>
      </c>
      <c r="H157" s="9" t="n">
        <v>1370</v>
      </c>
      <c r="I157" s="9" t="n">
        <v>0.1671</v>
      </c>
      <c r="J157" s="9" t="inlineStr">
        <is>
          <t>propio</t>
        </is>
      </c>
      <c r="K157" s="8" t="n"/>
      <c r="L157" s="11">
        <f>IF(F157=0,"",E157/F157)</f>
        <v/>
      </c>
      <c r="M157" s="11">
        <f>IF(ISNUMBER(L157),ROUND(L157-G157,4),"")</f>
        <v/>
      </c>
      <c r="N157" s="11">
        <f>IF(H157=0,"",G157/H157)</f>
        <v/>
      </c>
      <c r="O157" s="11">
        <f>IF(ISNUMBER(N157),ROUND(N157-I157,4),"")</f>
        <v/>
      </c>
    </row>
    <row r="158">
      <c r="A158" s="6" t="inlineStr">
        <is>
          <t>manganeso</t>
        </is>
      </c>
      <c r="B158" s="6" t="inlineStr">
        <is>
          <t>no metalico/industrial</t>
        </is>
      </c>
      <c r="C158" s="6" t="n">
        <v>2010</v>
      </c>
      <c r="D158" s="6" t="inlineStr">
        <is>
          <t>2602</t>
        </is>
      </c>
      <c r="E158" s="6" t="n">
        <v>12943004</v>
      </c>
      <c r="F158" s="6" t="n">
        <v>55121.507</v>
      </c>
      <c r="G158" s="6" t="n">
        <v>234.81</v>
      </c>
      <c r="H158" s="6" t="n">
        <v>1500</v>
      </c>
      <c r="I158" s="6" t="n">
        <v>0.1565</v>
      </c>
      <c r="J158" s="6" t="inlineStr">
        <is>
          <t>propio</t>
        </is>
      </c>
      <c r="K158" s="5" t="n"/>
      <c r="L158" s="11">
        <f>IF(F158=0,"",E158/F158)</f>
        <v/>
      </c>
      <c r="M158" s="11">
        <f>IF(ISNUMBER(L158),ROUND(L158-G158,4),"")</f>
        <v/>
      </c>
      <c r="N158" s="11">
        <f>IF(H158=0,"",G158/H158)</f>
        <v/>
      </c>
      <c r="O158" s="11">
        <f>IF(ISNUMBER(N158),ROUND(N158-I158,4),"")</f>
        <v/>
      </c>
    </row>
    <row r="159">
      <c r="A159" s="9" t="inlineStr">
        <is>
          <t>manganeso</t>
        </is>
      </c>
      <c r="B159" s="9" t="inlineStr">
        <is>
          <t>no metalico/industrial</t>
        </is>
      </c>
      <c r="C159" s="9" t="n">
        <v>2011</v>
      </c>
      <c r="D159" s="9" t="inlineStr">
        <is>
          <t>2602</t>
        </is>
      </c>
      <c r="E159" s="9" t="n">
        <v>3948600</v>
      </c>
      <c r="F159" s="9" t="n">
        <v>11534.339</v>
      </c>
      <c r="G159" s="9" t="n">
        <v>342.33</v>
      </c>
      <c r="H159" s="9" t="n">
        <v>1460</v>
      </c>
      <c r="I159" s="9" t="n">
        <v>0.2345</v>
      </c>
      <c r="J159" s="9" t="inlineStr">
        <is>
          <t>propio</t>
        </is>
      </c>
      <c r="K159" s="8" t="n"/>
      <c r="L159" s="11">
        <f>IF(F159=0,"",E159/F159)</f>
        <v/>
      </c>
      <c r="M159" s="11">
        <f>IF(ISNUMBER(L159),ROUND(L159-G159,4),"")</f>
        <v/>
      </c>
      <c r="N159" s="11">
        <f>IF(H159=0,"",G159/H159)</f>
        <v/>
      </c>
      <c r="O159" s="11">
        <f>IF(ISNUMBER(N159),ROUND(N159-I159,4),"")</f>
        <v/>
      </c>
    </row>
    <row r="160">
      <c r="A160" s="6" t="inlineStr">
        <is>
          <t>manganeso</t>
        </is>
      </c>
      <c r="B160" s="6" t="inlineStr">
        <is>
          <t>no metalico/industrial</t>
        </is>
      </c>
      <c r="C160" s="6" t="n">
        <v>2012</v>
      </c>
      <c r="D160" s="6" t="inlineStr">
        <is>
          <t>2602</t>
        </is>
      </c>
      <c r="E160" s="6" t="n">
        <v>3592455</v>
      </c>
      <c r="F160" s="6" t="n">
        <v>10652.194</v>
      </c>
      <c r="G160" s="6" t="n">
        <v>337.25</v>
      </c>
      <c r="H160" s="6" t="n">
        <v>1400</v>
      </c>
      <c r="I160" s="6" t="n">
        <v>0.2409</v>
      </c>
      <c r="J160" s="6" t="inlineStr">
        <is>
          <t>propio</t>
        </is>
      </c>
      <c r="K160" s="5" t="n"/>
      <c r="L160" s="11">
        <f>IF(F160=0,"",E160/F160)</f>
        <v/>
      </c>
      <c r="M160" s="11">
        <f>IF(ISNUMBER(L160),ROUND(L160-G160,4),"")</f>
        <v/>
      </c>
      <c r="N160" s="11">
        <f>IF(H160=0,"",G160/H160)</f>
        <v/>
      </c>
      <c r="O160" s="11">
        <f>IF(ISNUMBER(N160),ROUND(N160-I160,4),"")</f>
        <v/>
      </c>
    </row>
    <row r="161">
      <c r="A161" s="9" t="inlineStr">
        <is>
          <t>manganeso</t>
        </is>
      </c>
      <c r="B161" s="9" t="inlineStr">
        <is>
          <t>no metalico/industrial</t>
        </is>
      </c>
      <c r="C161" s="9" t="n">
        <v>2013</v>
      </c>
      <c r="D161" s="9" t="inlineStr">
        <is>
          <t>2602</t>
        </is>
      </c>
      <c r="E161" s="9" t="n">
        <v>11065299</v>
      </c>
      <c r="F161" s="9" t="n">
        <v>49401.255</v>
      </c>
      <c r="G161" s="9" t="n">
        <v>223.99</v>
      </c>
      <c r="H161" s="9" t="n">
        <v>1190</v>
      </c>
      <c r="I161" s="9" t="n">
        <v>0.1882</v>
      </c>
      <c r="J161" s="9" t="inlineStr">
        <is>
          <t>propio</t>
        </is>
      </c>
      <c r="K161" s="8" t="n"/>
      <c r="L161" s="11">
        <f>IF(F161=0,"",E161/F161)</f>
        <v/>
      </c>
      <c r="M161" s="11">
        <f>IF(ISNUMBER(L161),ROUND(L161-G161,4),"")</f>
        <v/>
      </c>
      <c r="N161" s="11">
        <f>IF(H161=0,"",G161/H161)</f>
        <v/>
      </c>
      <c r="O161" s="11">
        <f>IF(ISNUMBER(N161),ROUND(N161-I161,4),"")</f>
        <v/>
      </c>
    </row>
    <row r="162">
      <c r="A162" s="6" t="inlineStr">
        <is>
          <t>manganeso</t>
        </is>
      </c>
      <c r="B162" s="6" t="inlineStr">
        <is>
          <t>no metalico/industrial</t>
        </is>
      </c>
      <c r="C162" s="6" t="n">
        <v>2014</v>
      </c>
      <c r="D162" s="6" t="inlineStr">
        <is>
          <t>2602</t>
        </is>
      </c>
      <c r="E162" s="6" t="n">
        <v>81079</v>
      </c>
      <c r="F162" s="6" t="n">
        <v>338.366</v>
      </c>
      <c r="G162" s="6" t="n">
        <v>239.62</v>
      </c>
      <c r="H162" s="6" t="n">
        <v>1330</v>
      </c>
      <c r="I162" s="6" t="n">
        <v>0.1802</v>
      </c>
      <c r="J162" s="6" t="inlineStr">
        <is>
          <t>propio</t>
        </is>
      </c>
      <c r="K162" s="5" t="n"/>
      <c r="L162" s="11">
        <f>IF(F162=0,"",E162/F162)</f>
        <v/>
      </c>
      <c r="M162" s="11">
        <f>IF(ISNUMBER(L162),ROUND(L162-G162,4),"")</f>
        <v/>
      </c>
      <c r="N162" s="11">
        <f>IF(H162=0,"",G162/H162)</f>
        <v/>
      </c>
      <c r="O162" s="11">
        <f>IF(ISNUMBER(N162),ROUND(N162-I162,4),"")</f>
        <v/>
      </c>
    </row>
    <row r="163">
      <c r="A163" s="9" t="inlineStr">
        <is>
          <t>manganeso</t>
        </is>
      </c>
      <c r="B163" s="9" t="inlineStr">
        <is>
          <t>no metalico/industrial</t>
        </is>
      </c>
      <c r="C163" s="9" t="n">
        <v>2015</v>
      </c>
      <c r="D163" s="9" t="inlineStr">
        <is>
          <t>2602</t>
        </is>
      </c>
      <c r="E163" s="9" t="n">
        <v>21165201.35</v>
      </c>
      <c r="F163" s="9" t="n">
        <v>158857.867</v>
      </c>
      <c r="G163" s="9" t="n">
        <v>133.23</v>
      </c>
      <c r="H163" s="9" t="n">
        <v>1140</v>
      </c>
      <c r="I163" s="9" t="n">
        <v>0.1169</v>
      </c>
      <c r="J163" s="9" t="inlineStr">
        <is>
          <t>espejo</t>
        </is>
      </c>
      <c r="K163" s="8" t="inlineStr">
        <is>
          <t>numerador por ESPEJO (importaciones de socios desde Mexico; CIF, posible sesgo al alza)</t>
        </is>
      </c>
      <c r="L163" s="11">
        <f>IF(F163=0,"",E163/F163)</f>
        <v/>
      </c>
      <c r="M163" s="11">
        <f>IF(ISNUMBER(L163),ROUND(L163-G163,4),"")</f>
        <v/>
      </c>
      <c r="N163" s="11">
        <f>IF(H163=0,"",G163/H163)</f>
        <v/>
      </c>
      <c r="O163" s="11">
        <f>IF(ISNUMBER(N163),ROUND(N163-I163,4),"")</f>
        <v/>
      </c>
    </row>
    <row r="164">
      <c r="A164" s="6" t="inlineStr">
        <is>
          <t>manganeso</t>
        </is>
      </c>
      <c r="B164" s="6" t="inlineStr">
        <is>
          <t>no metalico/industrial</t>
        </is>
      </c>
      <c r="C164" s="6" t="n">
        <v>2016</v>
      </c>
      <c r="D164" s="6" t="inlineStr">
        <is>
          <t>2602</t>
        </is>
      </c>
      <c r="E164" s="6" t="n">
        <v>19841006.04</v>
      </c>
      <c r="F164" s="6" t="n">
        <v>26917.131</v>
      </c>
      <c r="G164" s="6" t="n">
        <v>737.11</v>
      </c>
      <c r="H164" s="6" t="n">
        <v>920</v>
      </c>
      <c r="I164" s="6" t="n">
        <v>0.8012</v>
      </c>
      <c r="J164" s="6" t="inlineStr">
        <is>
          <t>espejo</t>
        </is>
      </c>
      <c r="K164" s="5" t="inlineStr">
        <is>
          <t>numerador por ESPEJO (importaciones de socios desde Mexico; CIF, posible sesgo al alza)</t>
        </is>
      </c>
      <c r="L164" s="11">
        <f>IF(F164=0,"",E164/F164)</f>
        <v/>
      </c>
      <c r="M164" s="11">
        <f>IF(ISNUMBER(L164),ROUND(L164-G164,4),"")</f>
        <v/>
      </c>
      <c r="N164" s="11">
        <f>IF(H164=0,"",G164/H164)</f>
        <v/>
      </c>
      <c r="O164" s="11">
        <f>IF(ISNUMBER(N164),ROUND(N164-I164,4),"")</f>
        <v/>
      </c>
    </row>
    <row r="165">
      <c r="A165" s="9" t="inlineStr">
        <is>
          <t>manganeso</t>
        </is>
      </c>
      <c r="B165" s="9" t="inlineStr">
        <is>
          <t>no metalico/industrial</t>
        </is>
      </c>
      <c r="C165" s="9" t="n">
        <v>2017</v>
      </c>
      <c r="D165" s="9" t="inlineStr">
        <is>
          <t>2602</t>
        </is>
      </c>
      <c r="E165" s="9" t="n">
        <v>49083913.16</v>
      </c>
      <c r="F165" s="9" t="n">
        <v>162750.926</v>
      </c>
      <c r="G165" s="9" t="n">
        <v>301.59</v>
      </c>
      <c r="H165" s="9" t="n">
        <v>1420</v>
      </c>
      <c r="I165" s="9" t="n">
        <v>0.2124</v>
      </c>
      <c r="J165" s="9" t="inlineStr">
        <is>
          <t>espejo</t>
        </is>
      </c>
      <c r="K165" s="8" t="inlineStr">
        <is>
          <t>numerador por ESPEJO (importaciones de socios desde Mexico; CIF, posible sesgo al alza)</t>
        </is>
      </c>
      <c r="L165" s="11">
        <f>IF(F165=0,"",E165/F165)</f>
        <v/>
      </c>
      <c r="M165" s="11">
        <f>IF(ISNUMBER(L165),ROUND(L165-G165,4),"")</f>
        <v/>
      </c>
      <c r="N165" s="11">
        <f>IF(H165=0,"",G165/H165)</f>
        <v/>
      </c>
      <c r="O165" s="11">
        <f>IF(ISNUMBER(N165),ROUND(N165-I165,4),"")</f>
        <v/>
      </c>
    </row>
    <row r="166">
      <c r="A166" s="6" t="inlineStr">
        <is>
          <t>manganeso</t>
        </is>
      </c>
      <c r="B166" s="6" t="inlineStr">
        <is>
          <t>no metalico/industrial</t>
        </is>
      </c>
      <c r="C166" s="6" t="n">
        <v>2018</v>
      </c>
      <c r="D166" s="6" t="inlineStr">
        <is>
          <t>2602</t>
        </is>
      </c>
      <c r="E166" s="6" t="n">
        <v>17622859.99</v>
      </c>
      <c r="F166" s="6" t="n">
        <v>56188.982</v>
      </c>
      <c r="G166" s="6" t="n">
        <v>313.64</v>
      </c>
      <c r="H166" s="6" t="n">
        <v>1500</v>
      </c>
      <c r="I166" s="6" t="n">
        <v>0.2091</v>
      </c>
      <c r="J166" s="6" t="inlineStr">
        <is>
          <t>espejo</t>
        </is>
      </c>
      <c r="K166" s="5" t="inlineStr">
        <is>
          <t>numerador por ESPEJO (importaciones de socios desde Mexico; CIF, posible sesgo al alza)</t>
        </is>
      </c>
      <c r="L166" s="11">
        <f>IF(F166=0,"",E166/F166)</f>
        <v/>
      </c>
      <c r="M166" s="11">
        <f>IF(ISNUMBER(L166),ROUND(L166-G166,4),"")</f>
        <v/>
      </c>
      <c r="N166" s="11">
        <f>IF(H166=0,"",G166/H166)</f>
        <v/>
      </c>
      <c r="O166" s="11">
        <f>IF(ISNUMBER(N166),ROUND(N166-I166,4),"")</f>
        <v/>
      </c>
    </row>
    <row r="167">
      <c r="A167" s="9" t="inlineStr">
        <is>
          <t>manganeso</t>
        </is>
      </c>
      <c r="B167" s="9" t="inlineStr">
        <is>
          <t>no metalico/industrial</t>
        </is>
      </c>
      <c r="C167" s="9" t="n">
        <v>2019</v>
      </c>
      <c r="D167" s="9" t="inlineStr">
        <is>
          <t>2602</t>
        </is>
      </c>
      <c r="E167" s="9" t="n">
        <v>19027206.24</v>
      </c>
      <c r="F167" s="9" t="n">
        <v>84720.989</v>
      </c>
      <c r="G167" s="9" t="n">
        <v>224.59</v>
      </c>
      <c r="H167" s="9" t="n">
        <v>1300</v>
      </c>
      <c r="I167" s="9" t="n">
        <v>0.1728</v>
      </c>
      <c r="J167" s="9" t="inlineStr">
        <is>
          <t>espejo</t>
        </is>
      </c>
      <c r="K167" s="8" t="inlineStr">
        <is>
          <t>numerador por ESPEJO (importaciones de socios desde Mexico; CIF, posible sesgo al alza)</t>
        </is>
      </c>
      <c r="L167" s="11">
        <f>IF(F167=0,"",E167/F167)</f>
        <v/>
      </c>
      <c r="M167" s="11">
        <f>IF(ISNUMBER(L167),ROUND(L167-G167,4),"")</f>
        <v/>
      </c>
      <c r="N167" s="11">
        <f>IF(H167=0,"",G167/H167)</f>
        <v/>
      </c>
      <c r="O167" s="11">
        <f>IF(ISNUMBER(N167),ROUND(N167-I167,4),"")</f>
        <v/>
      </c>
    </row>
    <row r="168">
      <c r="A168" s="6" t="inlineStr">
        <is>
          <t>manganeso</t>
        </is>
      </c>
      <c r="B168" s="6" t="inlineStr">
        <is>
          <t>no metalico/industrial</t>
        </is>
      </c>
      <c r="C168" s="6" t="n">
        <v>2020</v>
      </c>
      <c r="D168" s="6" t="inlineStr">
        <is>
          <t>2602</t>
        </is>
      </c>
      <c r="E168" s="6" t="n">
        <v>40217083.59</v>
      </c>
      <c r="F168" s="6" t="n">
        <v>159230.417</v>
      </c>
      <c r="G168" s="6" t="n">
        <v>252.57</v>
      </c>
      <c r="H168" s="6" t="n">
        <v>1110</v>
      </c>
      <c r="I168" s="6" t="n">
        <v>0.2275</v>
      </c>
      <c r="J168" s="6" t="inlineStr">
        <is>
          <t>espejo</t>
        </is>
      </c>
      <c r="K168" s="5" t="inlineStr">
        <is>
          <t>numerador por ESPEJO (importaciones de socios desde Mexico; CIF, posible sesgo al alza)</t>
        </is>
      </c>
      <c r="L168" s="11">
        <f>IF(F168=0,"",E168/F168)</f>
        <v/>
      </c>
      <c r="M168" s="11">
        <f>IF(ISNUMBER(L168),ROUND(L168-G168,4),"")</f>
        <v/>
      </c>
      <c r="N168" s="11">
        <f>IF(H168=0,"",G168/H168)</f>
        <v/>
      </c>
      <c r="O168" s="11">
        <f>IF(ISNUMBER(N168),ROUND(N168-I168,4),"")</f>
        <v/>
      </c>
    </row>
    <row r="169">
      <c r="A169" s="9" t="inlineStr">
        <is>
          <t>manganeso</t>
        </is>
      </c>
      <c r="B169" s="9" t="inlineStr">
        <is>
          <t>no metalico/industrial</t>
        </is>
      </c>
      <c r="C169" s="9" t="n">
        <v>2021</v>
      </c>
      <c r="D169" s="9" t="inlineStr">
        <is>
          <t>2602</t>
        </is>
      </c>
      <c r="E169" s="9" t="n">
        <v>19055713.56</v>
      </c>
      <c r="F169" s="9" t="n">
        <v>52740.984</v>
      </c>
      <c r="G169" s="9" t="n">
        <v>361.31</v>
      </c>
      <c r="H169" s="9" t="n">
        <v>1420</v>
      </c>
      <c r="I169" s="9" t="n">
        <v>0.2544</v>
      </c>
      <c r="J169" s="9" t="inlineStr">
        <is>
          <t>espejo</t>
        </is>
      </c>
      <c r="K169" s="8" t="inlineStr">
        <is>
          <t>numerador por ESPEJO (importaciones de socios desde Mexico; CIF, posible sesgo al alza)</t>
        </is>
      </c>
      <c r="L169" s="11">
        <f>IF(F169=0,"",E169/F169)</f>
        <v/>
      </c>
      <c r="M169" s="11">
        <f>IF(ISNUMBER(L169),ROUND(L169-G169,4),"")</f>
        <v/>
      </c>
      <c r="N169" s="11">
        <f>IF(H169=0,"",G169/H169)</f>
        <v/>
      </c>
      <c r="O169" s="11">
        <f>IF(ISNUMBER(N169),ROUND(N169-I169,4),"")</f>
        <v/>
      </c>
    </row>
    <row r="170">
      <c r="A170" s="6" t="inlineStr">
        <is>
          <t>manganeso</t>
        </is>
      </c>
      <c r="B170" s="6" t="inlineStr">
        <is>
          <t>no metalico/industrial</t>
        </is>
      </c>
      <c r="C170" s="6" t="n">
        <v>2022</v>
      </c>
      <c r="D170" s="6" t="inlineStr">
        <is>
          <t>2602</t>
        </is>
      </c>
      <c r="E170" s="6" t="n">
        <v>20023025.88</v>
      </c>
      <c r="F170" s="6" t="n">
        <v>32426.854</v>
      </c>
      <c r="G170" s="6" t="n">
        <v>617.48</v>
      </c>
      <c r="H170" s="6" t="n">
        <v>2000</v>
      </c>
      <c r="I170" s="6" t="n">
        <v>0.3087</v>
      </c>
      <c r="J170" s="6" t="inlineStr">
        <is>
          <t>espejo</t>
        </is>
      </c>
      <c r="K170" s="5" t="inlineStr">
        <is>
          <t>numerador por ESPEJO (importaciones de socios desde Mexico; CIF, posible sesgo al alza)</t>
        </is>
      </c>
      <c r="L170" s="11">
        <f>IF(F170=0,"",E170/F170)</f>
        <v/>
      </c>
      <c r="M170" s="11">
        <f>IF(ISNUMBER(L170),ROUND(L170-G170,4),"")</f>
        <v/>
      </c>
      <c r="N170" s="11">
        <f>IF(H170=0,"",G170/H170)</f>
        <v/>
      </c>
      <c r="O170" s="11">
        <f>IF(ISNUMBER(N170),ROUND(N170-I170,4),"")</f>
        <v/>
      </c>
    </row>
    <row r="171">
      <c r="A171" s="9" t="inlineStr">
        <is>
          <t>manganeso</t>
        </is>
      </c>
      <c r="B171" s="9" t="inlineStr">
        <is>
          <t>no metalico/industrial</t>
        </is>
      </c>
      <c r="C171" s="9" t="n">
        <v>2023</v>
      </c>
      <c r="D171" s="9" t="inlineStr">
        <is>
          <t>2602</t>
        </is>
      </c>
      <c r="E171" s="9" t="n">
        <v>12522832.38</v>
      </c>
      <c r="F171" s="9" t="n">
        <v>62074.869</v>
      </c>
      <c r="G171" s="9" t="n">
        <v>201.74</v>
      </c>
      <c r="H171" s="9" t="n">
        <v>1608.04</v>
      </c>
      <c r="I171" s="9" t="n">
        <v>0.1255</v>
      </c>
      <c r="J171" s="9" t="inlineStr">
        <is>
          <t>espejo</t>
        </is>
      </c>
      <c r="K171" s="8" t="inlineStr">
        <is>
          <t>numerador por ESPEJO (importaciones de socios desde Mexico; CIF, posible sesgo al alza)</t>
        </is>
      </c>
      <c r="L171" s="11">
        <f>IF(F171=0,"",E171/F171)</f>
        <v/>
      </c>
      <c r="M171" s="11">
        <f>IF(ISNUMBER(L171),ROUND(L171-G171,4),"")</f>
        <v/>
      </c>
      <c r="N171" s="11">
        <f>IF(H171=0,"",G171/H171)</f>
        <v/>
      </c>
      <c r="O171" s="11">
        <f>IF(ISNUMBER(N171),ROUND(N171-I171,4),"")</f>
        <v/>
      </c>
    </row>
    <row r="172">
      <c r="A172" s="6" t="inlineStr">
        <is>
          <t>manganeso</t>
        </is>
      </c>
      <c r="B172" s="6" t="inlineStr">
        <is>
          <t>no metalico/industrial</t>
        </is>
      </c>
      <c r="C172" s="6" t="n">
        <v>2024</v>
      </c>
      <c r="D172" s="6" t="inlineStr">
        <is>
          <t>2602</t>
        </is>
      </c>
      <c r="E172" s="6" t="n">
        <v>29630503.52</v>
      </c>
      <c r="F172" s="6" t="n">
        <v>142910.586</v>
      </c>
      <c r="G172" s="6" t="n">
        <v>207.34</v>
      </c>
      <c r="H172" s="6" t="n">
        <v>1852.6</v>
      </c>
      <c r="I172" s="6" t="n">
        <v>0.1119</v>
      </c>
      <c r="J172" s="6" t="inlineStr">
        <is>
          <t>espejo</t>
        </is>
      </c>
      <c r="K172" s="5" t="inlineStr">
        <is>
          <t>numerador por ESPEJO (importaciones de socios desde Mexico; CIF, posible sesgo al alza)</t>
        </is>
      </c>
      <c r="L172" s="11">
        <f>IF(F172=0,"",E172/F172)</f>
        <v/>
      </c>
      <c r="M172" s="11">
        <f>IF(ISNUMBER(L172),ROUND(L172-G172,4),"")</f>
        <v/>
      </c>
      <c r="N172" s="11">
        <f>IF(H172=0,"",G172/H172)</f>
        <v/>
      </c>
      <c r="O172" s="11">
        <f>IF(ISNUMBER(N172),ROUND(N172-I172,4),"")</f>
        <v/>
      </c>
    </row>
    <row r="173">
      <c r="A173" s="9" t="inlineStr">
        <is>
          <t>manganeso</t>
        </is>
      </c>
      <c r="B173" s="9" t="inlineStr">
        <is>
          <t>no metalico/industrial</t>
        </is>
      </c>
      <c r="C173" s="9" t="n">
        <v>2025</v>
      </c>
      <c r="D173" s="9" t="inlineStr">
        <is>
          <t>2602</t>
        </is>
      </c>
      <c r="E173" s="9" t="n">
        <v>36523728.64</v>
      </c>
      <c r="F173" s="9" t="n">
        <v>183428.052</v>
      </c>
      <c r="G173" s="9" t="n">
        <v>199.12</v>
      </c>
      <c r="H173" s="9" t="n">
        <v>1507.54</v>
      </c>
      <c r="I173" s="9" t="n">
        <v>0.1321</v>
      </c>
      <c r="J173" s="9" t="inlineStr">
        <is>
          <t>espejo</t>
        </is>
      </c>
      <c r="K173" s="8" t="inlineStr">
        <is>
          <t>numerador por ESPEJO (importaciones de socios desde Mexico; CIF, posible sesgo al alza)</t>
        </is>
      </c>
      <c r="L173" s="11">
        <f>IF(F173=0,"",E173/F173)</f>
        <v/>
      </c>
      <c r="M173" s="11">
        <f>IF(ISNUMBER(L173),ROUND(L173-G173,4),"")</f>
        <v/>
      </c>
      <c r="N173" s="11">
        <f>IF(H173=0,"",G173/H173)</f>
        <v/>
      </c>
      <c r="O173" s="11">
        <f>IF(ISNUMBER(N173),ROUND(N173-I173,4),"")</f>
        <v/>
      </c>
    </row>
    <row r="174">
      <c r="A174" s="6" t="inlineStr">
        <is>
          <t>oro</t>
        </is>
      </c>
      <c r="B174" s="6" t="inlineStr">
        <is>
          <t>metal precioso</t>
        </is>
      </c>
      <c r="C174" s="6" t="n">
        <v>1992</v>
      </c>
      <c r="D174" s="6" t="inlineStr">
        <is>
          <t>261610</t>
        </is>
      </c>
      <c r="E174" s="6" t="n">
        <v>71000</v>
      </c>
      <c r="F174" s="6" t="n">
        <v>2864.11</v>
      </c>
      <c r="G174" s="6" t="n">
        <v>24.79</v>
      </c>
      <c r="H174" s="6" t="n">
        <v>11100000</v>
      </c>
      <c r="I174" s="6" t="n">
        <v>0</v>
      </c>
      <c r="J174" s="6" t="inlineStr">
        <is>
          <t>propio</t>
        </is>
      </c>
      <c r="K174" s="5" t="n"/>
      <c r="L174" s="11">
        <f>IF(F174=0,"",E174/F174)</f>
        <v/>
      </c>
      <c r="M174" s="11">
        <f>IF(ISNUMBER(L174),ROUND(L174-G174,4),"")</f>
        <v/>
      </c>
      <c r="N174" s="11">
        <f>IF(H174=0,"",G174/H174)</f>
        <v/>
      </c>
      <c r="O174" s="11">
        <f>IF(ISNUMBER(N174),ROUND(N174-I174,4),"")</f>
        <v/>
      </c>
    </row>
    <row r="175">
      <c r="A175" s="9" t="inlineStr">
        <is>
          <t>oro</t>
        </is>
      </c>
      <c r="B175" s="9" t="inlineStr">
        <is>
          <t>metal precioso</t>
        </is>
      </c>
      <c r="C175" s="9" t="n">
        <v>1993</v>
      </c>
      <c r="D175" s="9" t="inlineStr">
        <is>
          <t>261610</t>
        </is>
      </c>
      <c r="E175" s="9" t="n">
        <v>75000</v>
      </c>
      <c r="F175" s="9" t="n">
        <v>1917.997</v>
      </c>
      <c r="G175" s="9" t="n">
        <v>39.1</v>
      </c>
      <c r="H175" s="9" t="n">
        <v>11600000</v>
      </c>
      <c r="I175" s="9" t="n">
        <v>0</v>
      </c>
      <c r="J175" s="9" t="inlineStr">
        <is>
          <t>propio</t>
        </is>
      </c>
      <c r="K175" s="8" t="n"/>
      <c r="L175" s="11">
        <f>IF(F175=0,"",E175/F175)</f>
        <v/>
      </c>
      <c r="M175" s="11">
        <f>IF(ISNUMBER(L175),ROUND(L175-G175,4),"")</f>
        <v/>
      </c>
      <c r="N175" s="11">
        <f>IF(H175=0,"",G175/H175)</f>
        <v/>
      </c>
      <c r="O175" s="11">
        <f>IF(ISNUMBER(N175),ROUND(N175-I175,4),"")</f>
        <v/>
      </c>
    </row>
    <row r="176">
      <c r="A176" s="6" t="inlineStr">
        <is>
          <t>oro</t>
        </is>
      </c>
      <c r="B176" s="6" t="inlineStr">
        <is>
          <t>metal precioso</t>
        </is>
      </c>
      <c r="C176" s="6" t="n">
        <v>1994</v>
      </c>
      <c r="D176" s="6" t="inlineStr">
        <is>
          <t>261610</t>
        </is>
      </c>
      <c r="E176" s="6" t="n">
        <v>13441</v>
      </c>
      <c r="F176" s="6" t="n">
        <v>104.514</v>
      </c>
      <c r="G176" s="6" t="n">
        <v>128.6</v>
      </c>
      <c r="H176" s="6" t="n">
        <v>12400000</v>
      </c>
      <c r="I176" s="6" t="n">
        <v>0</v>
      </c>
      <c r="J176" s="6" t="inlineStr">
        <is>
          <t>propio</t>
        </is>
      </c>
      <c r="K176" s="5" t="n"/>
      <c r="L176" s="11">
        <f>IF(F176=0,"",E176/F176)</f>
        <v/>
      </c>
      <c r="M176" s="11">
        <f>IF(ISNUMBER(L176),ROUND(L176-G176,4),"")</f>
        <v/>
      </c>
      <c r="N176" s="11">
        <f>IF(H176=0,"",G176/H176)</f>
        <v/>
      </c>
      <c r="O176" s="11">
        <f>IF(ISNUMBER(N176),ROUND(N176-I176,4),"")</f>
        <v/>
      </c>
    </row>
    <row r="177">
      <c r="A177" s="9" t="inlineStr">
        <is>
          <t>oro</t>
        </is>
      </c>
      <c r="B177" s="9" t="inlineStr">
        <is>
          <t>metal precioso</t>
        </is>
      </c>
      <c r="C177" s="9" t="n">
        <v>1995</v>
      </c>
      <c r="D177" s="9" t="inlineStr">
        <is>
          <t>261610</t>
        </is>
      </c>
      <c r="E177" s="9" t="n">
        <v>13000</v>
      </c>
      <c r="F177" s="9" t="n">
        <v>370.65</v>
      </c>
      <c r="G177" s="9" t="n">
        <v>35.07</v>
      </c>
      <c r="H177" s="9" t="n">
        <v>12400000</v>
      </c>
      <c r="I177" s="9" t="n">
        <v>0</v>
      </c>
      <c r="J177" s="9" t="inlineStr">
        <is>
          <t>propio</t>
        </is>
      </c>
      <c r="K177" s="8" t="n"/>
      <c r="L177" s="11">
        <f>IF(F177=0,"",E177/F177)</f>
        <v/>
      </c>
      <c r="M177" s="11">
        <f>IF(ISNUMBER(L177),ROUND(L177-G177,4),"")</f>
        <v/>
      </c>
      <c r="N177" s="11">
        <f>IF(H177=0,"",G177/H177)</f>
        <v/>
      </c>
      <c r="O177" s="11">
        <f>IF(ISNUMBER(N177),ROUND(N177-I177,4),"")</f>
        <v/>
      </c>
    </row>
    <row r="178">
      <c r="A178" s="6" t="inlineStr">
        <is>
          <t>oro</t>
        </is>
      </c>
      <c r="B178" s="6" t="inlineStr">
        <is>
          <t>metal precioso</t>
        </is>
      </c>
      <c r="C178" s="6" t="n">
        <v>1996</v>
      </c>
      <c r="D178" s="6" t="inlineStr">
        <is>
          <t>261610</t>
        </is>
      </c>
      <c r="E178" s="6" t="n">
        <v>8439</v>
      </c>
      <c r="F178" s="6" t="n">
        <v>774</v>
      </c>
      <c r="G178" s="6" t="n">
        <v>10.9</v>
      </c>
      <c r="H178" s="6" t="n">
        <v>12500000</v>
      </c>
      <c r="I178" s="6" t="n">
        <v>0</v>
      </c>
      <c r="J178" s="6" t="inlineStr">
        <is>
          <t>propio</t>
        </is>
      </c>
      <c r="K178" s="5" t="n"/>
      <c r="L178" s="11">
        <f>IF(F178=0,"",E178/F178)</f>
        <v/>
      </c>
      <c r="M178" s="11">
        <f>IF(ISNUMBER(L178),ROUND(L178-G178,4),"")</f>
        <v/>
      </c>
      <c r="N178" s="11">
        <f>IF(H178=0,"",G178/H178)</f>
        <v/>
      </c>
      <c r="O178" s="11">
        <f>IF(ISNUMBER(N178),ROUND(N178-I178,4),"")</f>
        <v/>
      </c>
    </row>
    <row r="179">
      <c r="A179" s="9" t="inlineStr">
        <is>
          <t>oro</t>
        </is>
      </c>
      <c r="B179" s="9" t="inlineStr">
        <is>
          <t>metal precioso</t>
        </is>
      </c>
      <c r="C179" s="9" t="n">
        <v>1997</v>
      </c>
      <c r="D179" s="9" t="inlineStr">
        <is>
          <t>261610</t>
        </is>
      </c>
      <c r="E179" s="9" t="n">
        <v>2865503</v>
      </c>
      <c r="F179" s="9" t="n">
        <v>1378.586</v>
      </c>
      <c r="G179" s="9" t="n">
        <v>2078.58</v>
      </c>
      <c r="H179" s="9" t="n">
        <v>10700000</v>
      </c>
      <c r="I179" s="9" t="n">
        <v>0.0002</v>
      </c>
      <c r="J179" s="9" t="inlineStr">
        <is>
          <t>propio</t>
        </is>
      </c>
      <c r="K179" s="8" t="n"/>
      <c r="L179" s="11">
        <f>IF(F179=0,"",E179/F179)</f>
        <v/>
      </c>
      <c r="M179" s="11">
        <f>IF(ISNUMBER(L179),ROUND(L179-G179,4),"")</f>
        <v/>
      </c>
      <c r="N179" s="11">
        <f>IF(H179=0,"",G179/H179)</f>
        <v/>
      </c>
      <c r="O179" s="11">
        <f>IF(ISNUMBER(N179),ROUND(N179-I179,4),"")</f>
        <v/>
      </c>
    </row>
    <row r="180">
      <c r="A180" s="6" t="inlineStr">
        <is>
          <t>oro</t>
        </is>
      </c>
      <c r="B180" s="6" t="inlineStr">
        <is>
          <t>metal precioso</t>
        </is>
      </c>
      <c r="C180" s="6" t="n">
        <v>1998</v>
      </c>
      <c r="D180" s="6" t="inlineStr">
        <is>
          <t>261610</t>
        </is>
      </c>
      <c r="E180" s="6" t="n">
        <v>5512786</v>
      </c>
      <c r="F180" s="6" t="n">
        <v>3496.444</v>
      </c>
      <c r="G180" s="6" t="n">
        <v>1576.68</v>
      </c>
      <c r="H180" s="6" t="n">
        <v>9490000</v>
      </c>
      <c r="I180" s="6" t="n">
        <v>0.0002</v>
      </c>
      <c r="J180" s="6" t="inlineStr">
        <is>
          <t>propio</t>
        </is>
      </c>
      <c r="K180" s="5" t="n"/>
      <c r="L180" s="11">
        <f>IF(F180=0,"",E180/F180)</f>
        <v/>
      </c>
      <c r="M180" s="11">
        <f>IF(ISNUMBER(L180),ROUND(L180-G180,4),"")</f>
        <v/>
      </c>
      <c r="N180" s="11">
        <f>IF(H180=0,"",G180/H180)</f>
        <v/>
      </c>
      <c r="O180" s="11">
        <f>IF(ISNUMBER(N180),ROUND(N180-I180,4),"")</f>
        <v/>
      </c>
    </row>
    <row r="181">
      <c r="A181" s="9" t="inlineStr">
        <is>
          <t>oro</t>
        </is>
      </c>
      <c r="B181" s="9" t="inlineStr">
        <is>
          <t>metal precioso</t>
        </is>
      </c>
      <c r="C181" s="9" t="n">
        <v>1999</v>
      </c>
      <c r="D181" s="9" t="inlineStr">
        <is>
          <t>261610</t>
        </is>
      </c>
      <c r="E181" s="9" t="n">
        <v>11399621</v>
      </c>
      <c r="F181" s="9" t="n">
        <v>6540.82</v>
      </c>
      <c r="G181" s="9" t="n">
        <v>1742.84</v>
      </c>
      <c r="H181" s="9" t="n">
        <v>9000000</v>
      </c>
      <c r="I181" s="9" t="n">
        <v>0.0002</v>
      </c>
      <c r="J181" s="9" t="inlineStr">
        <is>
          <t>propio</t>
        </is>
      </c>
      <c r="K181" s="8" t="n"/>
      <c r="L181" s="11">
        <f>IF(F181=0,"",E181/F181)</f>
        <v/>
      </c>
      <c r="M181" s="11">
        <f>IF(ISNUMBER(L181),ROUND(L181-G181,4),"")</f>
        <v/>
      </c>
      <c r="N181" s="11">
        <f>IF(H181=0,"",G181/H181)</f>
        <v/>
      </c>
      <c r="O181" s="11">
        <f>IF(ISNUMBER(N181),ROUND(N181-I181,4),"")</f>
        <v/>
      </c>
    </row>
    <row r="182">
      <c r="A182" s="6" t="inlineStr">
        <is>
          <t>oro</t>
        </is>
      </c>
      <c r="B182" s="6" t="inlineStr">
        <is>
          <t>metal precioso</t>
        </is>
      </c>
      <c r="C182" s="6" t="n">
        <v>2000</v>
      </c>
      <c r="D182" s="6" t="inlineStr">
        <is>
          <t>261610</t>
        </is>
      </c>
      <c r="E182" s="6" t="n">
        <v>5583174</v>
      </c>
      <c r="F182" s="6" t="n">
        <v>4796.793</v>
      </c>
      <c r="G182" s="6" t="n">
        <v>1163.94</v>
      </c>
      <c r="H182" s="6" t="n">
        <v>9010000</v>
      </c>
      <c r="I182" s="6" t="n">
        <v>0.0001</v>
      </c>
      <c r="J182" s="6" t="inlineStr">
        <is>
          <t>propio</t>
        </is>
      </c>
      <c r="K182" s="5" t="n"/>
      <c r="L182" s="11">
        <f>IF(F182=0,"",E182/F182)</f>
        <v/>
      </c>
      <c r="M182" s="11">
        <f>IF(ISNUMBER(L182),ROUND(L182-G182,4),"")</f>
        <v/>
      </c>
      <c r="N182" s="11">
        <f>IF(H182=0,"",G182/H182)</f>
        <v/>
      </c>
      <c r="O182" s="11">
        <f>IF(ISNUMBER(N182),ROUND(N182-I182,4),"")</f>
        <v/>
      </c>
    </row>
    <row r="183">
      <c r="A183" s="9" t="inlineStr">
        <is>
          <t>oro</t>
        </is>
      </c>
      <c r="B183" s="9" t="inlineStr">
        <is>
          <t>metal precioso</t>
        </is>
      </c>
      <c r="C183" s="9" t="n">
        <v>2001</v>
      </c>
      <c r="D183" s="9" t="inlineStr">
        <is>
          <t>261610</t>
        </is>
      </c>
      <c r="E183" s="9" t="n"/>
      <c r="F183" s="9" t="n"/>
      <c r="G183" s="9" t="n"/>
      <c r="H183" s="9" t="n">
        <v>8750000</v>
      </c>
      <c r="I183" s="9" t="n"/>
      <c r="J183" s="9" t="n"/>
      <c r="K183" s="8" t="inlineStr">
        <is>
          <t>sin exportacion E1 (no imputado)</t>
        </is>
      </c>
      <c r="L183" s="11">
        <f>IF(F183=0,"",E183/F183)</f>
        <v/>
      </c>
      <c r="M183" s="11">
        <f>IF(ISNUMBER(L183),ROUND(L183-G183,4),"")</f>
        <v/>
      </c>
      <c r="N183" s="11">
        <f>IF(H183=0,"",G183/H183)</f>
        <v/>
      </c>
      <c r="O183" s="11">
        <f>IF(ISNUMBER(N183),ROUND(N183-I183,4),"")</f>
        <v/>
      </c>
    </row>
    <row r="184">
      <c r="A184" s="6" t="inlineStr">
        <is>
          <t>oro</t>
        </is>
      </c>
      <c r="B184" s="6" t="inlineStr">
        <is>
          <t>metal precioso</t>
        </is>
      </c>
      <c r="C184" s="6" t="n">
        <v>2002</v>
      </c>
      <c r="D184" s="6" t="inlineStr">
        <is>
          <t>261610</t>
        </is>
      </c>
      <c r="E184" s="6" t="n"/>
      <c r="F184" s="6" t="n"/>
      <c r="G184" s="6" t="n"/>
      <c r="H184" s="6" t="n">
        <v>10000000</v>
      </c>
      <c r="I184" s="6" t="n"/>
      <c r="J184" s="6" t="n"/>
      <c r="K184" s="5" t="inlineStr">
        <is>
          <t>sin exportacion E1 (no imputado)</t>
        </is>
      </c>
      <c r="L184" s="11">
        <f>IF(F184=0,"",E184/F184)</f>
        <v/>
      </c>
      <c r="M184" s="11">
        <f>IF(ISNUMBER(L184),ROUND(L184-G184,4),"")</f>
        <v/>
      </c>
      <c r="N184" s="11">
        <f>IF(H184=0,"",G184/H184)</f>
        <v/>
      </c>
      <c r="O184" s="11">
        <f>IF(ISNUMBER(N184),ROUND(N184-I184,4),"")</f>
        <v/>
      </c>
    </row>
    <row r="185">
      <c r="A185" s="9" t="inlineStr">
        <is>
          <t>oro</t>
        </is>
      </c>
      <c r="B185" s="9" t="inlineStr">
        <is>
          <t>metal precioso</t>
        </is>
      </c>
      <c r="C185" s="9" t="n">
        <v>2003</v>
      </c>
      <c r="D185" s="9" t="inlineStr">
        <is>
          <t>261610</t>
        </is>
      </c>
      <c r="E185" s="9" t="n"/>
      <c r="F185" s="9" t="n"/>
      <c r="G185" s="9" t="n"/>
      <c r="H185" s="9" t="n">
        <v>11700000</v>
      </c>
      <c r="I185" s="9" t="n"/>
      <c r="J185" s="9" t="n"/>
      <c r="K185" s="8" t="inlineStr">
        <is>
          <t>sin exportacion E1 (no imputado)</t>
        </is>
      </c>
      <c r="L185" s="11">
        <f>IF(F185=0,"",E185/F185)</f>
        <v/>
      </c>
      <c r="M185" s="11">
        <f>IF(ISNUMBER(L185),ROUND(L185-G185,4),"")</f>
        <v/>
      </c>
      <c r="N185" s="11">
        <f>IF(H185=0,"",G185/H185)</f>
        <v/>
      </c>
      <c r="O185" s="11">
        <f>IF(ISNUMBER(N185),ROUND(N185-I185,4),"")</f>
        <v/>
      </c>
    </row>
    <row r="186">
      <c r="A186" s="6" t="inlineStr">
        <is>
          <t>oro</t>
        </is>
      </c>
      <c r="B186" s="6" t="inlineStr">
        <is>
          <t>metal precioso</t>
        </is>
      </c>
      <c r="C186" s="6" t="n">
        <v>2004</v>
      </c>
      <c r="D186" s="6" t="inlineStr">
        <is>
          <t>261610</t>
        </is>
      </c>
      <c r="E186" s="6" t="n">
        <v>18333</v>
      </c>
      <c r="F186" s="6" t="n">
        <v>12</v>
      </c>
      <c r="G186" s="6" t="n">
        <v>1527.75</v>
      </c>
      <c r="H186" s="6" t="n">
        <v>13200000</v>
      </c>
      <c r="I186" s="6" t="n">
        <v>0.0001</v>
      </c>
      <c r="J186" s="6" t="inlineStr">
        <is>
          <t>propio</t>
        </is>
      </c>
      <c r="K186" s="5" t="n"/>
      <c r="L186" s="11">
        <f>IF(F186=0,"",E186/F186)</f>
        <v/>
      </c>
      <c r="M186" s="11">
        <f>IF(ISNUMBER(L186),ROUND(L186-G186,4),"")</f>
        <v/>
      </c>
      <c r="N186" s="11">
        <f>IF(H186=0,"",G186/H186)</f>
        <v/>
      </c>
      <c r="O186" s="11">
        <f>IF(ISNUMBER(N186),ROUND(N186-I186,4),"")</f>
        <v/>
      </c>
    </row>
    <row r="187">
      <c r="A187" s="9" t="inlineStr">
        <is>
          <t>oro</t>
        </is>
      </c>
      <c r="B187" s="9" t="inlineStr">
        <is>
          <t>metal precioso</t>
        </is>
      </c>
      <c r="C187" s="9" t="n">
        <v>2005</v>
      </c>
      <c r="D187" s="9" t="inlineStr">
        <is>
          <t>261610</t>
        </is>
      </c>
      <c r="E187" s="9" t="n">
        <v>9872</v>
      </c>
      <c r="F187" s="9" t="n">
        <v>13.005</v>
      </c>
      <c r="G187" s="9" t="n">
        <v>759.09</v>
      </c>
      <c r="H187" s="9" t="n">
        <v>14300000</v>
      </c>
      <c r="I187" s="9" t="n">
        <v>0.0001</v>
      </c>
      <c r="J187" s="9" t="inlineStr">
        <is>
          <t>propio</t>
        </is>
      </c>
      <c r="K187" s="8" t="n"/>
      <c r="L187" s="11">
        <f>IF(F187=0,"",E187/F187)</f>
        <v/>
      </c>
      <c r="M187" s="11">
        <f>IF(ISNUMBER(L187),ROUND(L187-G187,4),"")</f>
        <v/>
      </c>
      <c r="N187" s="11">
        <f>IF(H187=0,"",G187/H187)</f>
        <v/>
      </c>
      <c r="O187" s="11">
        <f>IF(ISNUMBER(N187),ROUND(N187-I187,4),"")</f>
        <v/>
      </c>
    </row>
    <row r="188">
      <c r="A188" s="6" t="inlineStr">
        <is>
          <t>oro</t>
        </is>
      </c>
      <c r="B188" s="6" t="inlineStr">
        <is>
          <t>metal precioso</t>
        </is>
      </c>
      <c r="C188" s="6" t="n">
        <v>2006</v>
      </c>
      <c r="D188" s="6" t="inlineStr">
        <is>
          <t>261610</t>
        </is>
      </c>
      <c r="E188" s="6" t="n"/>
      <c r="F188" s="6" t="n"/>
      <c r="G188" s="6" t="n"/>
      <c r="H188" s="6" t="n">
        <v>19500000</v>
      </c>
      <c r="I188" s="6" t="n"/>
      <c r="J188" s="6" t="n"/>
      <c r="K188" s="5" t="inlineStr">
        <is>
          <t>sin exportacion E1 (no imputado)</t>
        </is>
      </c>
      <c r="L188" s="11">
        <f>IF(F188=0,"",E188/F188)</f>
        <v/>
      </c>
      <c r="M188" s="11">
        <f>IF(ISNUMBER(L188),ROUND(L188-G188,4),"")</f>
        <v/>
      </c>
      <c r="N188" s="11">
        <f>IF(H188=0,"",G188/H188)</f>
        <v/>
      </c>
      <c r="O188" s="11">
        <f>IF(ISNUMBER(N188),ROUND(N188-I188,4),"")</f>
        <v/>
      </c>
    </row>
    <row r="189">
      <c r="A189" s="9" t="inlineStr">
        <is>
          <t>oro</t>
        </is>
      </c>
      <c r="B189" s="9" t="inlineStr">
        <is>
          <t>metal precioso</t>
        </is>
      </c>
      <c r="C189" s="9" t="n">
        <v>2007</v>
      </c>
      <c r="D189" s="9" t="inlineStr">
        <is>
          <t>261610</t>
        </is>
      </c>
      <c r="E189" s="9" t="n">
        <v>13935741</v>
      </c>
      <c r="F189" s="9" t="n">
        <v>3870.566</v>
      </c>
      <c r="G189" s="9" t="n">
        <v>3600.44</v>
      </c>
      <c r="H189" s="9" t="n">
        <v>22500000</v>
      </c>
      <c r="I189" s="9" t="n">
        <v>0.0002</v>
      </c>
      <c r="J189" s="9" t="inlineStr">
        <is>
          <t>propio</t>
        </is>
      </c>
      <c r="K189" s="8" t="n"/>
      <c r="L189" s="11">
        <f>IF(F189=0,"",E189/F189)</f>
        <v/>
      </c>
      <c r="M189" s="11">
        <f>IF(ISNUMBER(L189),ROUND(L189-G189,4),"")</f>
        <v/>
      </c>
      <c r="N189" s="11">
        <f>IF(H189=0,"",G189/H189)</f>
        <v/>
      </c>
      <c r="O189" s="11">
        <f>IF(ISNUMBER(N189),ROUND(N189-I189,4),"")</f>
        <v/>
      </c>
    </row>
    <row r="190">
      <c r="A190" s="6" t="inlineStr">
        <is>
          <t>oro</t>
        </is>
      </c>
      <c r="B190" s="6" t="inlineStr">
        <is>
          <t>metal precioso</t>
        </is>
      </c>
      <c r="C190" s="6" t="n">
        <v>2008</v>
      </c>
      <c r="D190" s="6" t="inlineStr">
        <is>
          <t>261610</t>
        </is>
      </c>
      <c r="E190" s="6" t="n">
        <v>16765160</v>
      </c>
      <c r="F190" s="6" t="n">
        <v>4753.907</v>
      </c>
      <c r="G190" s="6" t="n">
        <v>3526.61</v>
      </c>
      <c r="H190" s="6" t="n">
        <v>28100000</v>
      </c>
      <c r="I190" s="6" t="n">
        <v>0.0001</v>
      </c>
      <c r="J190" s="6" t="inlineStr">
        <is>
          <t>propio</t>
        </is>
      </c>
      <c r="K190" s="5" t="n"/>
      <c r="L190" s="11">
        <f>IF(F190=0,"",E190/F190)</f>
        <v/>
      </c>
      <c r="M190" s="11">
        <f>IF(ISNUMBER(L190),ROUND(L190-G190,4),"")</f>
        <v/>
      </c>
      <c r="N190" s="11">
        <f>IF(H190=0,"",G190/H190)</f>
        <v/>
      </c>
      <c r="O190" s="11">
        <f>IF(ISNUMBER(N190),ROUND(N190-I190,4),"")</f>
        <v/>
      </c>
    </row>
    <row r="191">
      <c r="A191" s="9" t="inlineStr">
        <is>
          <t>oro</t>
        </is>
      </c>
      <c r="B191" s="9" t="inlineStr">
        <is>
          <t>metal precioso</t>
        </is>
      </c>
      <c r="C191" s="9" t="n">
        <v>2009</v>
      </c>
      <c r="D191" s="9" t="inlineStr">
        <is>
          <t>261610</t>
        </is>
      </c>
      <c r="E191" s="9" t="n">
        <v>50219852</v>
      </c>
      <c r="F191" s="9" t="n">
        <v>6807.728</v>
      </c>
      <c r="G191" s="9" t="n">
        <v>7376.89</v>
      </c>
      <c r="H191" s="9" t="n">
        <v>31300000</v>
      </c>
      <c r="I191" s="9" t="n">
        <v>0.0002</v>
      </c>
      <c r="J191" s="9" t="inlineStr">
        <is>
          <t>propio</t>
        </is>
      </c>
      <c r="K191" s="8" t="n"/>
      <c r="L191" s="11">
        <f>IF(F191=0,"",E191/F191)</f>
        <v/>
      </c>
      <c r="M191" s="11">
        <f>IF(ISNUMBER(L191),ROUND(L191-G191,4),"")</f>
        <v/>
      </c>
      <c r="N191" s="11">
        <f>IF(H191=0,"",G191/H191)</f>
        <v/>
      </c>
      <c r="O191" s="11">
        <f>IF(ISNUMBER(N191),ROUND(N191-I191,4),"")</f>
        <v/>
      </c>
    </row>
    <row r="192">
      <c r="A192" s="6" t="inlineStr">
        <is>
          <t>oro</t>
        </is>
      </c>
      <c r="B192" s="6" t="inlineStr">
        <is>
          <t>metal precioso</t>
        </is>
      </c>
      <c r="C192" s="6" t="n">
        <v>2010</v>
      </c>
      <c r="D192" s="6" t="inlineStr">
        <is>
          <t>261610</t>
        </is>
      </c>
      <c r="E192" s="6" t="n">
        <v>18554929</v>
      </c>
      <c r="F192" s="6" t="n">
        <v>5029.855</v>
      </c>
      <c r="G192" s="6" t="n">
        <v>3688.96</v>
      </c>
      <c r="H192" s="6" t="n">
        <v>39500000</v>
      </c>
      <c r="I192" s="6" t="n">
        <v>0.0001</v>
      </c>
      <c r="J192" s="6" t="inlineStr">
        <is>
          <t>propio</t>
        </is>
      </c>
      <c r="K192" s="5" t="n"/>
      <c r="L192" s="11">
        <f>IF(F192=0,"",E192/F192)</f>
        <v/>
      </c>
      <c r="M192" s="11">
        <f>IF(ISNUMBER(L192),ROUND(L192-G192,4),"")</f>
        <v/>
      </c>
      <c r="N192" s="11">
        <f>IF(H192=0,"",G192/H192)</f>
        <v/>
      </c>
      <c r="O192" s="11">
        <f>IF(ISNUMBER(N192),ROUND(N192-I192,4),"")</f>
        <v/>
      </c>
    </row>
    <row r="193">
      <c r="A193" s="9" t="inlineStr">
        <is>
          <t>oro</t>
        </is>
      </c>
      <c r="B193" s="9" t="inlineStr">
        <is>
          <t>metal precioso</t>
        </is>
      </c>
      <c r="C193" s="9" t="n">
        <v>2011</v>
      </c>
      <c r="D193" s="9" t="inlineStr">
        <is>
          <t>261610</t>
        </is>
      </c>
      <c r="E193" s="9" t="n">
        <v>151638195</v>
      </c>
      <c r="F193" s="9" t="n">
        <v>38622.738</v>
      </c>
      <c r="G193" s="9" t="n">
        <v>3926.14</v>
      </c>
      <c r="H193" s="9" t="n">
        <v>50600000</v>
      </c>
      <c r="I193" s="9" t="n">
        <v>0.0001</v>
      </c>
      <c r="J193" s="9" t="inlineStr">
        <is>
          <t>propio</t>
        </is>
      </c>
      <c r="K193" s="8" t="n"/>
      <c r="L193" s="11">
        <f>IF(F193=0,"",E193/F193)</f>
        <v/>
      </c>
      <c r="M193" s="11">
        <f>IF(ISNUMBER(L193),ROUND(L193-G193,4),"")</f>
        <v/>
      </c>
      <c r="N193" s="11">
        <f>IF(H193=0,"",G193/H193)</f>
        <v/>
      </c>
      <c r="O193" s="11">
        <f>IF(ISNUMBER(N193),ROUND(N193-I193,4),"")</f>
        <v/>
      </c>
    </row>
    <row r="194">
      <c r="A194" s="6" t="inlineStr">
        <is>
          <t>oro</t>
        </is>
      </c>
      <c r="B194" s="6" t="inlineStr">
        <is>
          <t>metal precioso</t>
        </is>
      </c>
      <c r="C194" s="6" t="n">
        <v>2012</v>
      </c>
      <c r="D194" s="6" t="inlineStr">
        <is>
          <t>261610</t>
        </is>
      </c>
      <c r="E194" s="6" t="n">
        <v>170876680</v>
      </c>
      <c r="F194" s="6" t="n">
        <v>218730.958</v>
      </c>
      <c r="G194" s="6" t="n">
        <v>781.22</v>
      </c>
      <c r="H194" s="6" t="n">
        <v>53800000</v>
      </c>
      <c r="I194" s="6" t="n">
        <v>0</v>
      </c>
      <c r="J194" s="6" t="inlineStr">
        <is>
          <t>propio</t>
        </is>
      </c>
      <c r="K194" s="5" t="n"/>
      <c r="L194" s="11">
        <f>IF(F194=0,"",E194/F194)</f>
        <v/>
      </c>
      <c r="M194" s="11">
        <f>IF(ISNUMBER(L194),ROUND(L194-G194,4),"")</f>
        <v/>
      </c>
      <c r="N194" s="11">
        <f>IF(H194=0,"",G194/H194)</f>
        <v/>
      </c>
      <c r="O194" s="11">
        <f>IF(ISNUMBER(N194),ROUND(N194-I194,4),"")</f>
        <v/>
      </c>
    </row>
    <row r="195">
      <c r="A195" s="9" t="inlineStr">
        <is>
          <t>oro</t>
        </is>
      </c>
      <c r="B195" s="9" t="inlineStr">
        <is>
          <t>metal precioso</t>
        </is>
      </c>
      <c r="C195" s="9" t="n">
        <v>2013</v>
      </c>
      <c r="D195" s="9" t="inlineStr">
        <is>
          <t>261610</t>
        </is>
      </c>
      <c r="E195" s="9" t="n">
        <v>228701307</v>
      </c>
      <c r="F195" s="9" t="n">
        <v>28523.894</v>
      </c>
      <c r="G195" s="9" t="n">
        <v>8017.89</v>
      </c>
      <c r="H195" s="9" t="n">
        <v>45500000</v>
      </c>
      <c r="I195" s="9" t="n">
        <v>0.0002</v>
      </c>
      <c r="J195" s="9" t="inlineStr">
        <is>
          <t>propio</t>
        </is>
      </c>
      <c r="K195" s="8" t="n"/>
      <c r="L195" s="11">
        <f>IF(F195=0,"",E195/F195)</f>
        <v/>
      </c>
      <c r="M195" s="11">
        <f>IF(ISNUMBER(L195),ROUND(L195-G195,4),"")</f>
        <v/>
      </c>
      <c r="N195" s="11">
        <f>IF(H195=0,"",G195/H195)</f>
        <v/>
      </c>
      <c r="O195" s="11">
        <f>IF(ISNUMBER(N195),ROUND(N195-I195,4),"")</f>
        <v/>
      </c>
    </row>
    <row r="196">
      <c r="A196" s="6" t="inlineStr">
        <is>
          <t>oro</t>
        </is>
      </c>
      <c r="B196" s="6" t="inlineStr">
        <is>
          <t>metal precioso</t>
        </is>
      </c>
      <c r="C196" s="6" t="n">
        <v>2014</v>
      </c>
      <c r="D196" s="6" t="inlineStr">
        <is>
          <t>261610</t>
        </is>
      </c>
      <c r="E196" s="6" t="n">
        <v>123028351</v>
      </c>
      <c r="F196" s="6" t="n">
        <v>25460.858</v>
      </c>
      <c r="G196" s="6" t="n">
        <v>4832.06</v>
      </c>
      <c r="H196" s="6" t="n">
        <v>40800000</v>
      </c>
      <c r="I196" s="6" t="n">
        <v>0.0001</v>
      </c>
      <c r="J196" s="6" t="inlineStr">
        <is>
          <t>propio</t>
        </is>
      </c>
      <c r="K196" s="5" t="n"/>
      <c r="L196" s="11">
        <f>IF(F196=0,"",E196/F196)</f>
        <v/>
      </c>
      <c r="M196" s="11">
        <f>IF(ISNUMBER(L196),ROUND(L196-G196,4),"")</f>
        <v/>
      </c>
      <c r="N196" s="11">
        <f>IF(H196=0,"",G196/H196)</f>
        <v/>
      </c>
      <c r="O196" s="11">
        <f>IF(ISNUMBER(N196),ROUND(N196-I196,4),"")</f>
        <v/>
      </c>
    </row>
    <row r="197">
      <c r="A197" s="9" t="inlineStr">
        <is>
          <t>oro</t>
        </is>
      </c>
      <c r="B197" s="9" t="inlineStr">
        <is>
          <t>metal precioso</t>
        </is>
      </c>
      <c r="C197" s="9" t="n">
        <v>2015</v>
      </c>
      <c r="D197" s="9" t="inlineStr">
        <is>
          <t>261610</t>
        </is>
      </c>
      <c r="E197" s="9" t="n">
        <v>271995011</v>
      </c>
      <c r="F197" s="9" t="n"/>
      <c r="G197" s="9" t="n"/>
      <c r="H197" s="9" t="n">
        <v>37400000</v>
      </c>
      <c r="I197" s="9" t="n"/>
      <c r="J197" s="9" t="n"/>
      <c r="K197" s="8" t="inlineStr">
        <is>
          <t>sin exportacion E1 (no imputado)</t>
        </is>
      </c>
      <c r="L197" s="11">
        <f>IF(F197=0,"",E197/F197)</f>
        <v/>
      </c>
      <c r="M197" s="11">
        <f>IF(ISNUMBER(L197),ROUND(L197-G197,4),"")</f>
        <v/>
      </c>
      <c r="N197" s="11">
        <f>IF(H197=0,"",G197/H197)</f>
        <v/>
      </c>
      <c r="O197" s="11">
        <f>IF(ISNUMBER(N197),ROUND(N197-I197,4),"")</f>
        <v/>
      </c>
    </row>
    <row r="198">
      <c r="A198" s="6" t="inlineStr">
        <is>
          <t>oro</t>
        </is>
      </c>
      <c r="B198" s="6" t="inlineStr">
        <is>
          <t>metal precioso</t>
        </is>
      </c>
      <c r="C198" s="6" t="n">
        <v>2016</v>
      </c>
      <c r="D198" s="6" t="inlineStr">
        <is>
          <t>261610</t>
        </is>
      </c>
      <c r="E198" s="6" t="n">
        <v>248450033</v>
      </c>
      <c r="F198" s="6" t="n">
        <v>37598.009</v>
      </c>
      <c r="G198" s="6" t="n">
        <v>6608.06</v>
      </c>
      <c r="H198" s="6" t="n">
        <v>40300000</v>
      </c>
      <c r="I198" s="6" t="n">
        <v>0.0002</v>
      </c>
      <c r="J198" s="6" t="inlineStr">
        <is>
          <t>propio</t>
        </is>
      </c>
      <c r="K198" s="5" t="n"/>
      <c r="L198" s="11">
        <f>IF(F198=0,"",E198/F198)</f>
        <v/>
      </c>
      <c r="M198" s="11">
        <f>IF(ISNUMBER(L198),ROUND(L198-G198,4),"")</f>
        <v/>
      </c>
      <c r="N198" s="11">
        <f>IF(H198=0,"",G198/H198)</f>
        <v/>
      </c>
      <c r="O198" s="11">
        <f>IF(ISNUMBER(N198),ROUND(N198-I198,4),"")</f>
        <v/>
      </c>
    </row>
    <row r="199">
      <c r="A199" s="9" t="inlineStr">
        <is>
          <t>oro</t>
        </is>
      </c>
      <c r="B199" s="9" t="inlineStr">
        <is>
          <t>metal precioso</t>
        </is>
      </c>
      <c r="C199" s="9" t="n">
        <v>2017</v>
      </c>
      <c r="D199" s="9" t="inlineStr">
        <is>
          <t>261610</t>
        </is>
      </c>
      <c r="E199" s="9" t="n">
        <v>324859161</v>
      </c>
      <c r="F199" s="9" t="n"/>
      <c r="G199" s="9" t="n"/>
      <c r="H199" s="9" t="n">
        <v>40500000</v>
      </c>
      <c r="I199" s="9" t="n"/>
      <c r="J199" s="9" t="n"/>
      <c r="K199" s="8" t="inlineStr">
        <is>
          <t>sin exportacion E1 (no imputado)</t>
        </is>
      </c>
      <c r="L199" s="11">
        <f>IF(F199=0,"",E199/F199)</f>
        <v/>
      </c>
      <c r="M199" s="11">
        <f>IF(ISNUMBER(L199),ROUND(L199-G199,4),"")</f>
        <v/>
      </c>
      <c r="N199" s="11">
        <f>IF(H199=0,"",G199/H199)</f>
        <v/>
      </c>
      <c r="O199" s="11">
        <f>IF(ISNUMBER(N199),ROUND(N199-I199,4),"")</f>
        <v/>
      </c>
    </row>
    <row r="200">
      <c r="A200" s="6" t="inlineStr">
        <is>
          <t>oro</t>
        </is>
      </c>
      <c r="B200" s="6" t="inlineStr">
        <is>
          <t>metal precioso</t>
        </is>
      </c>
      <c r="C200" s="6" t="n">
        <v>2018</v>
      </c>
      <c r="D200" s="6" t="inlineStr">
        <is>
          <t>261610</t>
        </is>
      </c>
      <c r="E200" s="6" t="n">
        <v>181351369</v>
      </c>
      <c r="F200" s="6" t="n"/>
      <c r="G200" s="6" t="n"/>
      <c r="H200" s="6" t="n">
        <v>40900000</v>
      </c>
      <c r="I200" s="6" t="n"/>
      <c r="J200" s="6" t="n"/>
      <c r="K200" s="5" t="inlineStr">
        <is>
          <t>sin exportacion E1 (no imputado)</t>
        </is>
      </c>
      <c r="L200" s="11">
        <f>IF(F200=0,"",E200/F200)</f>
        <v/>
      </c>
      <c r="M200" s="11">
        <f>IF(ISNUMBER(L200),ROUND(L200-G200,4),"")</f>
        <v/>
      </c>
      <c r="N200" s="11">
        <f>IF(H200=0,"",G200/H200)</f>
        <v/>
      </c>
      <c r="O200" s="11">
        <f>IF(ISNUMBER(N200),ROUND(N200-I200,4),"")</f>
        <v/>
      </c>
    </row>
    <row r="201">
      <c r="A201" s="9" t="inlineStr">
        <is>
          <t>oro</t>
        </is>
      </c>
      <c r="B201" s="9" t="inlineStr">
        <is>
          <t>metal precioso</t>
        </is>
      </c>
      <c r="C201" s="9" t="n">
        <v>2019</v>
      </c>
      <c r="D201" s="9" t="inlineStr">
        <is>
          <t>261610</t>
        </is>
      </c>
      <c r="E201" s="9" t="n">
        <v>217719396</v>
      </c>
      <c r="F201" s="9" t="n"/>
      <c r="G201" s="9" t="n"/>
      <c r="H201" s="9" t="n">
        <v>44900000</v>
      </c>
      <c r="I201" s="9" t="n"/>
      <c r="J201" s="9" t="n"/>
      <c r="K201" s="8" t="inlineStr">
        <is>
          <t>sin exportacion E1 (no imputado)</t>
        </is>
      </c>
      <c r="L201" s="11">
        <f>IF(F201=0,"",E201/F201)</f>
        <v/>
      </c>
      <c r="M201" s="11">
        <f>IF(ISNUMBER(L201),ROUND(L201-G201,4),"")</f>
        <v/>
      </c>
      <c r="N201" s="11">
        <f>IF(H201=0,"",G201/H201)</f>
        <v/>
      </c>
      <c r="O201" s="11">
        <f>IF(ISNUMBER(N201),ROUND(N201-I201,4),"")</f>
        <v/>
      </c>
    </row>
    <row r="202">
      <c r="A202" s="6" t="inlineStr">
        <is>
          <t>oro</t>
        </is>
      </c>
      <c r="B202" s="6" t="inlineStr">
        <is>
          <t>metal precioso</t>
        </is>
      </c>
      <c r="C202" s="6" t="n">
        <v>2020</v>
      </c>
      <c r="D202" s="6" t="inlineStr">
        <is>
          <t>261610</t>
        </is>
      </c>
      <c r="E202" s="6" t="n">
        <v>321417297</v>
      </c>
      <c r="F202" s="6" t="n"/>
      <c r="G202" s="6" t="n"/>
      <c r="H202" s="6" t="n">
        <v>57000000</v>
      </c>
      <c r="I202" s="6" t="n"/>
      <c r="J202" s="6" t="n"/>
      <c r="K202" s="5" t="inlineStr">
        <is>
          <t>sin exportacion E1 (no imputado)</t>
        </is>
      </c>
      <c r="L202" s="11">
        <f>IF(F202=0,"",E202/F202)</f>
        <v/>
      </c>
      <c r="M202" s="11">
        <f>IF(ISNUMBER(L202),ROUND(L202-G202,4),"")</f>
        <v/>
      </c>
      <c r="N202" s="11">
        <f>IF(H202=0,"",G202/H202)</f>
        <v/>
      </c>
      <c r="O202" s="11">
        <f>IF(ISNUMBER(N202),ROUND(N202-I202,4),"")</f>
        <v/>
      </c>
    </row>
    <row r="203">
      <c r="A203" s="9" t="inlineStr">
        <is>
          <t>oro</t>
        </is>
      </c>
      <c r="B203" s="9" t="inlineStr">
        <is>
          <t>metal precioso</t>
        </is>
      </c>
      <c r="C203" s="9" t="n">
        <v>2021</v>
      </c>
      <c r="D203" s="9" t="inlineStr">
        <is>
          <t>261610</t>
        </is>
      </c>
      <c r="E203" s="9" t="n">
        <v>2952263</v>
      </c>
      <c r="F203" s="9" t="n">
        <v>1733.17</v>
      </c>
      <c r="G203" s="9" t="n">
        <v>1703.39</v>
      </c>
      <c r="H203" s="9" t="n">
        <v>57900000</v>
      </c>
      <c r="I203" s="9" t="n">
        <v>0</v>
      </c>
      <c r="J203" s="9" t="inlineStr">
        <is>
          <t>propio</t>
        </is>
      </c>
      <c r="K203" s="8" t="n"/>
      <c r="L203" s="11">
        <f>IF(F203=0,"",E203/F203)</f>
        <v/>
      </c>
      <c r="M203" s="11">
        <f>IF(ISNUMBER(L203),ROUND(L203-G203,4),"")</f>
        <v/>
      </c>
      <c r="N203" s="11">
        <f>IF(H203=0,"",G203/H203)</f>
        <v/>
      </c>
      <c r="O203" s="11">
        <f>IF(ISNUMBER(N203),ROUND(N203-I203,4),"")</f>
        <v/>
      </c>
    </row>
    <row r="204">
      <c r="A204" s="6" t="inlineStr">
        <is>
          <t>oro</t>
        </is>
      </c>
      <c r="B204" s="6" t="inlineStr">
        <is>
          <t>metal precioso</t>
        </is>
      </c>
      <c r="C204" s="6" t="n">
        <v>2022</v>
      </c>
      <c r="D204" s="6" t="inlineStr">
        <is>
          <t>261610</t>
        </is>
      </c>
      <c r="E204" s="6" t="n">
        <v>18427502</v>
      </c>
      <c r="F204" s="6" t="n">
        <v>7343.958</v>
      </c>
      <c r="G204" s="6" t="n">
        <v>2509.21</v>
      </c>
      <c r="H204" s="6" t="n">
        <v>57900000</v>
      </c>
      <c r="I204" s="6" t="n">
        <v>0</v>
      </c>
      <c r="J204" s="6" t="inlineStr">
        <is>
          <t>propio</t>
        </is>
      </c>
      <c r="K204" s="5" t="n"/>
      <c r="L204" s="11">
        <f>IF(F204=0,"",E204/F204)</f>
        <v/>
      </c>
      <c r="M204" s="11">
        <f>IF(ISNUMBER(L204),ROUND(L204-G204,4),"")</f>
        <v/>
      </c>
      <c r="N204" s="11">
        <f>IF(H204=0,"",G204/H204)</f>
        <v/>
      </c>
      <c r="O204" s="11">
        <f>IF(ISNUMBER(N204),ROUND(N204-I204,4),"")</f>
        <v/>
      </c>
    </row>
    <row r="205">
      <c r="A205" s="9" t="inlineStr">
        <is>
          <t>oro</t>
        </is>
      </c>
      <c r="B205" s="9" t="inlineStr">
        <is>
          <t>metal precioso</t>
        </is>
      </c>
      <c r="C205" s="9" t="n">
        <v>2023</v>
      </c>
      <c r="D205" s="9" t="inlineStr">
        <is>
          <t>261610</t>
        </is>
      </c>
      <c r="E205" s="9" t="n">
        <v>28453111</v>
      </c>
      <c r="F205" s="9" t="n">
        <v>7620.56</v>
      </c>
      <c r="G205" s="9" t="n">
        <v>3733.73</v>
      </c>
      <c r="H205" s="9" t="n">
        <v>62454119.22</v>
      </c>
      <c r="I205" s="9" t="n">
        <v>0.0001</v>
      </c>
      <c r="J205" s="9" t="inlineStr">
        <is>
          <t>propio</t>
        </is>
      </c>
      <c r="K205" s="8" t="n"/>
      <c r="L205" s="11">
        <f>IF(F205=0,"",E205/F205)</f>
        <v/>
      </c>
      <c r="M205" s="11">
        <f>IF(ISNUMBER(L205),ROUND(L205-G205,4),"")</f>
        <v/>
      </c>
      <c r="N205" s="11">
        <f>IF(H205=0,"",G205/H205)</f>
        <v/>
      </c>
      <c r="O205" s="11">
        <f>IF(ISNUMBER(N205),ROUND(N205-I205,4),"")</f>
        <v/>
      </c>
    </row>
    <row r="206">
      <c r="A206" s="6" t="inlineStr">
        <is>
          <t>oro</t>
        </is>
      </c>
      <c r="B206" s="6" t="inlineStr">
        <is>
          <t>metal precioso</t>
        </is>
      </c>
      <c r="C206" s="6" t="n">
        <v>2024</v>
      </c>
      <c r="D206" s="6" t="inlineStr">
        <is>
          <t>261610</t>
        </is>
      </c>
      <c r="E206" s="6" t="n">
        <v>37997871</v>
      </c>
      <c r="F206" s="6" t="n">
        <v>27010.428</v>
      </c>
      <c r="G206" s="6" t="n">
        <v>1406.79</v>
      </c>
      <c r="H206" s="6" t="n">
        <v>76727947.89</v>
      </c>
      <c r="I206" s="6" t="n">
        <v>0</v>
      </c>
      <c r="J206" s="6" t="inlineStr">
        <is>
          <t>propio</t>
        </is>
      </c>
      <c r="K206" s="5" t="n"/>
      <c r="L206" s="11">
        <f>IF(F206=0,"",E206/F206)</f>
        <v/>
      </c>
      <c r="M206" s="11">
        <f>IF(ISNUMBER(L206),ROUND(L206-G206,4),"")</f>
        <v/>
      </c>
      <c r="N206" s="11">
        <f>IF(H206=0,"",G206/H206)</f>
        <v/>
      </c>
      <c r="O206" s="11">
        <f>IF(ISNUMBER(N206),ROUND(N206-I206,4),"")</f>
        <v/>
      </c>
    </row>
    <row r="207">
      <c r="A207" s="9" t="inlineStr">
        <is>
          <t>oro</t>
        </is>
      </c>
      <c r="B207" s="9" t="inlineStr">
        <is>
          <t>metal precioso</t>
        </is>
      </c>
      <c r="C207" s="9" t="n">
        <v>2025</v>
      </c>
      <c r="D207" s="9" t="inlineStr">
        <is>
          <t>261610</t>
        </is>
      </c>
      <c r="E207" s="9" t="n">
        <v>41216492</v>
      </c>
      <c r="F207" s="9" t="n">
        <v>30894.474</v>
      </c>
      <c r="G207" s="9" t="n">
        <v>1334.11</v>
      </c>
      <c r="H207" s="9" t="n">
        <v>106059456.6</v>
      </c>
      <c r="I207" s="9" t="n">
        <v>0</v>
      </c>
      <c r="J207" s="9" t="inlineStr">
        <is>
          <t>propio</t>
        </is>
      </c>
      <c r="K207" s="8" t="n"/>
      <c r="L207" s="11">
        <f>IF(F207=0,"",E207/F207)</f>
        <v/>
      </c>
      <c r="M207" s="11">
        <f>IF(ISNUMBER(L207),ROUND(L207-G207,4),"")</f>
        <v/>
      </c>
      <c r="N207" s="11">
        <f>IF(H207=0,"",G207/H207)</f>
        <v/>
      </c>
      <c r="O207" s="11">
        <f>IF(ISNUMBER(N207),ROUND(N207-I207,4),"")</f>
        <v/>
      </c>
    </row>
    <row r="208">
      <c r="A208" s="6" t="inlineStr">
        <is>
          <t>plata</t>
        </is>
      </c>
      <c r="B208" s="6" t="inlineStr">
        <is>
          <t>metal precioso</t>
        </is>
      </c>
      <c r="C208" s="6" t="n">
        <v>1992</v>
      </c>
      <c r="D208" s="6" t="inlineStr">
        <is>
          <t>261690</t>
        </is>
      </c>
      <c r="E208" s="6" t="n">
        <v>102000</v>
      </c>
      <c r="F208" s="6" t="n">
        <v>133.53</v>
      </c>
      <c r="G208" s="6" t="n">
        <v>763.87</v>
      </c>
      <c r="H208" s="6" t="n">
        <v>127000</v>
      </c>
      <c r="I208" s="6" t="n">
        <v>0.006</v>
      </c>
      <c r="J208" s="6" t="inlineStr">
        <is>
          <t>propio</t>
        </is>
      </c>
      <c r="K208" s="5" t="n"/>
      <c r="L208" s="11">
        <f>IF(F208=0,"",E208/F208)</f>
        <v/>
      </c>
      <c r="M208" s="11">
        <f>IF(ISNUMBER(L208),ROUND(L208-G208,4),"")</f>
        <v/>
      </c>
      <c r="N208" s="11">
        <f>IF(H208=0,"",G208/H208)</f>
        <v/>
      </c>
      <c r="O208" s="11">
        <f>IF(ISNUMBER(N208),ROUND(N208-I208,4),"")</f>
        <v/>
      </c>
    </row>
    <row r="209">
      <c r="A209" s="9" t="inlineStr">
        <is>
          <t>plata</t>
        </is>
      </c>
      <c r="B209" s="9" t="inlineStr">
        <is>
          <t>metal precioso</t>
        </is>
      </c>
      <c r="C209" s="9" t="n">
        <v>1993</v>
      </c>
      <c r="D209" s="9" t="inlineStr">
        <is>
          <t>261690</t>
        </is>
      </c>
      <c r="E209" s="9" t="n">
        <v>1231000</v>
      </c>
      <c r="F209" s="9" t="n">
        <v>227.329</v>
      </c>
      <c r="G209" s="9" t="n">
        <v>5415.06</v>
      </c>
      <c r="H209" s="9" t="n">
        <v>138000</v>
      </c>
      <c r="I209" s="9" t="n">
        <v>0.0392</v>
      </c>
      <c r="J209" s="9" t="inlineStr">
        <is>
          <t>propio</t>
        </is>
      </c>
      <c r="K209" s="8" t="n"/>
      <c r="L209" s="11">
        <f>IF(F209=0,"",E209/F209)</f>
        <v/>
      </c>
      <c r="M209" s="11">
        <f>IF(ISNUMBER(L209),ROUND(L209-G209,4),"")</f>
        <v/>
      </c>
      <c r="N209" s="11">
        <f>IF(H209=0,"",G209/H209)</f>
        <v/>
      </c>
      <c r="O209" s="11">
        <f>IF(ISNUMBER(N209),ROUND(N209-I209,4),"")</f>
        <v/>
      </c>
    </row>
    <row r="210">
      <c r="A210" s="6" t="inlineStr">
        <is>
          <t>plata</t>
        </is>
      </c>
      <c r="B210" s="6" t="inlineStr">
        <is>
          <t>metal precioso</t>
        </is>
      </c>
      <c r="C210" s="6" t="n">
        <v>1994</v>
      </c>
      <c r="D210" s="6" t="inlineStr">
        <is>
          <t>261690</t>
        </is>
      </c>
      <c r="E210" s="6" t="n">
        <v>23815</v>
      </c>
      <c r="F210" s="6" t="n">
        <v>335.317</v>
      </c>
      <c r="G210" s="6" t="n">
        <v>71.02</v>
      </c>
      <c r="H210" s="6" t="n">
        <v>170000</v>
      </c>
      <c r="I210" s="6" t="n">
        <v>0.0004</v>
      </c>
      <c r="J210" s="6" t="inlineStr">
        <is>
          <t>propio</t>
        </is>
      </c>
      <c r="K210" s="5" t="n"/>
      <c r="L210" s="11">
        <f>IF(F210=0,"",E210/F210)</f>
        <v/>
      </c>
      <c r="M210" s="11">
        <f>IF(ISNUMBER(L210),ROUND(L210-G210,4),"")</f>
        <v/>
      </c>
      <c r="N210" s="11">
        <f>IF(H210=0,"",G210/H210)</f>
        <v/>
      </c>
      <c r="O210" s="11">
        <f>IF(ISNUMBER(N210),ROUND(N210-I210,4),"")</f>
        <v/>
      </c>
    </row>
    <row r="211">
      <c r="A211" s="9" t="inlineStr">
        <is>
          <t>plata</t>
        </is>
      </c>
      <c r="B211" s="9" t="inlineStr">
        <is>
          <t>metal precioso</t>
        </is>
      </c>
      <c r="C211" s="9" t="n">
        <v>1995</v>
      </c>
      <c r="D211" s="9" t="inlineStr">
        <is>
          <t>261690</t>
        </is>
      </c>
      <c r="E211" s="9" t="n">
        <v>6883000</v>
      </c>
      <c r="F211" s="9" t="n">
        <v>30.67</v>
      </c>
      <c r="G211" s="9" t="n">
        <v>224421.26</v>
      </c>
      <c r="H211" s="9" t="n">
        <v>166000</v>
      </c>
      <c r="I211" s="9" t="n">
        <v>1.3519</v>
      </c>
      <c r="J211" s="9" t="inlineStr">
        <is>
          <t>propio</t>
        </is>
      </c>
      <c r="K211" s="8" t="n"/>
      <c r="L211" s="11">
        <f>IF(F211=0,"",E211/F211)</f>
        <v/>
      </c>
      <c r="M211" s="11">
        <f>IF(ISNUMBER(L211),ROUND(L211-G211,4),"")</f>
        <v/>
      </c>
      <c r="N211" s="11">
        <f>IF(H211=0,"",G211/H211)</f>
        <v/>
      </c>
      <c r="O211" s="11">
        <f>IF(ISNUMBER(N211),ROUND(N211-I211,4),"")</f>
        <v/>
      </c>
    </row>
    <row r="212">
      <c r="A212" s="6" t="inlineStr">
        <is>
          <t>plata</t>
        </is>
      </c>
      <c r="B212" s="6" t="inlineStr">
        <is>
          <t>metal precioso</t>
        </is>
      </c>
      <c r="C212" s="6" t="n">
        <v>1996</v>
      </c>
      <c r="D212" s="6" t="inlineStr">
        <is>
          <t>261690</t>
        </is>
      </c>
      <c r="E212" s="6" t="n">
        <v>17565200</v>
      </c>
      <c r="F212" s="6" t="n">
        <v>261.797</v>
      </c>
      <c r="G212" s="6" t="n">
        <v>67094.73</v>
      </c>
      <c r="H212" s="6" t="n">
        <v>167000</v>
      </c>
      <c r="I212" s="6" t="n">
        <v>0.4018</v>
      </c>
      <c r="J212" s="6" t="inlineStr">
        <is>
          <t>propio</t>
        </is>
      </c>
      <c r="K212" s="5" t="n"/>
      <c r="L212" s="11">
        <f>IF(F212=0,"",E212/F212)</f>
        <v/>
      </c>
      <c r="M212" s="11">
        <f>IF(ISNUMBER(L212),ROUND(L212-G212,4),"")</f>
        <v/>
      </c>
      <c r="N212" s="11">
        <f>IF(H212=0,"",G212/H212)</f>
        <v/>
      </c>
      <c r="O212" s="11">
        <f>IF(ISNUMBER(N212),ROUND(N212-I212,4),"")</f>
        <v/>
      </c>
    </row>
    <row r="213">
      <c r="A213" s="9" t="inlineStr">
        <is>
          <t>plata</t>
        </is>
      </c>
      <c r="B213" s="9" t="inlineStr">
        <is>
          <t>metal precioso</t>
        </is>
      </c>
      <c r="C213" s="9" t="n">
        <v>1997</v>
      </c>
      <c r="D213" s="9" t="inlineStr">
        <is>
          <t>261690</t>
        </is>
      </c>
      <c r="E213" s="9" t="n">
        <v>232354</v>
      </c>
      <c r="F213" s="9" t="n">
        <v>1.388</v>
      </c>
      <c r="G213" s="9" t="n">
        <v>167402.02</v>
      </c>
      <c r="H213" s="9" t="n">
        <v>157000</v>
      </c>
      <c r="I213" s="9" t="n">
        <v>1.0663</v>
      </c>
      <c r="J213" s="9" t="inlineStr">
        <is>
          <t>propio</t>
        </is>
      </c>
      <c r="K213" s="8" t="n"/>
      <c r="L213" s="11">
        <f>IF(F213=0,"",E213/F213)</f>
        <v/>
      </c>
      <c r="M213" s="11">
        <f>IF(ISNUMBER(L213),ROUND(L213-G213,4),"")</f>
        <v/>
      </c>
      <c r="N213" s="11">
        <f>IF(H213=0,"",G213/H213)</f>
        <v/>
      </c>
      <c r="O213" s="11">
        <f>IF(ISNUMBER(N213),ROUND(N213-I213,4),"")</f>
        <v/>
      </c>
    </row>
    <row r="214">
      <c r="A214" s="6" t="inlineStr">
        <is>
          <t>plata</t>
        </is>
      </c>
      <c r="B214" s="6" t="inlineStr">
        <is>
          <t>metal precioso</t>
        </is>
      </c>
      <c r="C214" s="6" t="n">
        <v>1998</v>
      </c>
      <c r="D214" s="6" t="inlineStr">
        <is>
          <t>261690</t>
        </is>
      </c>
      <c r="E214" s="6" t="n">
        <v>115848</v>
      </c>
      <c r="F214" s="6" t="n">
        <v>0.609</v>
      </c>
      <c r="G214" s="6" t="n">
        <v>190226.6</v>
      </c>
      <c r="H214" s="6" t="n">
        <v>178000</v>
      </c>
      <c r="I214" s="6" t="n">
        <v>1.0687</v>
      </c>
      <c r="J214" s="6" t="inlineStr">
        <is>
          <t>propio</t>
        </is>
      </c>
      <c r="K214" s="5" t="n"/>
      <c r="L214" s="11">
        <f>IF(F214=0,"",E214/F214)</f>
        <v/>
      </c>
      <c r="M214" s="11">
        <f>IF(ISNUMBER(L214),ROUND(L214-G214,4),"")</f>
        <v/>
      </c>
      <c r="N214" s="11">
        <f>IF(H214=0,"",G214/H214)</f>
        <v/>
      </c>
      <c r="O214" s="11">
        <f>IF(ISNUMBER(N214),ROUND(N214-I214,4),"")</f>
        <v/>
      </c>
    </row>
    <row r="215">
      <c r="A215" s="9" t="inlineStr">
        <is>
          <t>plata</t>
        </is>
      </c>
      <c r="B215" s="9" t="inlineStr">
        <is>
          <t>metal precioso</t>
        </is>
      </c>
      <c r="C215" s="9" t="n">
        <v>1999</v>
      </c>
      <c r="D215" s="9" t="inlineStr">
        <is>
          <t>261690</t>
        </is>
      </c>
      <c r="E215" s="9" t="n">
        <v>69904</v>
      </c>
      <c r="F215" s="9" t="n">
        <v>1.54</v>
      </c>
      <c r="G215" s="9" t="n">
        <v>45392.21</v>
      </c>
      <c r="H215" s="9" t="n">
        <v>169000</v>
      </c>
      <c r="I215" s="9" t="n">
        <v>0.2686</v>
      </c>
      <c r="J215" s="9" t="inlineStr">
        <is>
          <t>propio</t>
        </is>
      </c>
      <c r="K215" s="8" t="n"/>
      <c r="L215" s="11">
        <f>IF(F215=0,"",E215/F215)</f>
        <v/>
      </c>
      <c r="M215" s="11">
        <f>IF(ISNUMBER(L215),ROUND(L215-G215,4),"")</f>
        <v/>
      </c>
      <c r="N215" s="11">
        <f>IF(H215=0,"",G215/H215)</f>
        <v/>
      </c>
      <c r="O215" s="11">
        <f>IF(ISNUMBER(N215),ROUND(N215-I215,4),"")</f>
        <v/>
      </c>
    </row>
    <row r="216">
      <c r="A216" s="6" t="inlineStr">
        <is>
          <t>plata</t>
        </is>
      </c>
      <c r="B216" s="6" t="inlineStr">
        <is>
          <t>metal precioso</t>
        </is>
      </c>
      <c r="C216" s="6" t="n">
        <v>2000</v>
      </c>
      <c r="D216" s="6" t="inlineStr">
        <is>
          <t>261690</t>
        </is>
      </c>
      <c r="E216" s="6" t="n">
        <v>108222</v>
      </c>
      <c r="F216" s="6" t="n">
        <v>28.011</v>
      </c>
      <c r="G216" s="6" t="n">
        <v>3863.55</v>
      </c>
      <c r="H216" s="6" t="n">
        <v>161000</v>
      </c>
      <c r="I216" s="6" t="n">
        <v>0.024</v>
      </c>
      <c r="J216" s="6" t="inlineStr">
        <is>
          <t>propio</t>
        </is>
      </c>
      <c r="K216" s="5" t="n"/>
      <c r="L216" s="11">
        <f>IF(F216=0,"",E216/F216)</f>
        <v/>
      </c>
      <c r="M216" s="11">
        <f>IF(ISNUMBER(L216),ROUND(L216-G216,4),"")</f>
        <v/>
      </c>
      <c r="N216" s="11">
        <f>IF(H216=0,"",G216/H216)</f>
        <v/>
      </c>
      <c r="O216" s="11">
        <f>IF(ISNUMBER(N216),ROUND(N216-I216,4),"")</f>
        <v/>
      </c>
    </row>
    <row r="217">
      <c r="A217" s="9" t="inlineStr">
        <is>
          <t>plata</t>
        </is>
      </c>
      <c r="B217" s="9" t="inlineStr">
        <is>
          <t>metal precioso</t>
        </is>
      </c>
      <c r="C217" s="9" t="n">
        <v>2001</v>
      </c>
      <c r="D217" s="9" t="inlineStr">
        <is>
          <t>261690</t>
        </is>
      </c>
      <c r="E217" s="9" t="n"/>
      <c r="F217" s="9" t="n"/>
      <c r="G217" s="9" t="n"/>
      <c r="H217" s="9" t="n">
        <v>141000</v>
      </c>
      <c r="I217" s="9" t="n"/>
      <c r="J217" s="9" t="n"/>
      <c r="K217" s="8" t="inlineStr">
        <is>
          <t>sin exportacion E1 (no imputado)</t>
        </is>
      </c>
      <c r="L217" s="11">
        <f>IF(F217=0,"",E217/F217)</f>
        <v/>
      </c>
      <c r="M217" s="11">
        <f>IF(ISNUMBER(L217),ROUND(L217-G217,4),"")</f>
        <v/>
      </c>
      <c r="N217" s="11">
        <f>IF(H217=0,"",G217/H217)</f>
        <v/>
      </c>
      <c r="O217" s="11">
        <f>IF(ISNUMBER(N217),ROUND(N217-I217,4),"")</f>
        <v/>
      </c>
    </row>
    <row r="218">
      <c r="A218" s="6" t="inlineStr">
        <is>
          <t>plata</t>
        </is>
      </c>
      <c r="B218" s="6" t="inlineStr">
        <is>
          <t>metal precioso</t>
        </is>
      </c>
      <c r="C218" s="6" t="n">
        <v>2002</v>
      </c>
      <c r="D218" s="6" t="inlineStr">
        <is>
          <t>261690</t>
        </is>
      </c>
      <c r="E218" s="6" t="n">
        <v>628644</v>
      </c>
      <c r="F218" s="6" t="n">
        <v>58.092</v>
      </c>
      <c r="G218" s="6" t="n">
        <v>10821.52</v>
      </c>
      <c r="H218" s="6" t="n">
        <v>149000</v>
      </c>
      <c r="I218" s="6" t="n">
        <v>0.0726</v>
      </c>
      <c r="J218" s="6" t="inlineStr">
        <is>
          <t>propio</t>
        </is>
      </c>
      <c r="K218" s="5" t="n"/>
      <c r="L218" s="11">
        <f>IF(F218=0,"",E218/F218)</f>
        <v/>
      </c>
      <c r="M218" s="11">
        <f>IF(ISNUMBER(L218),ROUND(L218-G218,4),"")</f>
        <v/>
      </c>
      <c r="N218" s="11">
        <f>IF(H218=0,"",G218/H218)</f>
        <v/>
      </c>
      <c r="O218" s="11">
        <f>IF(ISNUMBER(N218),ROUND(N218-I218,4),"")</f>
        <v/>
      </c>
    </row>
    <row r="219">
      <c r="A219" s="9" t="inlineStr">
        <is>
          <t>plata</t>
        </is>
      </c>
      <c r="B219" s="9" t="inlineStr">
        <is>
          <t>metal precioso</t>
        </is>
      </c>
      <c r="C219" s="9" t="n">
        <v>2003</v>
      </c>
      <c r="D219" s="9" t="inlineStr">
        <is>
          <t>261690</t>
        </is>
      </c>
      <c r="E219" s="9" t="n">
        <v>879148</v>
      </c>
      <c r="F219" s="9" t="n">
        <v>5.446</v>
      </c>
      <c r="G219" s="9" t="n">
        <v>161430.04</v>
      </c>
      <c r="H219" s="9" t="n">
        <v>158000</v>
      </c>
      <c r="I219" s="9" t="n">
        <v>1.0217</v>
      </c>
      <c r="J219" s="9" t="inlineStr">
        <is>
          <t>propio</t>
        </is>
      </c>
      <c r="K219" s="8" t="n"/>
      <c r="L219" s="11">
        <f>IF(F219=0,"",E219/F219)</f>
        <v/>
      </c>
      <c r="M219" s="11">
        <f>IF(ISNUMBER(L219),ROUND(L219-G219,4),"")</f>
        <v/>
      </c>
      <c r="N219" s="11">
        <f>IF(H219=0,"",G219/H219)</f>
        <v/>
      </c>
      <c r="O219" s="11">
        <f>IF(ISNUMBER(N219),ROUND(N219-I219,4),"")</f>
        <v/>
      </c>
    </row>
    <row r="220">
      <c r="A220" s="6" t="inlineStr">
        <is>
          <t>plata</t>
        </is>
      </c>
      <c r="B220" s="6" t="inlineStr">
        <is>
          <t>metal precioso</t>
        </is>
      </c>
      <c r="C220" s="6" t="n">
        <v>2004</v>
      </c>
      <c r="D220" s="6" t="inlineStr">
        <is>
          <t>261690</t>
        </is>
      </c>
      <c r="E220" s="6" t="n">
        <v>858138</v>
      </c>
      <c r="F220" s="6" t="n">
        <v>20.964</v>
      </c>
      <c r="G220" s="6" t="n">
        <v>40933.89</v>
      </c>
      <c r="H220" s="6" t="n">
        <v>215000</v>
      </c>
      <c r="I220" s="6" t="n">
        <v>0.1904</v>
      </c>
      <c r="J220" s="6" t="inlineStr">
        <is>
          <t>propio</t>
        </is>
      </c>
      <c r="K220" s="5" t="n"/>
      <c r="L220" s="11">
        <f>IF(F220=0,"",E220/F220)</f>
        <v/>
      </c>
      <c r="M220" s="11">
        <f>IF(ISNUMBER(L220),ROUND(L220-G220,4),"")</f>
        <v/>
      </c>
      <c r="N220" s="11">
        <f>IF(H220=0,"",G220/H220)</f>
        <v/>
      </c>
      <c r="O220" s="11">
        <f>IF(ISNUMBER(N220),ROUND(N220-I220,4),"")</f>
        <v/>
      </c>
    </row>
    <row r="221">
      <c r="A221" s="9" t="inlineStr">
        <is>
          <t>plata</t>
        </is>
      </c>
      <c r="B221" s="9" t="inlineStr">
        <is>
          <t>metal precioso</t>
        </is>
      </c>
      <c r="C221" s="9" t="n">
        <v>2005</v>
      </c>
      <c r="D221" s="9" t="inlineStr">
        <is>
          <t>261690</t>
        </is>
      </c>
      <c r="E221" s="9" t="n">
        <v>651918</v>
      </c>
      <c r="F221" s="9" t="n">
        <v>2.038</v>
      </c>
      <c r="G221" s="9" t="n">
        <v>319881.26</v>
      </c>
      <c r="H221" s="9" t="n">
        <v>236000</v>
      </c>
      <c r="I221" s="9" t="n">
        <v>1.3554</v>
      </c>
      <c r="J221" s="9" t="inlineStr">
        <is>
          <t>propio</t>
        </is>
      </c>
      <c r="K221" s="8" t="n"/>
      <c r="L221" s="11">
        <f>IF(F221=0,"",E221/F221)</f>
        <v/>
      </c>
      <c r="M221" s="11">
        <f>IF(ISNUMBER(L221),ROUND(L221-G221,4),"")</f>
        <v/>
      </c>
      <c r="N221" s="11">
        <f>IF(H221=0,"",G221/H221)</f>
        <v/>
      </c>
      <c r="O221" s="11">
        <f>IF(ISNUMBER(N221),ROUND(N221-I221,4),"")</f>
        <v/>
      </c>
    </row>
    <row r="222">
      <c r="A222" s="6" t="inlineStr">
        <is>
          <t>plata</t>
        </is>
      </c>
      <c r="B222" s="6" t="inlineStr">
        <is>
          <t>metal precioso</t>
        </is>
      </c>
      <c r="C222" s="6" t="n">
        <v>2006</v>
      </c>
      <c r="D222" s="6" t="inlineStr">
        <is>
          <t>261690</t>
        </is>
      </c>
      <c r="E222" s="6" t="n">
        <v>1354484</v>
      </c>
      <c r="F222" s="6" t="n">
        <v>265.668</v>
      </c>
      <c r="G222" s="6" t="n">
        <v>5098.41</v>
      </c>
      <c r="H222" s="6" t="n">
        <v>373000</v>
      </c>
      <c r="I222" s="6" t="n">
        <v>0.0137</v>
      </c>
      <c r="J222" s="6" t="inlineStr">
        <is>
          <t>propio</t>
        </is>
      </c>
      <c r="K222" s="5" t="n"/>
      <c r="L222" s="11">
        <f>IF(F222=0,"",E222/F222)</f>
        <v/>
      </c>
      <c r="M222" s="11">
        <f>IF(ISNUMBER(L222),ROUND(L222-G222,4),"")</f>
        <v/>
      </c>
      <c r="N222" s="11">
        <f>IF(H222=0,"",G222/H222)</f>
        <v/>
      </c>
      <c r="O222" s="11">
        <f>IF(ISNUMBER(N222),ROUND(N222-I222,4),"")</f>
        <v/>
      </c>
    </row>
    <row r="223">
      <c r="A223" s="9" t="inlineStr">
        <is>
          <t>plata</t>
        </is>
      </c>
      <c r="B223" s="9" t="inlineStr">
        <is>
          <t>metal precioso</t>
        </is>
      </c>
      <c r="C223" s="9" t="n">
        <v>2007</v>
      </c>
      <c r="D223" s="9" t="inlineStr">
        <is>
          <t>261690</t>
        </is>
      </c>
      <c r="E223" s="9" t="n">
        <v>2065035</v>
      </c>
      <c r="F223" s="9" t="n">
        <v>8.975</v>
      </c>
      <c r="G223" s="9" t="n">
        <v>230087.47</v>
      </c>
      <c r="H223" s="9" t="n">
        <v>431000</v>
      </c>
      <c r="I223" s="9" t="n">
        <v>0.5338000000000001</v>
      </c>
      <c r="J223" s="9" t="inlineStr">
        <is>
          <t>propio</t>
        </is>
      </c>
      <c r="K223" s="8" t="n"/>
      <c r="L223" s="11">
        <f>IF(F223=0,"",E223/F223)</f>
        <v/>
      </c>
      <c r="M223" s="11">
        <f>IF(ISNUMBER(L223),ROUND(L223-G223,4),"")</f>
        <v/>
      </c>
      <c r="N223" s="11">
        <f>IF(H223=0,"",G223/H223)</f>
        <v/>
      </c>
      <c r="O223" s="11">
        <f>IF(ISNUMBER(N223),ROUND(N223-I223,4),"")</f>
        <v/>
      </c>
    </row>
    <row r="224">
      <c r="A224" s="6" t="inlineStr">
        <is>
          <t>plata</t>
        </is>
      </c>
      <c r="B224" s="6" t="inlineStr">
        <is>
          <t>metal precioso</t>
        </is>
      </c>
      <c r="C224" s="6" t="n">
        <v>2008</v>
      </c>
      <c r="D224" s="6" t="inlineStr">
        <is>
          <t>261690</t>
        </is>
      </c>
      <c r="E224" s="6" t="n">
        <v>16080340</v>
      </c>
      <c r="F224" s="6" t="n">
        <v>657.95</v>
      </c>
      <c r="G224" s="6" t="n">
        <v>24440.06</v>
      </c>
      <c r="H224" s="6" t="n">
        <v>482000</v>
      </c>
      <c r="I224" s="6" t="n">
        <v>0.0507</v>
      </c>
      <c r="J224" s="6" t="inlineStr">
        <is>
          <t>propio</t>
        </is>
      </c>
      <c r="K224" s="5" t="n"/>
      <c r="L224" s="11">
        <f>IF(F224=0,"",E224/F224)</f>
        <v/>
      </c>
      <c r="M224" s="11">
        <f>IF(ISNUMBER(L224),ROUND(L224-G224,4),"")</f>
        <v/>
      </c>
      <c r="N224" s="11">
        <f>IF(H224=0,"",G224/H224)</f>
        <v/>
      </c>
      <c r="O224" s="11">
        <f>IF(ISNUMBER(N224),ROUND(N224-I224,4),"")</f>
        <v/>
      </c>
    </row>
    <row r="225">
      <c r="A225" s="9" t="inlineStr">
        <is>
          <t>plata</t>
        </is>
      </c>
      <c r="B225" s="9" t="inlineStr">
        <is>
          <t>metal precioso</t>
        </is>
      </c>
      <c r="C225" s="9" t="n">
        <v>2009</v>
      </c>
      <c r="D225" s="9" t="inlineStr">
        <is>
          <t>261690</t>
        </is>
      </c>
      <c r="E225" s="9" t="n">
        <v>30246554</v>
      </c>
      <c r="F225" s="9" t="n">
        <v>312.899</v>
      </c>
      <c r="G225" s="9" t="n">
        <v>96665.55</v>
      </c>
      <c r="H225" s="9" t="n">
        <v>472000</v>
      </c>
      <c r="I225" s="9" t="n">
        <v>0.2048</v>
      </c>
      <c r="J225" s="9" t="inlineStr">
        <is>
          <t>propio</t>
        </is>
      </c>
      <c r="K225" s="8" t="n"/>
      <c r="L225" s="11">
        <f>IF(F225=0,"",E225/F225)</f>
        <v/>
      </c>
      <c r="M225" s="11">
        <f>IF(ISNUMBER(L225),ROUND(L225-G225,4),"")</f>
        <v/>
      </c>
      <c r="N225" s="11">
        <f>IF(H225=0,"",G225/H225)</f>
        <v/>
      </c>
      <c r="O225" s="11">
        <f>IF(ISNUMBER(N225),ROUND(N225-I225,4),"")</f>
        <v/>
      </c>
    </row>
    <row r="226">
      <c r="A226" s="6" t="inlineStr">
        <is>
          <t>plata</t>
        </is>
      </c>
      <c r="B226" s="6" t="inlineStr">
        <is>
          <t>metal precioso</t>
        </is>
      </c>
      <c r="C226" s="6" t="n">
        <v>2010</v>
      </c>
      <c r="D226" s="6" t="inlineStr">
        <is>
          <t>261690</t>
        </is>
      </c>
      <c r="E226" s="6" t="n">
        <v>57836501</v>
      </c>
      <c r="F226" s="6" t="n">
        <v>557.889</v>
      </c>
      <c r="G226" s="6" t="n">
        <v>103670.27</v>
      </c>
      <c r="H226" s="6" t="n">
        <v>644000</v>
      </c>
      <c r="I226" s="6" t="n">
        <v>0.161</v>
      </c>
      <c r="J226" s="6" t="inlineStr">
        <is>
          <t>propio</t>
        </is>
      </c>
      <c r="K226" s="5" t="n"/>
      <c r="L226" s="11">
        <f>IF(F226=0,"",E226/F226)</f>
        <v/>
      </c>
      <c r="M226" s="11">
        <f>IF(ISNUMBER(L226),ROUND(L226-G226,4),"")</f>
        <v/>
      </c>
      <c r="N226" s="11">
        <f>IF(H226=0,"",G226/H226)</f>
        <v/>
      </c>
      <c r="O226" s="11">
        <f>IF(ISNUMBER(N226),ROUND(N226-I226,4),"")</f>
        <v/>
      </c>
    </row>
    <row r="227">
      <c r="A227" s="9" t="inlineStr">
        <is>
          <t>plata</t>
        </is>
      </c>
      <c r="B227" s="9" t="inlineStr">
        <is>
          <t>metal precioso</t>
        </is>
      </c>
      <c r="C227" s="9" t="n">
        <v>2011</v>
      </c>
      <c r="D227" s="9" t="inlineStr">
        <is>
          <t>261690</t>
        </is>
      </c>
      <c r="E227" s="9" t="n">
        <v>109669779</v>
      </c>
      <c r="F227" s="9" t="n">
        <v>492.214</v>
      </c>
      <c r="G227" s="9" t="n">
        <v>222809.14</v>
      </c>
      <c r="H227" s="9" t="n">
        <v>1130000</v>
      </c>
      <c r="I227" s="9" t="n">
        <v>0.1972</v>
      </c>
      <c r="J227" s="9" t="inlineStr">
        <is>
          <t>propio</t>
        </is>
      </c>
      <c r="K227" s="8" t="n"/>
      <c r="L227" s="11">
        <f>IF(F227=0,"",E227/F227)</f>
        <v/>
      </c>
      <c r="M227" s="11">
        <f>IF(ISNUMBER(L227),ROUND(L227-G227,4),"")</f>
        <v/>
      </c>
      <c r="N227" s="11">
        <f>IF(H227=0,"",G227/H227)</f>
        <v/>
      </c>
      <c r="O227" s="11">
        <f>IF(ISNUMBER(N227),ROUND(N227-I227,4),"")</f>
        <v/>
      </c>
    </row>
    <row r="228">
      <c r="A228" s="6" t="inlineStr">
        <is>
          <t>plata</t>
        </is>
      </c>
      <c r="B228" s="6" t="inlineStr">
        <is>
          <t>metal precioso</t>
        </is>
      </c>
      <c r="C228" s="6" t="n">
        <v>2012</v>
      </c>
      <c r="D228" s="6" t="inlineStr">
        <is>
          <t>261690</t>
        </is>
      </c>
      <c r="E228" s="6" t="n">
        <v>36011593</v>
      </c>
      <c r="F228" s="6" t="n">
        <v>1160.169</v>
      </c>
      <c r="G228" s="6" t="n">
        <v>31039.95</v>
      </c>
      <c r="H228" s="6" t="n">
        <v>1000000</v>
      </c>
      <c r="I228" s="6" t="n">
        <v>0.031</v>
      </c>
      <c r="J228" s="6" t="inlineStr">
        <is>
          <t>propio</t>
        </is>
      </c>
      <c r="K228" s="5" t="n"/>
      <c r="L228" s="11">
        <f>IF(F228=0,"",E228/F228)</f>
        <v/>
      </c>
      <c r="M228" s="11">
        <f>IF(ISNUMBER(L228),ROUND(L228-G228,4),"")</f>
        <v/>
      </c>
      <c r="N228" s="11">
        <f>IF(H228=0,"",G228/H228)</f>
        <v/>
      </c>
      <c r="O228" s="11">
        <f>IF(ISNUMBER(N228),ROUND(N228-I228,4),"")</f>
        <v/>
      </c>
    </row>
    <row r="229">
      <c r="A229" s="9" t="inlineStr">
        <is>
          <t>plata</t>
        </is>
      </c>
      <c r="B229" s="9" t="inlineStr">
        <is>
          <t>metal precioso</t>
        </is>
      </c>
      <c r="C229" s="9" t="n">
        <v>2013</v>
      </c>
      <c r="D229" s="9" t="inlineStr">
        <is>
          <t>261690</t>
        </is>
      </c>
      <c r="E229" s="9" t="n">
        <v>2274437</v>
      </c>
      <c r="F229" s="9" t="n">
        <v>2164.964</v>
      </c>
      <c r="G229" s="9" t="n">
        <v>1050.57</v>
      </c>
      <c r="H229" s="9" t="n">
        <v>767000</v>
      </c>
      <c r="I229" s="9" t="n">
        <v>0.0014</v>
      </c>
      <c r="J229" s="9" t="inlineStr">
        <is>
          <t>propio</t>
        </is>
      </c>
      <c r="K229" s="8" t="n"/>
      <c r="L229" s="11">
        <f>IF(F229=0,"",E229/F229)</f>
        <v/>
      </c>
      <c r="M229" s="11">
        <f>IF(ISNUMBER(L229),ROUND(L229-G229,4),"")</f>
        <v/>
      </c>
      <c r="N229" s="11">
        <f>IF(H229=0,"",G229/H229)</f>
        <v/>
      </c>
      <c r="O229" s="11">
        <f>IF(ISNUMBER(N229),ROUND(N229-I229,4),"")</f>
        <v/>
      </c>
    </row>
    <row r="230">
      <c r="A230" s="6" t="inlineStr">
        <is>
          <t>plata</t>
        </is>
      </c>
      <c r="B230" s="6" t="inlineStr">
        <is>
          <t>metal precioso</t>
        </is>
      </c>
      <c r="C230" s="6" t="n">
        <v>2014</v>
      </c>
      <c r="D230" s="6" t="inlineStr">
        <is>
          <t>261690</t>
        </is>
      </c>
      <c r="E230" s="6" t="n">
        <v>935178</v>
      </c>
      <c r="F230" s="6" t="n">
        <v>114.491</v>
      </c>
      <c r="G230" s="6" t="n">
        <v>8168.14</v>
      </c>
      <c r="H230" s="6" t="n">
        <v>614000</v>
      </c>
      <c r="I230" s="6" t="n">
        <v>0.0133</v>
      </c>
      <c r="J230" s="6" t="inlineStr">
        <is>
          <t>propio</t>
        </is>
      </c>
      <c r="K230" s="5" t="n"/>
      <c r="L230" s="11">
        <f>IF(F230=0,"",E230/F230)</f>
        <v/>
      </c>
      <c r="M230" s="11">
        <f>IF(ISNUMBER(L230),ROUND(L230-G230,4),"")</f>
        <v/>
      </c>
      <c r="N230" s="11">
        <f>IF(H230=0,"",G230/H230)</f>
        <v/>
      </c>
      <c r="O230" s="11">
        <f>IF(ISNUMBER(N230),ROUND(N230-I230,4),"")</f>
        <v/>
      </c>
    </row>
    <row r="231">
      <c r="A231" s="9" t="inlineStr">
        <is>
          <t>plata</t>
        </is>
      </c>
      <c r="B231" s="9" t="inlineStr">
        <is>
          <t>metal precioso</t>
        </is>
      </c>
      <c r="C231" s="9" t="n">
        <v>2015</v>
      </c>
      <c r="D231" s="9" t="inlineStr">
        <is>
          <t>261690</t>
        </is>
      </c>
      <c r="E231" s="9" t="n">
        <v>4428927</v>
      </c>
      <c r="F231" s="9" t="n"/>
      <c r="G231" s="9" t="n"/>
      <c r="H231" s="9" t="n">
        <v>505000</v>
      </c>
      <c r="I231" s="9" t="n"/>
      <c r="J231" s="9" t="n"/>
      <c r="K231" s="8" t="inlineStr">
        <is>
          <t>sin exportacion E1 (no imputado)</t>
        </is>
      </c>
      <c r="L231" s="11">
        <f>IF(F231=0,"",E231/F231)</f>
        <v/>
      </c>
      <c r="M231" s="11">
        <f>IF(ISNUMBER(L231),ROUND(L231-G231,4),"")</f>
        <v/>
      </c>
      <c r="N231" s="11">
        <f>IF(H231=0,"",G231/H231)</f>
        <v/>
      </c>
      <c r="O231" s="11">
        <f>IF(ISNUMBER(N231),ROUND(N231-I231,4),"")</f>
        <v/>
      </c>
    </row>
    <row r="232">
      <c r="A232" s="6" t="inlineStr">
        <is>
          <t>plata</t>
        </is>
      </c>
      <c r="B232" s="6" t="inlineStr">
        <is>
          <t>metal precioso</t>
        </is>
      </c>
      <c r="C232" s="6" t="n">
        <v>2016</v>
      </c>
      <c r="D232" s="6" t="inlineStr">
        <is>
          <t>261690</t>
        </is>
      </c>
      <c r="E232" s="6" t="n">
        <v>25474960</v>
      </c>
      <c r="F232" s="6" t="n"/>
      <c r="G232" s="6" t="n"/>
      <c r="H232" s="6" t="n">
        <v>551000</v>
      </c>
      <c r="I232" s="6" t="n"/>
      <c r="J232" s="6" t="n"/>
      <c r="K232" s="5" t="inlineStr">
        <is>
          <t>sin exportacion E1 (no imputado)</t>
        </is>
      </c>
      <c r="L232" s="11">
        <f>IF(F232=0,"",E232/F232)</f>
        <v/>
      </c>
      <c r="M232" s="11">
        <f>IF(ISNUMBER(L232),ROUND(L232-G232,4),"")</f>
        <v/>
      </c>
      <c r="N232" s="11">
        <f>IF(H232=0,"",G232/H232)</f>
        <v/>
      </c>
      <c r="O232" s="11">
        <f>IF(ISNUMBER(N232),ROUND(N232-I232,4),"")</f>
        <v/>
      </c>
    </row>
    <row r="233">
      <c r="A233" s="9" t="inlineStr">
        <is>
          <t>plata</t>
        </is>
      </c>
      <c r="B233" s="9" t="inlineStr">
        <is>
          <t>metal precioso</t>
        </is>
      </c>
      <c r="C233" s="9" t="n">
        <v>2017</v>
      </c>
      <c r="D233" s="9" t="inlineStr">
        <is>
          <t>261690</t>
        </is>
      </c>
      <c r="E233" s="9" t="n">
        <v>35742289</v>
      </c>
      <c r="F233" s="9" t="n"/>
      <c r="G233" s="9" t="n"/>
      <c r="H233" s="9" t="n">
        <v>549000</v>
      </c>
      <c r="I233" s="9" t="n"/>
      <c r="J233" s="9" t="n"/>
      <c r="K233" s="8" t="inlineStr">
        <is>
          <t>sin exportacion E1 (no imputado)</t>
        </is>
      </c>
      <c r="L233" s="11">
        <f>IF(F233=0,"",E233/F233)</f>
        <v/>
      </c>
      <c r="M233" s="11">
        <f>IF(ISNUMBER(L233),ROUND(L233-G233,4),"")</f>
        <v/>
      </c>
      <c r="N233" s="11">
        <f>IF(H233=0,"",G233/H233)</f>
        <v/>
      </c>
      <c r="O233" s="11">
        <f>IF(ISNUMBER(N233),ROUND(N233-I233,4),"")</f>
        <v/>
      </c>
    </row>
    <row r="234">
      <c r="A234" s="6" t="inlineStr">
        <is>
          <t>plata</t>
        </is>
      </c>
      <c r="B234" s="6" t="inlineStr">
        <is>
          <t>metal precioso</t>
        </is>
      </c>
      <c r="C234" s="6" t="n">
        <v>2018</v>
      </c>
      <c r="D234" s="6" t="inlineStr">
        <is>
          <t>261690</t>
        </is>
      </c>
      <c r="E234" s="6" t="n">
        <v>36656445</v>
      </c>
      <c r="F234" s="6" t="n"/>
      <c r="G234" s="6" t="n"/>
      <c r="H234" s="6" t="n">
        <v>506000</v>
      </c>
      <c r="I234" s="6" t="n"/>
      <c r="J234" s="6" t="n"/>
      <c r="K234" s="5" t="inlineStr">
        <is>
          <t>sin exportacion E1 (no imputado)</t>
        </is>
      </c>
      <c r="L234" s="11">
        <f>IF(F234=0,"",E234/F234)</f>
        <v/>
      </c>
      <c r="M234" s="11">
        <f>IF(ISNUMBER(L234),ROUND(L234-G234,4),"")</f>
        <v/>
      </c>
      <c r="N234" s="11">
        <f>IF(H234=0,"",G234/H234)</f>
        <v/>
      </c>
      <c r="O234" s="11">
        <f>IF(ISNUMBER(N234),ROUND(N234-I234,4),"")</f>
        <v/>
      </c>
    </row>
    <row r="235">
      <c r="A235" s="9" t="inlineStr">
        <is>
          <t>plata</t>
        </is>
      </c>
      <c r="B235" s="9" t="inlineStr">
        <is>
          <t>metal precioso</t>
        </is>
      </c>
      <c r="C235" s="9" t="n">
        <v>2019</v>
      </c>
      <c r="D235" s="9" t="inlineStr">
        <is>
          <t>261690</t>
        </is>
      </c>
      <c r="E235" s="9" t="n">
        <v>31927356</v>
      </c>
      <c r="F235" s="9" t="n"/>
      <c r="G235" s="9" t="n"/>
      <c r="H235" s="9" t="n">
        <v>512000</v>
      </c>
      <c r="I235" s="9" t="n"/>
      <c r="J235" s="9" t="n"/>
      <c r="K235" s="8" t="inlineStr">
        <is>
          <t>sin exportacion E1 (no imputado)</t>
        </is>
      </c>
      <c r="L235" s="11">
        <f>IF(F235=0,"",E235/F235)</f>
        <v/>
      </c>
      <c r="M235" s="11">
        <f>IF(ISNUMBER(L235),ROUND(L235-G235,4),"")</f>
        <v/>
      </c>
      <c r="N235" s="11">
        <f>IF(H235=0,"",G235/H235)</f>
        <v/>
      </c>
      <c r="O235" s="11">
        <f>IF(ISNUMBER(N235),ROUND(N235-I235,4),"")</f>
        <v/>
      </c>
    </row>
    <row r="236">
      <c r="A236" s="6" t="inlineStr">
        <is>
          <t>plata</t>
        </is>
      </c>
      <c r="B236" s="6" t="inlineStr">
        <is>
          <t>metal precioso</t>
        </is>
      </c>
      <c r="C236" s="6" t="n">
        <v>2020</v>
      </c>
      <c r="D236" s="6" t="inlineStr">
        <is>
          <t>261690</t>
        </is>
      </c>
      <c r="E236" s="6" t="n">
        <v>146951579</v>
      </c>
      <c r="F236" s="6" t="n"/>
      <c r="G236" s="6" t="n"/>
      <c r="H236" s="6" t="n">
        <v>661000</v>
      </c>
      <c r="I236" s="6" t="n"/>
      <c r="J236" s="6" t="n"/>
      <c r="K236" s="5" t="inlineStr">
        <is>
          <t>sin exportacion E1 (no imputado)</t>
        </is>
      </c>
      <c r="L236" s="11">
        <f>IF(F236=0,"",E236/F236)</f>
        <v/>
      </c>
      <c r="M236" s="11">
        <f>IF(ISNUMBER(L236),ROUND(L236-G236,4),"")</f>
        <v/>
      </c>
      <c r="N236" s="11">
        <f>IF(H236=0,"",G236/H236)</f>
        <v/>
      </c>
      <c r="O236" s="11">
        <f>IF(ISNUMBER(N236),ROUND(N236-I236,4),"")</f>
        <v/>
      </c>
    </row>
    <row r="237">
      <c r="A237" s="9" t="inlineStr">
        <is>
          <t>plata</t>
        </is>
      </c>
      <c r="B237" s="9" t="inlineStr">
        <is>
          <t>metal precioso</t>
        </is>
      </c>
      <c r="C237" s="9" t="n">
        <v>2021</v>
      </c>
      <c r="D237" s="9" t="inlineStr">
        <is>
          <t>261690</t>
        </is>
      </c>
      <c r="E237" s="9" t="n">
        <v>28657175</v>
      </c>
      <c r="F237" s="9" t="n">
        <v>6818.956</v>
      </c>
      <c r="G237" s="9" t="n">
        <v>4202.58</v>
      </c>
      <c r="H237" s="9" t="n">
        <v>811000</v>
      </c>
      <c r="I237" s="9" t="n">
        <v>0.0052</v>
      </c>
      <c r="J237" s="9" t="inlineStr">
        <is>
          <t>propio</t>
        </is>
      </c>
      <c r="K237" s="8" t="n"/>
      <c r="L237" s="11">
        <f>IF(F237=0,"",E237/F237)</f>
        <v/>
      </c>
      <c r="M237" s="11">
        <f>IF(ISNUMBER(L237),ROUND(L237-G237,4),"")</f>
        <v/>
      </c>
      <c r="N237" s="11">
        <f>IF(H237=0,"",G237/H237)</f>
        <v/>
      </c>
      <c r="O237" s="11">
        <f>IF(ISNUMBER(N237),ROUND(N237-I237,4),"")</f>
        <v/>
      </c>
    </row>
    <row r="238">
      <c r="A238" s="6" t="inlineStr">
        <is>
          <t>plata</t>
        </is>
      </c>
      <c r="B238" s="6" t="inlineStr">
        <is>
          <t>metal precioso</t>
        </is>
      </c>
      <c r="C238" s="6" t="n">
        <v>2022</v>
      </c>
      <c r="D238" s="6" t="inlineStr">
        <is>
          <t>261690</t>
        </is>
      </c>
      <c r="E238" s="6" t="n">
        <v>88920958</v>
      </c>
      <c r="F238" s="6" t="n">
        <v>7024.109</v>
      </c>
      <c r="G238" s="6" t="n">
        <v>12659.39</v>
      </c>
      <c r="H238" s="6" t="n">
        <v>701028.12</v>
      </c>
      <c r="I238" s="6" t="n">
        <v>0.0181</v>
      </c>
      <c r="J238" s="6" t="inlineStr">
        <is>
          <t>propio</t>
        </is>
      </c>
      <c r="K238" s="5" t="n"/>
      <c r="L238" s="11">
        <f>IF(F238=0,"",E238/F238)</f>
        <v/>
      </c>
      <c r="M238" s="11">
        <f>IF(ISNUMBER(L238),ROUND(L238-G238,4),"")</f>
        <v/>
      </c>
      <c r="N238" s="11">
        <f>IF(H238=0,"",G238/H238)</f>
        <v/>
      </c>
      <c r="O238" s="11">
        <f>IF(ISNUMBER(N238),ROUND(N238-I238,4),"")</f>
        <v/>
      </c>
    </row>
    <row r="239">
      <c r="A239" s="9" t="inlineStr">
        <is>
          <t>plata</t>
        </is>
      </c>
      <c r="B239" s="9" t="inlineStr">
        <is>
          <t>metal precioso</t>
        </is>
      </c>
      <c r="C239" s="9" t="n">
        <v>2023</v>
      </c>
      <c r="D239" s="9" t="inlineStr">
        <is>
          <t>261690</t>
        </is>
      </c>
      <c r="E239" s="9" t="n">
        <v>117981985</v>
      </c>
      <c r="F239" s="9" t="n">
        <v>13671.67</v>
      </c>
      <c r="G239" s="9" t="n">
        <v>8629.67</v>
      </c>
      <c r="H239" s="9" t="n">
        <v>753678.95</v>
      </c>
      <c r="I239" s="9" t="n">
        <v>0.0115</v>
      </c>
      <c r="J239" s="9" t="inlineStr">
        <is>
          <t>propio</t>
        </is>
      </c>
      <c r="K239" s="8" t="n"/>
      <c r="L239" s="11">
        <f>IF(F239=0,"",E239/F239)</f>
        <v/>
      </c>
      <c r="M239" s="11">
        <f>IF(ISNUMBER(L239),ROUND(L239-G239,4),"")</f>
        <v/>
      </c>
      <c r="N239" s="11">
        <f>IF(H239=0,"",G239/H239)</f>
        <v/>
      </c>
      <c r="O239" s="11">
        <f>IF(ISNUMBER(N239),ROUND(N239-I239,4),"")</f>
        <v/>
      </c>
    </row>
    <row r="240">
      <c r="A240" s="6" t="inlineStr">
        <is>
          <t>plata</t>
        </is>
      </c>
      <c r="B240" s="6" t="inlineStr">
        <is>
          <t>metal precioso</t>
        </is>
      </c>
      <c r="C240" s="6" t="n">
        <v>2024</v>
      </c>
      <c r="D240" s="6" t="inlineStr">
        <is>
          <t>261690</t>
        </is>
      </c>
      <c r="E240" s="6" t="n">
        <v>185098813</v>
      </c>
      <c r="F240" s="6" t="n">
        <v>28001.18</v>
      </c>
      <c r="G240" s="6" t="n">
        <v>6610.39</v>
      </c>
      <c r="H240" s="6" t="n">
        <v>910220.0600000001</v>
      </c>
      <c r="I240" s="6" t="n">
        <v>0.0073</v>
      </c>
      <c r="J240" s="6" t="inlineStr">
        <is>
          <t>propio</t>
        </is>
      </c>
      <c r="K240" s="5" t="n"/>
      <c r="L240" s="11">
        <f>IF(F240=0,"",E240/F240)</f>
        <v/>
      </c>
      <c r="M240" s="11">
        <f>IF(ISNUMBER(L240),ROUND(L240-G240,4),"")</f>
        <v/>
      </c>
      <c r="N240" s="11">
        <f>IF(H240=0,"",G240/H240)</f>
        <v/>
      </c>
      <c r="O240" s="11">
        <f>IF(ISNUMBER(N240),ROUND(N240-I240,4),"")</f>
        <v/>
      </c>
    </row>
    <row r="241">
      <c r="A241" s="9" t="inlineStr">
        <is>
          <t>plata</t>
        </is>
      </c>
      <c r="B241" s="9" t="inlineStr">
        <is>
          <t>metal precioso</t>
        </is>
      </c>
      <c r="C241" s="9" t="n">
        <v>2025</v>
      </c>
      <c r="D241" s="9" t="inlineStr">
        <is>
          <t>261690</t>
        </is>
      </c>
      <c r="E241" s="9" t="n">
        <v>97606833</v>
      </c>
      <c r="F241" s="9" t="n">
        <v>12755.627</v>
      </c>
      <c r="G241" s="9" t="n">
        <v>7652.06</v>
      </c>
      <c r="H241" s="9" t="n">
        <v>1224623.12</v>
      </c>
      <c r="I241" s="9" t="n">
        <v>0.0062</v>
      </c>
      <c r="J241" s="9" t="inlineStr">
        <is>
          <t>propio</t>
        </is>
      </c>
      <c r="K241" s="8" t="n"/>
      <c r="L241" s="11">
        <f>IF(F241=0,"",E241/F241)</f>
        <v/>
      </c>
      <c r="M241" s="11">
        <f>IF(ISNUMBER(L241),ROUND(L241-G241,4),"")</f>
        <v/>
      </c>
      <c r="N241" s="11">
        <f>IF(H241=0,"",G241/H241)</f>
        <v/>
      </c>
      <c r="O241" s="11">
        <f>IF(ISNUMBER(N241),ROUND(N241-I241,4),"")</f>
        <v/>
      </c>
    </row>
    <row r="242">
      <c r="A242" s="6" t="inlineStr">
        <is>
          <t>plomo</t>
        </is>
      </c>
      <c r="B242" s="6" t="inlineStr">
        <is>
          <t>metal base</t>
        </is>
      </c>
      <c r="C242" s="6" t="n">
        <v>1992</v>
      </c>
      <c r="D242" s="6" t="inlineStr">
        <is>
          <t>2607</t>
        </is>
      </c>
      <c r="E242" s="6" t="n">
        <v>1580000</v>
      </c>
      <c r="F242" s="6" t="n">
        <v>944.375</v>
      </c>
      <c r="G242" s="6" t="n">
        <v>1673.06</v>
      </c>
      <c r="H242" s="6" t="n">
        <v>774</v>
      </c>
      <c r="I242" s="6" t="n">
        <v>2.1616</v>
      </c>
      <c r="J242" s="6" t="inlineStr">
        <is>
          <t>propio</t>
        </is>
      </c>
      <c r="K242" s="5" t="n"/>
      <c r="L242" s="11">
        <f>IF(F242=0,"",E242/F242)</f>
        <v/>
      </c>
      <c r="M242" s="11">
        <f>IF(ISNUMBER(L242),ROUND(L242-G242,4),"")</f>
        <v/>
      </c>
      <c r="N242" s="11">
        <f>IF(H242=0,"",G242/H242)</f>
        <v/>
      </c>
      <c r="O242" s="11">
        <f>IF(ISNUMBER(N242),ROUND(N242-I242,4),"")</f>
        <v/>
      </c>
    </row>
    <row r="243">
      <c r="A243" s="9" t="inlineStr">
        <is>
          <t>plomo</t>
        </is>
      </c>
      <c r="B243" s="9" t="inlineStr">
        <is>
          <t>metal base</t>
        </is>
      </c>
      <c r="C243" s="9" t="n">
        <v>1993</v>
      </c>
      <c r="D243" s="9" t="inlineStr">
        <is>
          <t>2607</t>
        </is>
      </c>
      <c r="E243" s="9" t="n">
        <v>293000</v>
      </c>
      <c r="F243" s="9" t="n">
        <v>247.41</v>
      </c>
      <c r="G243" s="9" t="n">
        <v>1184.27</v>
      </c>
      <c r="H243" s="9" t="n">
        <v>699</v>
      </c>
      <c r="I243" s="9" t="n">
        <v>1.6942</v>
      </c>
      <c r="J243" s="9" t="inlineStr">
        <is>
          <t>propio</t>
        </is>
      </c>
      <c r="K243" s="8" t="n"/>
      <c r="L243" s="11">
        <f>IF(F243=0,"",E243/F243)</f>
        <v/>
      </c>
      <c r="M243" s="11">
        <f>IF(ISNUMBER(L243),ROUND(L243-G243,4),"")</f>
        <v/>
      </c>
      <c r="N243" s="11">
        <f>IF(H243=0,"",G243/H243)</f>
        <v/>
      </c>
      <c r="O243" s="11">
        <f>IF(ISNUMBER(N243),ROUND(N243-I243,4),"")</f>
        <v/>
      </c>
    </row>
    <row r="244">
      <c r="A244" s="6" t="inlineStr">
        <is>
          <t>plomo</t>
        </is>
      </c>
      <c r="B244" s="6" t="inlineStr">
        <is>
          <t>metal base</t>
        </is>
      </c>
      <c r="C244" s="6" t="n">
        <v>1994</v>
      </c>
      <c r="D244" s="6" t="inlineStr">
        <is>
          <t>2607</t>
        </is>
      </c>
      <c r="E244" s="6" t="n"/>
      <c r="F244" s="6" t="n"/>
      <c r="G244" s="6" t="n"/>
      <c r="H244" s="6" t="n">
        <v>820</v>
      </c>
      <c r="I244" s="6" t="n"/>
      <c r="J244" s="6" t="n"/>
      <c r="K244" s="5" t="inlineStr">
        <is>
          <t>sin exportacion E1 (no imputado)</t>
        </is>
      </c>
      <c r="L244" s="11">
        <f>IF(F244=0,"",E244/F244)</f>
        <v/>
      </c>
      <c r="M244" s="11">
        <f>IF(ISNUMBER(L244),ROUND(L244-G244,4),"")</f>
        <v/>
      </c>
      <c r="N244" s="11">
        <f>IF(H244=0,"",G244/H244)</f>
        <v/>
      </c>
      <c r="O244" s="11">
        <f>IF(ISNUMBER(N244),ROUND(N244-I244,4),"")</f>
        <v/>
      </c>
    </row>
    <row r="245">
      <c r="A245" s="9" t="inlineStr">
        <is>
          <t>plomo</t>
        </is>
      </c>
      <c r="B245" s="9" t="inlineStr">
        <is>
          <t>metal base</t>
        </is>
      </c>
      <c r="C245" s="9" t="n">
        <v>1995</v>
      </c>
      <c r="D245" s="9" t="inlineStr">
        <is>
          <t>2607</t>
        </is>
      </c>
      <c r="E245" s="9" t="n">
        <v>14708000</v>
      </c>
      <c r="F245" s="9" t="n">
        <v>17984.952</v>
      </c>
      <c r="G245" s="9" t="n">
        <v>817.79</v>
      </c>
      <c r="H245" s="9" t="n">
        <v>933</v>
      </c>
      <c r="I245" s="9" t="n">
        <v>0.8764999999999999</v>
      </c>
      <c r="J245" s="9" t="inlineStr">
        <is>
          <t>propio</t>
        </is>
      </c>
      <c r="K245" s="8" t="n"/>
      <c r="L245" s="11">
        <f>IF(F245=0,"",E245/F245)</f>
        <v/>
      </c>
      <c r="M245" s="11">
        <f>IF(ISNUMBER(L245),ROUND(L245-G245,4),"")</f>
        <v/>
      </c>
      <c r="N245" s="11">
        <f>IF(H245=0,"",G245/H245)</f>
        <v/>
      </c>
      <c r="O245" s="11">
        <f>IF(ISNUMBER(N245),ROUND(N245-I245,4),"")</f>
        <v/>
      </c>
    </row>
    <row r="246">
      <c r="A246" s="6" t="inlineStr">
        <is>
          <t>plomo</t>
        </is>
      </c>
      <c r="B246" s="6" t="inlineStr">
        <is>
          <t>metal base</t>
        </is>
      </c>
      <c r="C246" s="6" t="n">
        <v>1996</v>
      </c>
      <c r="D246" s="6" t="inlineStr">
        <is>
          <t>2607</t>
        </is>
      </c>
      <c r="E246" s="6" t="n">
        <v>14091348</v>
      </c>
      <c r="F246" s="6" t="n">
        <v>16708.001</v>
      </c>
      <c r="G246" s="6" t="n">
        <v>843.39</v>
      </c>
      <c r="H246" s="6" t="n">
        <v>1080</v>
      </c>
      <c r="I246" s="6" t="n">
        <v>0.7809</v>
      </c>
      <c r="J246" s="6" t="inlineStr">
        <is>
          <t>propio</t>
        </is>
      </c>
      <c r="K246" s="5" t="n"/>
      <c r="L246" s="11">
        <f>IF(F246=0,"",E246/F246)</f>
        <v/>
      </c>
      <c r="M246" s="11">
        <f>IF(ISNUMBER(L246),ROUND(L246-G246,4),"")</f>
        <v/>
      </c>
      <c r="N246" s="11">
        <f>IF(H246=0,"",G246/H246)</f>
        <v/>
      </c>
      <c r="O246" s="11">
        <f>IF(ISNUMBER(N246),ROUND(N246-I246,4),"")</f>
        <v/>
      </c>
    </row>
    <row r="247">
      <c r="A247" s="9" t="inlineStr">
        <is>
          <t>plomo</t>
        </is>
      </c>
      <c r="B247" s="9" t="inlineStr">
        <is>
          <t>metal base</t>
        </is>
      </c>
      <c r="C247" s="9" t="n">
        <v>1997</v>
      </c>
      <c r="D247" s="9" t="inlineStr">
        <is>
          <t>2607</t>
        </is>
      </c>
      <c r="E247" s="9" t="n">
        <v>8020893</v>
      </c>
      <c r="F247" s="9" t="n">
        <v>10835.62</v>
      </c>
      <c r="G247" s="9" t="n">
        <v>740.23</v>
      </c>
      <c r="H247" s="9" t="n">
        <v>1030</v>
      </c>
      <c r="I247" s="9" t="n">
        <v>0.7187</v>
      </c>
      <c r="J247" s="9" t="inlineStr">
        <is>
          <t>propio</t>
        </is>
      </c>
      <c r="K247" s="8" t="n"/>
      <c r="L247" s="11">
        <f>IF(F247=0,"",E247/F247)</f>
        <v/>
      </c>
      <c r="M247" s="11">
        <f>IF(ISNUMBER(L247),ROUND(L247-G247,4),"")</f>
        <v/>
      </c>
      <c r="N247" s="11">
        <f>IF(H247=0,"",G247/H247)</f>
        <v/>
      </c>
      <c r="O247" s="11">
        <f>IF(ISNUMBER(N247),ROUND(N247-I247,4),"")</f>
        <v/>
      </c>
    </row>
    <row r="248">
      <c r="A248" s="6" t="inlineStr">
        <is>
          <t>plomo</t>
        </is>
      </c>
      <c r="B248" s="6" t="inlineStr">
        <is>
          <t>metal base</t>
        </is>
      </c>
      <c r="C248" s="6" t="n">
        <v>1998</v>
      </c>
      <c r="D248" s="6" t="inlineStr">
        <is>
          <t>2607</t>
        </is>
      </c>
      <c r="E248" s="6" t="n">
        <v>4415557</v>
      </c>
      <c r="F248" s="6" t="n">
        <v>12237.702</v>
      </c>
      <c r="G248" s="6" t="n">
        <v>360.82</v>
      </c>
      <c r="H248" s="6" t="n">
        <v>999</v>
      </c>
      <c r="I248" s="6" t="n">
        <v>0.3612</v>
      </c>
      <c r="J248" s="6" t="inlineStr">
        <is>
          <t>propio</t>
        </is>
      </c>
      <c r="K248" s="5" t="n"/>
      <c r="L248" s="11">
        <f>IF(F248=0,"",E248/F248)</f>
        <v/>
      </c>
      <c r="M248" s="11">
        <f>IF(ISNUMBER(L248),ROUND(L248-G248,4),"")</f>
        <v/>
      </c>
      <c r="N248" s="11">
        <f>IF(H248=0,"",G248/H248)</f>
        <v/>
      </c>
      <c r="O248" s="11">
        <f>IF(ISNUMBER(N248),ROUND(N248-I248,4),"")</f>
        <v/>
      </c>
    </row>
    <row r="249">
      <c r="A249" s="9" t="inlineStr">
        <is>
          <t>plomo</t>
        </is>
      </c>
      <c r="B249" s="9" t="inlineStr">
        <is>
          <t>metal base</t>
        </is>
      </c>
      <c r="C249" s="9" t="n">
        <v>1999</v>
      </c>
      <c r="D249" s="9" t="inlineStr">
        <is>
          <t>2607</t>
        </is>
      </c>
      <c r="E249" s="9" t="n">
        <v>19056014</v>
      </c>
      <c r="F249" s="9" t="n">
        <v>39978.904</v>
      </c>
      <c r="G249" s="9" t="n">
        <v>476.65</v>
      </c>
      <c r="H249" s="9" t="n">
        <v>963</v>
      </c>
      <c r="I249" s="9" t="n">
        <v>0.495</v>
      </c>
      <c r="J249" s="9" t="inlineStr">
        <is>
          <t>propio</t>
        </is>
      </c>
      <c r="K249" s="8" t="n"/>
      <c r="L249" s="11">
        <f>IF(F249=0,"",E249/F249)</f>
        <v/>
      </c>
      <c r="M249" s="11">
        <f>IF(ISNUMBER(L249),ROUND(L249-G249,4),"")</f>
        <v/>
      </c>
      <c r="N249" s="11">
        <f>IF(H249=0,"",G249/H249)</f>
        <v/>
      </c>
      <c r="O249" s="11">
        <f>IF(ISNUMBER(N249),ROUND(N249-I249,4),"")</f>
        <v/>
      </c>
    </row>
    <row r="250">
      <c r="A250" s="6" t="inlineStr">
        <is>
          <t>plomo</t>
        </is>
      </c>
      <c r="B250" s="6" t="inlineStr">
        <is>
          <t>metal base</t>
        </is>
      </c>
      <c r="C250" s="6" t="n">
        <v>2000</v>
      </c>
      <c r="D250" s="6" t="inlineStr">
        <is>
          <t>2607</t>
        </is>
      </c>
      <c r="E250" s="6" t="n">
        <v>13009691</v>
      </c>
      <c r="F250" s="6" t="n">
        <v>57870.004</v>
      </c>
      <c r="G250" s="6" t="n">
        <v>224.81</v>
      </c>
      <c r="H250" s="6" t="n">
        <v>961</v>
      </c>
      <c r="I250" s="6" t="n">
        <v>0.2339</v>
      </c>
      <c r="J250" s="6" t="inlineStr">
        <is>
          <t>propio</t>
        </is>
      </c>
      <c r="K250" s="5" t="n"/>
      <c r="L250" s="11">
        <f>IF(F250=0,"",E250/F250)</f>
        <v/>
      </c>
      <c r="M250" s="11">
        <f>IF(ISNUMBER(L250),ROUND(L250-G250,4),"")</f>
        <v/>
      </c>
      <c r="N250" s="11">
        <f>IF(H250=0,"",G250/H250)</f>
        <v/>
      </c>
      <c r="O250" s="11">
        <f>IF(ISNUMBER(N250),ROUND(N250-I250,4),"")</f>
        <v/>
      </c>
    </row>
    <row r="251">
      <c r="A251" s="9" t="inlineStr">
        <is>
          <t>plomo</t>
        </is>
      </c>
      <c r="B251" s="9" t="inlineStr">
        <is>
          <t>metal base</t>
        </is>
      </c>
      <c r="C251" s="9" t="n">
        <v>2001</v>
      </c>
      <c r="D251" s="9" t="inlineStr">
        <is>
          <t>2607</t>
        </is>
      </c>
      <c r="E251" s="9" t="n">
        <v>3044231</v>
      </c>
      <c r="F251" s="9" t="n">
        <v>29764.122</v>
      </c>
      <c r="G251" s="9" t="n">
        <v>102.28</v>
      </c>
      <c r="H251" s="9" t="n">
        <v>962</v>
      </c>
      <c r="I251" s="9" t="n">
        <v>0.1063</v>
      </c>
      <c r="J251" s="9" t="inlineStr">
        <is>
          <t>propio</t>
        </is>
      </c>
      <c r="K251" s="8" t="n"/>
      <c r="L251" s="11">
        <f>IF(F251=0,"",E251/F251)</f>
        <v/>
      </c>
      <c r="M251" s="11">
        <f>IF(ISNUMBER(L251),ROUND(L251-G251,4),"")</f>
        <v/>
      </c>
      <c r="N251" s="11">
        <f>IF(H251=0,"",G251/H251)</f>
        <v/>
      </c>
      <c r="O251" s="11">
        <f>IF(ISNUMBER(N251),ROUND(N251-I251,4),"")</f>
        <v/>
      </c>
    </row>
    <row r="252">
      <c r="A252" s="6" t="inlineStr">
        <is>
          <t>plomo</t>
        </is>
      </c>
      <c r="B252" s="6" t="inlineStr">
        <is>
          <t>metal base</t>
        </is>
      </c>
      <c r="C252" s="6" t="n">
        <v>2002</v>
      </c>
      <c r="D252" s="6" t="inlineStr">
        <is>
          <t>2607</t>
        </is>
      </c>
      <c r="E252" s="6" t="n">
        <v>690361</v>
      </c>
      <c r="F252" s="6" t="n">
        <v>10378.668</v>
      </c>
      <c r="G252" s="6" t="n">
        <v>66.52</v>
      </c>
      <c r="H252" s="6" t="n">
        <v>961</v>
      </c>
      <c r="I252" s="6" t="n">
        <v>0.0692</v>
      </c>
      <c r="J252" s="6" t="inlineStr">
        <is>
          <t>propio</t>
        </is>
      </c>
      <c r="K252" s="5" t="n"/>
      <c r="L252" s="11">
        <f>IF(F252=0,"",E252/F252)</f>
        <v/>
      </c>
      <c r="M252" s="11">
        <f>IF(ISNUMBER(L252),ROUND(L252-G252,4),"")</f>
        <v/>
      </c>
      <c r="N252" s="11">
        <f>IF(H252=0,"",G252/H252)</f>
        <v/>
      </c>
      <c r="O252" s="11">
        <f>IF(ISNUMBER(N252),ROUND(N252-I252,4),"")</f>
        <v/>
      </c>
    </row>
    <row r="253">
      <c r="A253" s="9" t="inlineStr">
        <is>
          <t>plomo</t>
        </is>
      </c>
      <c r="B253" s="9" t="inlineStr">
        <is>
          <t>metal base</t>
        </is>
      </c>
      <c r="C253" s="9" t="n">
        <v>2003</v>
      </c>
      <c r="D253" s="9" t="inlineStr">
        <is>
          <t>2607</t>
        </is>
      </c>
      <c r="E253" s="9" t="n">
        <v>11557733</v>
      </c>
      <c r="F253" s="9" t="n">
        <v>10232.803</v>
      </c>
      <c r="G253" s="9" t="n">
        <v>1129.48</v>
      </c>
      <c r="H253" s="9" t="n">
        <v>965</v>
      </c>
      <c r="I253" s="9" t="n">
        <v>1.1704</v>
      </c>
      <c r="J253" s="9" t="inlineStr">
        <is>
          <t>propio</t>
        </is>
      </c>
      <c r="K253" s="8" t="n"/>
      <c r="L253" s="11">
        <f>IF(F253=0,"",E253/F253)</f>
        <v/>
      </c>
      <c r="M253" s="11">
        <f>IF(ISNUMBER(L253),ROUND(L253-G253,4),"")</f>
        <v/>
      </c>
      <c r="N253" s="11">
        <f>IF(H253=0,"",G253/H253)</f>
        <v/>
      </c>
      <c r="O253" s="11">
        <f>IF(ISNUMBER(N253),ROUND(N253-I253,4),"")</f>
        <v/>
      </c>
    </row>
    <row r="254">
      <c r="A254" s="6" t="inlineStr">
        <is>
          <t>plomo</t>
        </is>
      </c>
      <c r="B254" s="6" t="inlineStr">
        <is>
          <t>metal base</t>
        </is>
      </c>
      <c r="C254" s="6" t="n">
        <v>2004</v>
      </c>
      <c r="D254" s="6" t="inlineStr">
        <is>
          <t>2607</t>
        </is>
      </c>
      <c r="E254" s="6" t="n">
        <v>15726602</v>
      </c>
      <c r="F254" s="6" t="n">
        <v>28546.325</v>
      </c>
      <c r="G254" s="6" t="n">
        <v>550.92</v>
      </c>
      <c r="H254" s="6" t="n">
        <v>1220</v>
      </c>
      <c r="I254" s="6" t="n">
        <v>0.4516</v>
      </c>
      <c r="J254" s="6" t="inlineStr">
        <is>
          <t>propio</t>
        </is>
      </c>
      <c r="K254" s="5" t="n"/>
      <c r="L254" s="11">
        <f>IF(F254=0,"",E254/F254)</f>
        <v/>
      </c>
      <c r="M254" s="11">
        <f>IF(ISNUMBER(L254),ROUND(L254-G254,4),"")</f>
        <v/>
      </c>
      <c r="N254" s="11">
        <f>IF(H254=0,"",G254/H254)</f>
        <v/>
      </c>
      <c r="O254" s="11">
        <f>IF(ISNUMBER(N254),ROUND(N254-I254,4),"")</f>
        <v/>
      </c>
    </row>
    <row r="255">
      <c r="A255" s="9" t="inlineStr">
        <is>
          <t>plomo</t>
        </is>
      </c>
      <c r="B255" s="9" t="inlineStr">
        <is>
          <t>metal base</t>
        </is>
      </c>
      <c r="C255" s="9" t="n">
        <v>2005</v>
      </c>
      <c r="D255" s="9" t="inlineStr">
        <is>
          <t>2607</t>
        </is>
      </c>
      <c r="E255" s="9" t="n">
        <v>2012224</v>
      </c>
      <c r="F255" s="9" t="n">
        <v>11566.212</v>
      </c>
      <c r="G255" s="9" t="n">
        <v>173.97</v>
      </c>
      <c r="H255" s="9" t="n">
        <v>1350</v>
      </c>
      <c r="I255" s="9" t="n">
        <v>0.1289</v>
      </c>
      <c r="J255" s="9" t="inlineStr">
        <is>
          <t>propio</t>
        </is>
      </c>
      <c r="K255" s="8" t="n"/>
      <c r="L255" s="11">
        <f>IF(F255=0,"",E255/F255)</f>
        <v/>
      </c>
      <c r="M255" s="11">
        <f>IF(ISNUMBER(L255),ROUND(L255-G255,4),"")</f>
        <v/>
      </c>
      <c r="N255" s="11">
        <f>IF(H255=0,"",G255/H255)</f>
        <v/>
      </c>
      <c r="O255" s="11">
        <f>IF(ISNUMBER(N255),ROUND(N255-I255,4),"")</f>
        <v/>
      </c>
    </row>
    <row r="256">
      <c r="A256" s="6" t="inlineStr">
        <is>
          <t>plomo</t>
        </is>
      </c>
      <c r="B256" s="6" t="inlineStr">
        <is>
          <t>metal base</t>
        </is>
      </c>
      <c r="C256" s="6" t="n">
        <v>2006</v>
      </c>
      <c r="D256" s="6" t="inlineStr">
        <is>
          <t>2607</t>
        </is>
      </c>
      <c r="E256" s="6" t="n">
        <v>10780188</v>
      </c>
      <c r="F256" s="6" t="n">
        <v>31213.734</v>
      </c>
      <c r="G256" s="6" t="n">
        <v>345.37</v>
      </c>
      <c r="H256" s="6" t="n">
        <v>1710</v>
      </c>
      <c r="I256" s="6" t="n">
        <v>0.202</v>
      </c>
      <c r="J256" s="6" t="inlineStr">
        <is>
          <t>propio</t>
        </is>
      </c>
      <c r="K256" s="5" t="n"/>
      <c r="L256" s="11">
        <f>IF(F256=0,"",E256/F256)</f>
        <v/>
      </c>
      <c r="M256" s="11">
        <f>IF(ISNUMBER(L256),ROUND(L256-G256,4),"")</f>
        <v/>
      </c>
      <c r="N256" s="11">
        <f>IF(H256=0,"",G256/H256)</f>
        <v/>
      </c>
      <c r="O256" s="11">
        <f>IF(ISNUMBER(N256),ROUND(N256-I256,4),"")</f>
        <v/>
      </c>
    </row>
    <row r="257">
      <c r="A257" s="9" t="inlineStr">
        <is>
          <t>plomo</t>
        </is>
      </c>
      <c r="B257" s="9" t="inlineStr">
        <is>
          <t>metal base</t>
        </is>
      </c>
      <c r="C257" s="9" t="n">
        <v>2007</v>
      </c>
      <c r="D257" s="9" t="inlineStr">
        <is>
          <t>2607</t>
        </is>
      </c>
      <c r="E257" s="9" t="n">
        <v>43483993</v>
      </c>
      <c r="F257" s="9" t="n">
        <v>47492.604</v>
      </c>
      <c r="G257" s="9" t="n">
        <v>915.6</v>
      </c>
      <c r="H257" s="9" t="n">
        <v>2730</v>
      </c>
      <c r="I257" s="9" t="n">
        <v>0.3354</v>
      </c>
      <c r="J257" s="9" t="inlineStr">
        <is>
          <t>propio</t>
        </is>
      </c>
      <c r="K257" s="8" t="n"/>
      <c r="L257" s="11">
        <f>IF(F257=0,"",E257/F257)</f>
        <v/>
      </c>
      <c r="M257" s="11">
        <f>IF(ISNUMBER(L257),ROUND(L257-G257,4),"")</f>
        <v/>
      </c>
      <c r="N257" s="11">
        <f>IF(H257=0,"",G257/H257)</f>
        <v/>
      </c>
      <c r="O257" s="11">
        <f>IF(ISNUMBER(N257),ROUND(N257-I257,4),"")</f>
        <v/>
      </c>
    </row>
    <row r="258">
      <c r="A258" s="6" t="inlineStr">
        <is>
          <t>plomo</t>
        </is>
      </c>
      <c r="B258" s="6" t="inlineStr">
        <is>
          <t>metal base</t>
        </is>
      </c>
      <c r="C258" s="6" t="n">
        <v>2008</v>
      </c>
      <c r="D258" s="6" t="inlineStr">
        <is>
          <t>2607</t>
        </is>
      </c>
      <c r="E258" s="6" t="n">
        <v>62018437</v>
      </c>
      <c r="F258" s="6" t="n">
        <v>49634.237</v>
      </c>
      <c r="G258" s="6" t="n">
        <v>1249.51</v>
      </c>
      <c r="H258" s="6" t="n">
        <v>2650</v>
      </c>
      <c r="I258" s="6" t="n">
        <v>0.4715</v>
      </c>
      <c r="J258" s="6" t="inlineStr">
        <is>
          <t>propio</t>
        </is>
      </c>
      <c r="K258" s="5" t="n"/>
      <c r="L258" s="11">
        <f>IF(F258=0,"",E258/F258)</f>
        <v/>
      </c>
      <c r="M258" s="11">
        <f>IF(ISNUMBER(L258),ROUND(L258-G258,4),"")</f>
        <v/>
      </c>
      <c r="N258" s="11">
        <f>IF(H258=0,"",G258/H258)</f>
        <v/>
      </c>
      <c r="O258" s="11">
        <f>IF(ISNUMBER(N258),ROUND(N258-I258,4),"")</f>
        <v/>
      </c>
    </row>
    <row r="259">
      <c r="A259" s="9" t="inlineStr">
        <is>
          <t>plomo</t>
        </is>
      </c>
      <c r="B259" s="9" t="inlineStr">
        <is>
          <t>metal base</t>
        </is>
      </c>
      <c r="C259" s="9" t="n">
        <v>2009</v>
      </c>
      <c r="D259" s="9" t="inlineStr">
        <is>
          <t>2607</t>
        </is>
      </c>
      <c r="E259" s="9" t="n">
        <v>160425797</v>
      </c>
      <c r="F259" s="9" t="n">
        <v>86872.079</v>
      </c>
      <c r="G259" s="9" t="n">
        <v>1846.69</v>
      </c>
      <c r="H259" s="9" t="n">
        <v>1920</v>
      </c>
      <c r="I259" s="9" t="n">
        <v>0.9618</v>
      </c>
      <c r="J259" s="9" t="inlineStr">
        <is>
          <t>propio</t>
        </is>
      </c>
      <c r="K259" s="8" t="n"/>
      <c r="L259" s="11">
        <f>IF(F259=0,"",E259/F259)</f>
        <v/>
      </c>
      <c r="M259" s="11">
        <f>IF(ISNUMBER(L259),ROUND(L259-G259,4),"")</f>
        <v/>
      </c>
      <c r="N259" s="11">
        <f>IF(H259=0,"",G259/H259)</f>
        <v/>
      </c>
      <c r="O259" s="11">
        <f>IF(ISNUMBER(N259),ROUND(N259-I259,4),"")</f>
        <v/>
      </c>
    </row>
    <row r="260">
      <c r="A260" s="6" t="inlineStr">
        <is>
          <t>plomo</t>
        </is>
      </c>
      <c r="B260" s="6" t="inlineStr">
        <is>
          <t>metal base</t>
        </is>
      </c>
      <c r="C260" s="6" t="n">
        <v>2010</v>
      </c>
      <c r="D260" s="6" t="inlineStr">
        <is>
          <t>2607</t>
        </is>
      </c>
      <c r="E260" s="6" t="n">
        <v>252462298</v>
      </c>
      <c r="F260" s="6" t="n">
        <v>99048.06200000001</v>
      </c>
      <c r="G260" s="6" t="n">
        <v>2548.89</v>
      </c>
      <c r="H260" s="6" t="n">
        <v>2400</v>
      </c>
      <c r="I260" s="6" t="n">
        <v>1.062</v>
      </c>
      <c r="J260" s="6" t="inlineStr">
        <is>
          <t>propio</t>
        </is>
      </c>
      <c r="K260" s="5" t="n"/>
      <c r="L260" s="11">
        <f>IF(F260=0,"",E260/F260)</f>
        <v/>
      </c>
      <c r="M260" s="11">
        <f>IF(ISNUMBER(L260),ROUND(L260-G260,4),"")</f>
        <v/>
      </c>
      <c r="N260" s="11">
        <f>IF(H260=0,"",G260/H260)</f>
        <v/>
      </c>
      <c r="O260" s="11">
        <f>IF(ISNUMBER(N260),ROUND(N260-I260,4),"")</f>
        <v/>
      </c>
    </row>
    <row r="261">
      <c r="A261" s="9" t="inlineStr">
        <is>
          <t>plomo</t>
        </is>
      </c>
      <c r="B261" s="9" t="inlineStr">
        <is>
          <t>metal base</t>
        </is>
      </c>
      <c r="C261" s="9" t="n">
        <v>2011</v>
      </c>
      <c r="D261" s="9" t="inlineStr">
        <is>
          <t>2607</t>
        </is>
      </c>
      <c r="E261" s="9" t="n">
        <v>927940559</v>
      </c>
      <c r="F261" s="9" t="n">
        <v>156917.645</v>
      </c>
      <c r="G261" s="9" t="n">
        <v>5913.55</v>
      </c>
      <c r="H261" s="9" t="n">
        <v>2690</v>
      </c>
      <c r="I261" s="9" t="n">
        <v>2.1983</v>
      </c>
      <c r="J261" s="9" t="inlineStr">
        <is>
          <t>propio</t>
        </is>
      </c>
      <c r="K261" s="8" t="n"/>
      <c r="L261" s="11">
        <f>IF(F261=0,"",E261/F261)</f>
        <v/>
      </c>
      <c r="M261" s="11">
        <f>IF(ISNUMBER(L261),ROUND(L261-G261,4),"")</f>
        <v/>
      </c>
      <c r="N261" s="11">
        <f>IF(H261=0,"",G261/H261)</f>
        <v/>
      </c>
      <c r="O261" s="11">
        <f>IF(ISNUMBER(N261),ROUND(N261-I261,4),"")</f>
        <v/>
      </c>
    </row>
    <row r="262">
      <c r="A262" s="6" t="inlineStr">
        <is>
          <t>plomo</t>
        </is>
      </c>
      <c r="B262" s="6" t="inlineStr">
        <is>
          <t>metal base</t>
        </is>
      </c>
      <c r="C262" s="6" t="n">
        <v>2012</v>
      </c>
      <c r="D262" s="6" t="inlineStr">
        <is>
          <t>2607</t>
        </is>
      </c>
      <c r="E262" s="6" t="n">
        <v>1556786147</v>
      </c>
      <c r="F262" s="6" t="n">
        <v>275233.534</v>
      </c>
      <c r="G262" s="6" t="n">
        <v>5656.24</v>
      </c>
      <c r="H262" s="6" t="n">
        <v>2520</v>
      </c>
      <c r="I262" s="6" t="n">
        <v>2.2445</v>
      </c>
      <c r="J262" s="6" t="inlineStr">
        <is>
          <t>propio</t>
        </is>
      </c>
      <c r="K262" s="5" t="n"/>
      <c r="L262" s="11">
        <f>IF(F262=0,"",E262/F262)</f>
        <v/>
      </c>
      <c r="M262" s="11">
        <f>IF(ISNUMBER(L262),ROUND(L262-G262,4),"")</f>
        <v/>
      </c>
      <c r="N262" s="11">
        <f>IF(H262=0,"",G262/H262)</f>
        <v/>
      </c>
      <c r="O262" s="11">
        <f>IF(ISNUMBER(N262),ROUND(N262-I262,4),"")</f>
        <v/>
      </c>
    </row>
    <row r="263">
      <c r="A263" s="9" t="inlineStr">
        <is>
          <t>plomo</t>
        </is>
      </c>
      <c r="B263" s="9" t="inlineStr">
        <is>
          <t>metal base</t>
        </is>
      </c>
      <c r="C263" s="9" t="n">
        <v>2013</v>
      </c>
      <c r="D263" s="9" t="inlineStr">
        <is>
          <t>2607</t>
        </is>
      </c>
      <c r="E263" s="9" t="n">
        <v>1119233415</v>
      </c>
      <c r="F263" s="9" t="n">
        <v>251180.178</v>
      </c>
      <c r="G263" s="9" t="n">
        <v>4455.9</v>
      </c>
      <c r="H263" s="9" t="n">
        <v>2420</v>
      </c>
      <c r="I263" s="9" t="n">
        <v>1.8413</v>
      </c>
      <c r="J263" s="9" t="inlineStr">
        <is>
          <t>propio</t>
        </is>
      </c>
      <c r="K263" s="8" t="n"/>
      <c r="L263" s="11">
        <f>IF(F263=0,"",E263/F263)</f>
        <v/>
      </c>
      <c r="M263" s="11">
        <f>IF(ISNUMBER(L263),ROUND(L263-G263,4),"")</f>
        <v/>
      </c>
      <c r="N263" s="11">
        <f>IF(H263=0,"",G263/H263)</f>
        <v/>
      </c>
      <c r="O263" s="11">
        <f>IF(ISNUMBER(N263),ROUND(N263-I263,4),"")</f>
        <v/>
      </c>
    </row>
    <row r="264">
      <c r="A264" s="6" t="inlineStr">
        <is>
          <t>plomo</t>
        </is>
      </c>
      <c r="B264" s="6" t="inlineStr">
        <is>
          <t>metal base</t>
        </is>
      </c>
      <c r="C264" s="6" t="n">
        <v>2014</v>
      </c>
      <c r="D264" s="6" t="inlineStr">
        <is>
          <t>2607</t>
        </is>
      </c>
      <c r="E264" s="6" t="n">
        <v>1162916141</v>
      </c>
      <c r="F264" s="6" t="n">
        <v>268577.721</v>
      </c>
      <c r="G264" s="6" t="n">
        <v>4329.91</v>
      </c>
      <c r="H264" s="6" t="n">
        <v>2340</v>
      </c>
      <c r="I264" s="6" t="n">
        <v>1.8504</v>
      </c>
      <c r="J264" s="6" t="inlineStr">
        <is>
          <t>propio</t>
        </is>
      </c>
      <c r="K264" s="5" t="n"/>
      <c r="L264" s="11">
        <f>IF(F264=0,"",E264/F264)</f>
        <v/>
      </c>
      <c r="M264" s="11">
        <f>IF(ISNUMBER(L264),ROUND(L264-G264,4),"")</f>
        <v/>
      </c>
      <c r="N264" s="11">
        <f>IF(H264=0,"",G264/H264)</f>
        <v/>
      </c>
      <c r="O264" s="11">
        <f>IF(ISNUMBER(N264),ROUND(N264-I264,4),"")</f>
        <v/>
      </c>
    </row>
    <row r="265">
      <c r="A265" s="9" t="inlineStr">
        <is>
          <t>plomo</t>
        </is>
      </c>
      <c r="B265" s="9" t="inlineStr">
        <is>
          <t>metal base</t>
        </is>
      </c>
      <c r="C265" s="9" t="n">
        <v>2015</v>
      </c>
      <c r="D265" s="9" t="inlineStr">
        <is>
          <t>2607</t>
        </is>
      </c>
      <c r="E265" s="9" t="n">
        <v>1586559480.84</v>
      </c>
      <c r="F265" s="9" t="n">
        <v>315906.224</v>
      </c>
      <c r="G265" s="9" t="n">
        <v>5022.25</v>
      </c>
      <c r="H265" s="9" t="n">
        <v>2010</v>
      </c>
      <c r="I265" s="9" t="n">
        <v>2.4986</v>
      </c>
      <c r="J265" s="9" t="inlineStr">
        <is>
          <t>espejo</t>
        </is>
      </c>
      <c r="K265" s="8" t="inlineStr">
        <is>
          <t>numerador por ESPEJO (importaciones de socios desde Mexico; CIF, posible sesgo al alza)</t>
        </is>
      </c>
      <c r="L265" s="11">
        <f>IF(F265=0,"",E265/F265)</f>
        <v/>
      </c>
      <c r="M265" s="11">
        <f>IF(ISNUMBER(L265),ROUND(L265-G265,4),"")</f>
        <v/>
      </c>
      <c r="N265" s="11">
        <f>IF(H265=0,"",G265/H265)</f>
        <v/>
      </c>
      <c r="O265" s="11">
        <f>IF(ISNUMBER(N265),ROUND(N265-I265,4),"")</f>
        <v/>
      </c>
    </row>
    <row r="266">
      <c r="A266" s="6" t="inlineStr">
        <is>
          <t>plomo</t>
        </is>
      </c>
      <c r="B266" s="6" t="inlineStr">
        <is>
          <t>metal base</t>
        </is>
      </c>
      <c r="C266" s="6" t="n">
        <v>2016</v>
      </c>
      <c r="D266" s="6" t="inlineStr">
        <is>
          <t>2607</t>
        </is>
      </c>
      <c r="E266" s="6" t="n">
        <v>780501188</v>
      </c>
      <c r="F266" s="6" t="n">
        <v>522686.972</v>
      </c>
      <c r="G266" s="6" t="n">
        <v>1493.25</v>
      </c>
      <c r="H266" s="6" t="n">
        <v>2080</v>
      </c>
      <c r="I266" s="6" t="n">
        <v>0.7179</v>
      </c>
      <c r="J266" s="6" t="inlineStr">
        <is>
          <t>propio</t>
        </is>
      </c>
      <c r="K266" s="5" t="n"/>
      <c r="L266" s="11">
        <f>IF(F266=0,"",E266/F266)</f>
        <v/>
      </c>
      <c r="M266" s="11">
        <f>IF(ISNUMBER(L266),ROUND(L266-G266,4),"")</f>
        <v/>
      </c>
      <c r="N266" s="11">
        <f>IF(H266=0,"",G266/H266)</f>
        <v/>
      </c>
      <c r="O266" s="11">
        <f>IF(ISNUMBER(N266),ROUND(N266-I266,4),"")</f>
        <v/>
      </c>
    </row>
    <row r="267">
      <c r="A267" s="9" t="inlineStr">
        <is>
          <t>plomo</t>
        </is>
      </c>
      <c r="B267" s="9" t="inlineStr">
        <is>
          <t>metal base</t>
        </is>
      </c>
      <c r="C267" s="9" t="n">
        <v>2017</v>
      </c>
      <c r="D267" s="9" t="inlineStr">
        <is>
          <t>2607</t>
        </is>
      </c>
      <c r="E267" s="9" t="n">
        <v>978705634</v>
      </c>
      <c r="F267" s="9" t="n">
        <v>660390.688</v>
      </c>
      <c r="G267" s="9" t="n">
        <v>1482.01</v>
      </c>
      <c r="H267" s="9" t="n">
        <v>2520</v>
      </c>
      <c r="I267" s="9" t="n">
        <v>0.5881</v>
      </c>
      <c r="J267" s="9" t="inlineStr">
        <is>
          <t>propio</t>
        </is>
      </c>
      <c r="K267" s="8" t="n"/>
      <c r="L267" s="11">
        <f>IF(F267=0,"",E267/F267)</f>
        <v/>
      </c>
      <c r="M267" s="11">
        <f>IF(ISNUMBER(L267),ROUND(L267-G267,4),"")</f>
        <v/>
      </c>
      <c r="N267" s="11">
        <f>IF(H267=0,"",G267/H267)</f>
        <v/>
      </c>
      <c r="O267" s="11">
        <f>IF(ISNUMBER(N267),ROUND(N267-I267,4),"")</f>
        <v/>
      </c>
    </row>
    <row r="268">
      <c r="A268" s="6" t="inlineStr">
        <is>
          <t>plomo</t>
        </is>
      </c>
      <c r="B268" s="6" t="inlineStr">
        <is>
          <t>metal base</t>
        </is>
      </c>
      <c r="C268" s="6" t="n">
        <v>2018</v>
      </c>
      <c r="D268" s="6" t="inlineStr">
        <is>
          <t>2607</t>
        </is>
      </c>
      <c r="E268" s="6" t="n">
        <v>770645599</v>
      </c>
      <c r="F268" s="6" t="n">
        <v>557479.419</v>
      </c>
      <c r="G268" s="6" t="n">
        <v>1382.37</v>
      </c>
      <c r="H268" s="6" t="n">
        <v>2450</v>
      </c>
      <c r="I268" s="6" t="n">
        <v>0.5642</v>
      </c>
      <c r="J268" s="6" t="inlineStr">
        <is>
          <t>propio</t>
        </is>
      </c>
      <c r="K268" s="5" t="n"/>
      <c r="L268" s="11">
        <f>IF(F268=0,"",E268/F268)</f>
        <v/>
      </c>
      <c r="M268" s="11">
        <f>IF(ISNUMBER(L268),ROUND(L268-G268,4),"")</f>
        <v/>
      </c>
      <c r="N268" s="11">
        <f>IF(H268=0,"",G268/H268)</f>
        <v/>
      </c>
      <c r="O268" s="11">
        <f>IF(ISNUMBER(N268),ROUND(N268-I268,4),"")</f>
        <v/>
      </c>
    </row>
    <row r="269">
      <c r="A269" s="9" t="inlineStr">
        <is>
          <t>plomo</t>
        </is>
      </c>
      <c r="B269" s="9" t="inlineStr">
        <is>
          <t>metal base</t>
        </is>
      </c>
      <c r="C269" s="9" t="n">
        <v>2019</v>
      </c>
      <c r="D269" s="9" t="inlineStr">
        <is>
          <t>2607</t>
        </is>
      </c>
      <c r="E269" s="9" t="n">
        <v>739121732</v>
      </c>
      <c r="F269" s="9" t="n">
        <v>521287.529</v>
      </c>
      <c r="G269" s="9" t="n">
        <v>1417.88</v>
      </c>
      <c r="H269" s="9" t="n">
        <v>2200</v>
      </c>
      <c r="I269" s="9" t="n">
        <v>0.6445</v>
      </c>
      <c r="J269" s="9" t="inlineStr">
        <is>
          <t>propio</t>
        </is>
      </c>
      <c r="K269" s="8" t="n"/>
      <c r="L269" s="11">
        <f>IF(F269=0,"",E269/F269)</f>
        <v/>
      </c>
      <c r="M269" s="11">
        <f>IF(ISNUMBER(L269),ROUND(L269-G269,4),"")</f>
        <v/>
      </c>
      <c r="N269" s="11">
        <f>IF(H269=0,"",G269/H269)</f>
        <v/>
      </c>
      <c r="O269" s="11">
        <f>IF(ISNUMBER(N269),ROUND(N269-I269,4),"")</f>
        <v/>
      </c>
    </row>
    <row r="270">
      <c r="A270" s="6" t="inlineStr">
        <is>
          <t>plomo</t>
        </is>
      </c>
      <c r="B270" s="6" t="inlineStr">
        <is>
          <t>metal base</t>
        </is>
      </c>
      <c r="C270" s="6" t="n">
        <v>2020</v>
      </c>
      <c r="D270" s="6" t="inlineStr">
        <is>
          <t>2607</t>
        </is>
      </c>
      <c r="E270" s="6" t="n">
        <v>1482644734</v>
      </c>
      <c r="F270" s="6" t="n">
        <v>1012995.882</v>
      </c>
      <c r="G270" s="6" t="n">
        <v>1463.62</v>
      </c>
      <c r="H270" s="6" t="n">
        <v>2010</v>
      </c>
      <c r="I270" s="6" t="n">
        <v>0.7282</v>
      </c>
      <c r="J270" s="6" t="inlineStr">
        <is>
          <t>propio</t>
        </is>
      </c>
      <c r="K270" s="5" t="n"/>
      <c r="L270" s="11">
        <f>IF(F270=0,"",E270/F270)</f>
        <v/>
      </c>
      <c r="M270" s="11">
        <f>IF(ISNUMBER(L270),ROUND(L270-G270,4),"")</f>
        <v/>
      </c>
      <c r="N270" s="11">
        <f>IF(H270=0,"",G270/H270)</f>
        <v/>
      </c>
      <c r="O270" s="11">
        <f>IF(ISNUMBER(N270),ROUND(N270-I270,4),"")</f>
        <v/>
      </c>
    </row>
    <row r="271">
      <c r="A271" s="9" t="inlineStr">
        <is>
          <t>plomo</t>
        </is>
      </c>
      <c r="B271" s="9" t="inlineStr">
        <is>
          <t>metal base</t>
        </is>
      </c>
      <c r="C271" s="9" t="n">
        <v>2021</v>
      </c>
      <c r="D271" s="9" t="inlineStr">
        <is>
          <t>2607</t>
        </is>
      </c>
      <c r="E271" s="9" t="n">
        <v>833273184</v>
      </c>
      <c r="F271" s="9" t="n">
        <v>218428.91</v>
      </c>
      <c r="G271" s="9" t="n">
        <v>3814.85</v>
      </c>
      <c r="H271" s="9" t="n">
        <v>2490</v>
      </c>
      <c r="I271" s="9" t="n">
        <v>1.5321</v>
      </c>
      <c r="J271" s="9" t="inlineStr">
        <is>
          <t>propio</t>
        </is>
      </c>
      <c r="K271" s="8" t="n"/>
      <c r="L271" s="11">
        <f>IF(F271=0,"",E271/F271)</f>
        <v/>
      </c>
      <c r="M271" s="11">
        <f>IF(ISNUMBER(L271),ROUND(L271-G271,4),"")</f>
        <v/>
      </c>
      <c r="N271" s="11">
        <f>IF(H271=0,"",G271/H271)</f>
        <v/>
      </c>
      <c r="O271" s="11">
        <f>IF(ISNUMBER(N271),ROUND(N271-I271,4),"")</f>
        <v/>
      </c>
    </row>
    <row r="272">
      <c r="A272" s="6" t="inlineStr">
        <is>
          <t>plomo</t>
        </is>
      </c>
      <c r="B272" s="6" t="inlineStr">
        <is>
          <t>metal base</t>
        </is>
      </c>
      <c r="C272" s="6" t="n">
        <v>2022</v>
      </c>
      <c r="D272" s="6" t="inlineStr">
        <is>
          <t>2607</t>
        </is>
      </c>
      <c r="E272" s="6" t="n">
        <v>746165144</v>
      </c>
      <c r="F272" s="6" t="n">
        <v>201267.618</v>
      </c>
      <c r="G272" s="6" t="n">
        <v>3707.33</v>
      </c>
      <c r="H272" s="6" t="n">
        <v>2431.91</v>
      </c>
      <c r="I272" s="6" t="n">
        <v>1.5245</v>
      </c>
      <c r="J272" s="6" t="inlineStr">
        <is>
          <t>propio</t>
        </is>
      </c>
      <c r="K272" s="5" t="n"/>
      <c r="L272" s="11">
        <f>IF(F272=0,"",E272/F272)</f>
        <v/>
      </c>
      <c r="M272" s="11">
        <f>IF(ISNUMBER(L272),ROUND(L272-G272,4),"")</f>
        <v/>
      </c>
      <c r="N272" s="11">
        <f>IF(H272=0,"",G272/H272)</f>
        <v/>
      </c>
      <c r="O272" s="11">
        <f>IF(ISNUMBER(N272),ROUND(N272-I272,4),"")</f>
        <v/>
      </c>
    </row>
    <row r="273">
      <c r="A273" s="9" t="inlineStr">
        <is>
          <t>plomo</t>
        </is>
      </c>
      <c r="B273" s="9" t="inlineStr">
        <is>
          <t>metal base</t>
        </is>
      </c>
      <c r="C273" s="9" t="n">
        <v>2023</v>
      </c>
      <c r="D273" s="9" t="inlineStr">
        <is>
          <t>2607</t>
        </is>
      </c>
      <c r="E273" s="9" t="n">
        <v>836925906</v>
      </c>
      <c r="F273" s="9" t="n">
        <v>202892.3</v>
      </c>
      <c r="G273" s="9" t="n">
        <v>4124.98</v>
      </c>
      <c r="H273" s="9" t="n">
        <v>2413.67</v>
      </c>
      <c r="I273" s="9" t="n">
        <v>1.709</v>
      </c>
      <c r="J273" s="9" t="inlineStr">
        <is>
          <t>propio</t>
        </is>
      </c>
      <c r="K273" s="8" t="n"/>
      <c r="L273" s="11">
        <f>IF(F273=0,"",E273/F273)</f>
        <v/>
      </c>
      <c r="M273" s="11">
        <f>IF(ISNUMBER(L273),ROUND(L273-G273,4),"")</f>
        <v/>
      </c>
      <c r="N273" s="11">
        <f>IF(H273=0,"",G273/H273)</f>
        <v/>
      </c>
      <c r="O273" s="11">
        <f>IF(ISNUMBER(N273),ROUND(N273-I273,4),"")</f>
        <v/>
      </c>
    </row>
    <row r="274">
      <c r="A274" s="6" t="inlineStr">
        <is>
          <t>plomo</t>
        </is>
      </c>
      <c r="B274" s="6" t="inlineStr">
        <is>
          <t>metal base</t>
        </is>
      </c>
      <c r="C274" s="6" t="n">
        <v>2024</v>
      </c>
      <c r="D274" s="6" t="inlineStr">
        <is>
          <t>2607</t>
        </is>
      </c>
      <c r="E274" s="6" t="n">
        <v>1092152844</v>
      </c>
      <c r="F274" s="6" t="n">
        <v>184245.1</v>
      </c>
      <c r="G274" s="6" t="n">
        <v>5927.72</v>
      </c>
      <c r="H274" s="6" t="n">
        <v>2340.62</v>
      </c>
      <c r="I274" s="6" t="n">
        <v>2.5325</v>
      </c>
      <c r="J274" s="6" t="inlineStr">
        <is>
          <t>propio</t>
        </is>
      </c>
      <c r="K274" s="5" t="n"/>
      <c r="L274" s="11">
        <f>IF(F274=0,"",E274/F274)</f>
        <v/>
      </c>
      <c r="M274" s="11">
        <f>IF(ISNUMBER(L274),ROUND(L274-G274,4),"")</f>
        <v/>
      </c>
      <c r="N274" s="11">
        <f>IF(H274=0,"",G274/H274)</f>
        <v/>
      </c>
      <c r="O274" s="11">
        <f>IF(ISNUMBER(N274),ROUND(N274-I274,4),"")</f>
        <v/>
      </c>
    </row>
    <row r="275">
      <c r="A275" s="9" t="inlineStr">
        <is>
          <t>plomo</t>
        </is>
      </c>
      <c r="B275" s="9" t="inlineStr">
        <is>
          <t>metal base</t>
        </is>
      </c>
      <c r="C275" s="9" t="n">
        <v>2025</v>
      </c>
      <c r="D275" s="9" t="inlineStr">
        <is>
          <t>2607</t>
        </is>
      </c>
      <c r="E275" s="9" t="n">
        <v>1188951800</v>
      </c>
      <c r="F275" s="9" t="n">
        <v>193801.026</v>
      </c>
      <c r="G275" s="9" t="n">
        <v>6134.91</v>
      </c>
      <c r="H275" s="9" t="n">
        <v>2280.38</v>
      </c>
      <c r="I275" s="9" t="n">
        <v>2.6903</v>
      </c>
      <c r="J275" s="9" t="inlineStr">
        <is>
          <t>propio</t>
        </is>
      </c>
      <c r="K275" s="8" t="n"/>
      <c r="L275" s="11">
        <f>IF(F275=0,"",E275/F275)</f>
        <v/>
      </c>
      <c r="M275" s="11">
        <f>IF(ISNUMBER(L275),ROUND(L275-G275,4),"")</f>
        <v/>
      </c>
      <c r="N275" s="11">
        <f>IF(H275=0,"",G275/H275)</f>
        <v/>
      </c>
      <c r="O275" s="11">
        <f>IF(ISNUMBER(N275),ROUND(N275-I275,4),"")</f>
        <v/>
      </c>
    </row>
    <row r="276">
      <c r="A276" s="6" t="inlineStr">
        <is>
          <t>silice</t>
        </is>
      </c>
      <c r="B276" s="6" t="inlineStr">
        <is>
          <t>no metalico/industrial</t>
        </is>
      </c>
      <c r="C276" s="6" t="n">
        <v>1992</v>
      </c>
      <c r="D276" s="6" t="inlineStr">
        <is>
          <t>250510;250610</t>
        </is>
      </c>
      <c r="E276" s="6" t="n">
        <v>624000</v>
      </c>
      <c r="F276" s="6" t="n">
        <v>21232.248</v>
      </c>
      <c r="G276" s="6" t="n">
        <v>29.39</v>
      </c>
      <c r="H276" s="6" t="n">
        <v>14</v>
      </c>
      <c r="I276" s="6" t="n">
        <v>2.0992</v>
      </c>
      <c r="J276" s="6" t="inlineStr">
        <is>
          <t>propio</t>
        </is>
      </c>
      <c r="K276" s="5" t="n"/>
      <c r="L276" s="11">
        <f>IF(F276=0,"",E276/F276)</f>
        <v/>
      </c>
      <c r="M276" s="11">
        <f>IF(ISNUMBER(L276),ROUND(L276-G276,4),"")</f>
        <v/>
      </c>
      <c r="N276" s="11">
        <f>IF(H276=0,"",G276/H276)</f>
        <v/>
      </c>
      <c r="O276" s="11">
        <f>IF(ISNUMBER(N276),ROUND(N276-I276,4),"")</f>
        <v/>
      </c>
    </row>
    <row r="277">
      <c r="A277" s="9" t="inlineStr">
        <is>
          <t>silice</t>
        </is>
      </c>
      <c r="B277" s="9" t="inlineStr">
        <is>
          <t>no metalico/industrial</t>
        </is>
      </c>
      <c r="C277" s="9" t="n">
        <v>1993</v>
      </c>
      <c r="D277" s="9" t="inlineStr">
        <is>
          <t>250510;250610</t>
        </is>
      </c>
      <c r="E277" s="9" t="n">
        <v>957000</v>
      </c>
      <c r="F277" s="9" t="n">
        <v>32178.322</v>
      </c>
      <c r="G277" s="9" t="n">
        <v>29.74</v>
      </c>
      <c r="H277" s="9" t="n">
        <v>14.1</v>
      </c>
      <c r="I277" s="9" t="n">
        <v>2.1093</v>
      </c>
      <c r="J277" s="9" t="inlineStr">
        <is>
          <t>propio</t>
        </is>
      </c>
      <c r="K277" s="8" t="n"/>
      <c r="L277" s="11">
        <f>IF(F277=0,"",E277/F277)</f>
        <v/>
      </c>
      <c r="M277" s="11">
        <f>IF(ISNUMBER(L277),ROUND(L277-G277,4),"")</f>
        <v/>
      </c>
      <c r="N277" s="11">
        <f>IF(H277=0,"",G277/H277)</f>
        <v/>
      </c>
      <c r="O277" s="11">
        <f>IF(ISNUMBER(N277),ROUND(N277-I277,4),"")</f>
        <v/>
      </c>
    </row>
    <row r="278">
      <c r="A278" s="6" t="inlineStr">
        <is>
          <t>silice</t>
        </is>
      </c>
      <c r="B278" s="6" t="inlineStr">
        <is>
          <t>no metalico/industrial</t>
        </is>
      </c>
      <c r="C278" s="6" t="n">
        <v>1994</v>
      </c>
      <c r="D278" s="6" t="inlineStr">
        <is>
          <t>250510;250610</t>
        </is>
      </c>
      <c r="E278" s="6" t="n">
        <v>382913</v>
      </c>
      <c r="F278" s="6" t="n">
        <v>15855.593</v>
      </c>
      <c r="G278" s="6" t="n">
        <v>24.15</v>
      </c>
      <c r="H278" s="6" t="n">
        <v>13.8</v>
      </c>
      <c r="I278" s="6" t="n">
        <v>1.75</v>
      </c>
      <c r="J278" s="6" t="inlineStr">
        <is>
          <t>propio</t>
        </is>
      </c>
      <c r="K278" s="5" t="n"/>
      <c r="L278" s="11">
        <f>IF(F278=0,"",E278/F278)</f>
        <v/>
      </c>
      <c r="M278" s="11">
        <f>IF(ISNUMBER(L278),ROUND(L278-G278,4),"")</f>
        <v/>
      </c>
      <c r="N278" s="11">
        <f>IF(H278=0,"",G278/H278)</f>
        <v/>
      </c>
      <c r="O278" s="11">
        <f>IF(ISNUMBER(N278),ROUND(N278-I278,4),"")</f>
        <v/>
      </c>
    </row>
    <row r="279">
      <c r="A279" s="9" t="inlineStr">
        <is>
          <t>silice</t>
        </is>
      </c>
      <c r="B279" s="9" t="inlineStr">
        <is>
          <t>no metalico/industrial</t>
        </is>
      </c>
      <c r="C279" s="9" t="n">
        <v>1995</v>
      </c>
      <c r="D279" s="9" t="inlineStr">
        <is>
          <t>250510;250610</t>
        </is>
      </c>
      <c r="E279" s="9" t="n">
        <v>266000</v>
      </c>
      <c r="F279" s="9" t="n">
        <v>2962.123</v>
      </c>
      <c r="G279" s="9" t="n">
        <v>89.8</v>
      </c>
      <c r="H279" s="9" t="n">
        <v>13.9</v>
      </c>
      <c r="I279" s="9" t="n">
        <v>6.4605</v>
      </c>
      <c r="J279" s="9" t="inlineStr">
        <is>
          <t>propio</t>
        </is>
      </c>
      <c r="K279" s="8" t="n"/>
      <c r="L279" s="11">
        <f>IF(F279=0,"",E279/F279)</f>
        <v/>
      </c>
      <c r="M279" s="11">
        <f>IF(ISNUMBER(L279),ROUND(L279-G279,4),"")</f>
        <v/>
      </c>
      <c r="N279" s="11">
        <f>IF(H279=0,"",G279/H279)</f>
        <v/>
      </c>
      <c r="O279" s="11">
        <f>IF(ISNUMBER(N279),ROUND(N279-I279,4),"")</f>
        <v/>
      </c>
    </row>
    <row r="280">
      <c r="A280" s="6" t="inlineStr">
        <is>
          <t>silice</t>
        </is>
      </c>
      <c r="B280" s="6" t="inlineStr">
        <is>
          <t>no metalico/industrial</t>
        </is>
      </c>
      <c r="C280" s="6" t="n">
        <v>1996</v>
      </c>
      <c r="D280" s="6" t="inlineStr">
        <is>
          <t>250510;250610</t>
        </is>
      </c>
      <c r="E280" s="6" t="n">
        <v>241041</v>
      </c>
      <c r="F280" s="6" t="n">
        <v>7754.188</v>
      </c>
      <c r="G280" s="6" t="n">
        <v>31.09</v>
      </c>
      <c r="H280" s="6" t="n">
        <v>13.3</v>
      </c>
      <c r="I280" s="6" t="n">
        <v>2.3372</v>
      </c>
      <c r="J280" s="6" t="inlineStr">
        <is>
          <t>propio</t>
        </is>
      </c>
      <c r="K280" s="5" t="n"/>
      <c r="L280" s="11">
        <f>IF(F280=0,"",E280/F280)</f>
        <v/>
      </c>
      <c r="M280" s="11">
        <f>IF(ISNUMBER(L280),ROUND(L280-G280,4),"")</f>
        <v/>
      </c>
      <c r="N280" s="11">
        <f>IF(H280=0,"",G280/H280)</f>
        <v/>
      </c>
      <c r="O280" s="11">
        <f>IF(ISNUMBER(N280),ROUND(N280-I280,4),"")</f>
        <v/>
      </c>
    </row>
    <row r="281">
      <c r="A281" s="9" t="inlineStr">
        <is>
          <t>silice</t>
        </is>
      </c>
      <c r="B281" s="9" t="inlineStr">
        <is>
          <t>no metalico/industrial</t>
        </is>
      </c>
      <c r="C281" s="9" t="n">
        <v>1997</v>
      </c>
      <c r="D281" s="9" t="inlineStr">
        <is>
          <t>250510;250610</t>
        </is>
      </c>
      <c r="E281" s="9" t="n">
        <v>271128</v>
      </c>
      <c r="F281" s="9" t="n">
        <v>19988.949</v>
      </c>
      <c r="G281" s="9" t="n">
        <v>13.56</v>
      </c>
      <c r="H281" s="9" t="n">
        <v>12.4</v>
      </c>
      <c r="I281" s="9" t="n">
        <v>1.0939</v>
      </c>
      <c r="J281" s="9" t="inlineStr">
        <is>
          <t>propio</t>
        </is>
      </c>
      <c r="K281" s="8" t="n"/>
      <c r="L281" s="11">
        <f>IF(F281=0,"",E281/F281)</f>
        <v/>
      </c>
      <c r="M281" s="11">
        <f>IF(ISNUMBER(L281),ROUND(L281-G281,4),"")</f>
        <v/>
      </c>
      <c r="N281" s="11">
        <f>IF(H281=0,"",G281/H281)</f>
        <v/>
      </c>
      <c r="O281" s="11">
        <f>IF(ISNUMBER(N281),ROUND(N281-I281,4),"")</f>
        <v/>
      </c>
    </row>
    <row r="282">
      <c r="A282" s="6" t="inlineStr">
        <is>
          <t>silice</t>
        </is>
      </c>
      <c r="B282" s="6" t="inlineStr">
        <is>
          <t>no metalico/industrial</t>
        </is>
      </c>
      <c r="C282" s="6" t="n">
        <v>1998</v>
      </c>
      <c r="D282" s="6" t="inlineStr">
        <is>
          <t>250510;250610</t>
        </is>
      </c>
      <c r="E282" s="6" t="n">
        <v>282720</v>
      </c>
      <c r="F282" s="6" t="n">
        <v>25788.266</v>
      </c>
      <c r="G282" s="6" t="n">
        <v>10.96</v>
      </c>
      <c r="H282" s="6" t="n">
        <v>14.2</v>
      </c>
      <c r="I282" s="6" t="n">
        <v>0.7721</v>
      </c>
      <c r="J282" s="6" t="inlineStr">
        <is>
          <t>propio</t>
        </is>
      </c>
      <c r="K282" s="5" t="n"/>
      <c r="L282" s="11">
        <f>IF(F282=0,"",E282/F282)</f>
        <v/>
      </c>
      <c r="M282" s="11">
        <f>IF(ISNUMBER(L282),ROUND(L282-G282,4),"")</f>
        <v/>
      </c>
      <c r="N282" s="11">
        <f>IF(H282=0,"",G282/H282)</f>
        <v/>
      </c>
      <c r="O282" s="11">
        <f>IF(ISNUMBER(N282),ROUND(N282-I282,4),"")</f>
        <v/>
      </c>
    </row>
    <row r="283">
      <c r="A283" s="9" t="inlineStr">
        <is>
          <t>silice</t>
        </is>
      </c>
      <c r="B283" s="9" t="inlineStr">
        <is>
          <t>no metalico/industrial</t>
        </is>
      </c>
      <c r="C283" s="9" t="n">
        <v>1999</v>
      </c>
      <c r="D283" s="9" t="inlineStr">
        <is>
          <t>250510;250610</t>
        </is>
      </c>
      <c r="E283" s="9" t="n">
        <v>895176</v>
      </c>
      <c r="F283" s="9" t="n">
        <v>102366.396</v>
      </c>
      <c r="G283" s="9" t="n">
        <v>8.74</v>
      </c>
      <c r="H283" s="9" t="n">
        <v>15</v>
      </c>
      <c r="I283" s="9" t="n">
        <v>0.583</v>
      </c>
      <c r="J283" s="9" t="inlineStr">
        <is>
          <t>propio</t>
        </is>
      </c>
      <c r="K283" s="8" t="n"/>
      <c r="L283" s="11">
        <f>IF(F283=0,"",E283/F283)</f>
        <v/>
      </c>
      <c r="M283" s="11">
        <f>IF(ISNUMBER(L283),ROUND(L283-G283,4),"")</f>
        <v/>
      </c>
      <c r="N283" s="11">
        <f>IF(H283=0,"",G283/H283)</f>
        <v/>
      </c>
      <c r="O283" s="11">
        <f>IF(ISNUMBER(N283),ROUND(N283-I283,4),"")</f>
        <v/>
      </c>
    </row>
    <row r="284">
      <c r="A284" s="6" t="inlineStr">
        <is>
          <t>silice</t>
        </is>
      </c>
      <c r="B284" s="6" t="inlineStr">
        <is>
          <t>no metalico/industrial</t>
        </is>
      </c>
      <c r="C284" s="6" t="n">
        <v>2000</v>
      </c>
      <c r="D284" s="6" t="inlineStr">
        <is>
          <t>250510;250610</t>
        </is>
      </c>
      <c r="E284" s="6" t="n">
        <v>641074</v>
      </c>
      <c r="F284" s="6" t="n">
        <v>15818.062</v>
      </c>
      <c r="G284" s="6" t="n">
        <v>40.53</v>
      </c>
      <c r="H284" s="6" t="n">
        <v>14.4</v>
      </c>
      <c r="I284" s="6" t="n">
        <v>2.8144</v>
      </c>
      <c r="J284" s="6" t="inlineStr">
        <is>
          <t>propio</t>
        </is>
      </c>
      <c r="K284" s="5" t="n"/>
      <c r="L284" s="11">
        <f>IF(F284=0,"",E284/F284)</f>
        <v/>
      </c>
      <c r="M284" s="11">
        <f>IF(ISNUMBER(L284),ROUND(L284-G284,4),"")</f>
        <v/>
      </c>
      <c r="N284" s="11">
        <f>IF(H284=0,"",G284/H284)</f>
        <v/>
      </c>
      <c r="O284" s="11">
        <f>IF(ISNUMBER(N284),ROUND(N284-I284,4),"")</f>
        <v/>
      </c>
    </row>
    <row r="285">
      <c r="A285" s="9" t="inlineStr">
        <is>
          <t>silice</t>
        </is>
      </c>
      <c r="B285" s="9" t="inlineStr">
        <is>
          <t>no metalico/industrial</t>
        </is>
      </c>
      <c r="C285" s="9" t="n">
        <v>2001</v>
      </c>
      <c r="D285" s="9" t="inlineStr">
        <is>
          <t>250510;250610</t>
        </is>
      </c>
      <c r="E285" s="9" t="n">
        <v>625211</v>
      </c>
      <c r="F285" s="9" t="n">
        <v>140158.675</v>
      </c>
      <c r="G285" s="9" t="n">
        <v>4.46</v>
      </c>
      <c r="H285" s="9" t="n">
        <v>16</v>
      </c>
      <c r="I285" s="9" t="n">
        <v>0.2788</v>
      </c>
      <c r="J285" s="9" t="inlineStr">
        <is>
          <t>propio</t>
        </is>
      </c>
      <c r="K285" s="8" t="n"/>
      <c r="L285" s="11">
        <f>IF(F285=0,"",E285/F285)</f>
        <v/>
      </c>
      <c r="M285" s="11">
        <f>IF(ISNUMBER(L285),ROUND(L285-G285,4),"")</f>
        <v/>
      </c>
      <c r="N285" s="11">
        <f>IF(H285=0,"",G285/H285)</f>
        <v/>
      </c>
      <c r="O285" s="11">
        <f>IF(ISNUMBER(N285),ROUND(N285-I285,4),"")</f>
        <v/>
      </c>
    </row>
    <row r="286">
      <c r="A286" s="6" t="inlineStr">
        <is>
          <t>silice</t>
        </is>
      </c>
      <c r="B286" s="6" t="inlineStr">
        <is>
          <t>no metalico/industrial</t>
        </is>
      </c>
      <c r="C286" s="6" t="n">
        <v>2002</v>
      </c>
      <c r="D286" s="6" t="inlineStr">
        <is>
          <t>250510;250610</t>
        </is>
      </c>
      <c r="E286" s="6" t="n">
        <v>339074</v>
      </c>
      <c r="F286" s="6" t="n">
        <v>53540.645</v>
      </c>
      <c r="G286" s="6" t="n">
        <v>6.33</v>
      </c>
      <c r="H286" s="6" t="n">
        <v>16.7</v>
      </c>
      <c r="I286" s="6" t="n">
        <v>0.3792</v>
      </c>
      <c r="J286" s="6" t="inlineStr">
        <is>
          <t>propio</t>
        </is>
      </c>
      <c r="K286" s="5" t="n"/>
      <c r="L286" s="11">
        <f>IF(F286=0,"",E286/F286)</f>
        <v/>
      </c>
      <c r="M286" s="11">
        <f>IF(ISNUMBER(L286),ROUND(L286-G286,4),"")</f>
        <v/>
      </c>
      <c r="N286" s="11">
        <f>IF(H286=0,"",G286/H286)</f>
        <v/>
      </c>
      <c r="O286" s="11">
        <f>IF(ISNUMBER(N286),ROUND(N286-I286,4),"")</f>
        <v/>
      </c>
    </row>
    <row r="287">
      <c r="A287" s="9" t="inlineStr">
        <is>
          <t>silice</t>
        </is>
      </c>
      <c r="B287" s="9" t="inlineStr">
        <is>
          <t>no metalico/industrial</t>
        </is>
      </c>
      <c r="C287" s="9" t="n">
        <v>2003</v>
      </c>
      <c r="D287" s="9" t="inlineStr">
        <is>
          <t>250510;250610</t>
        </is>
      </c>
      <c r="E287" s="9" t="n">
        <v>339166</v>
      </c>
      <c r="F287" s="9" t="n">
        <v>1288.897</v>
      </c>
      <c r="G287" s="9" t="n">
        <v>263.14</v>
      </c>
      <c r="H287" s="9" t="n">
        <v>18.3</v>
      </c>
      <c r="I287" s="9" t="n">
        <v>14.3795</v>
      </c>
      <c r="J287" s="9" t="inlineStr">
        <is>
          <t>propio</t>
        </is>
      </c>
      <c r="K287" s="8" t="n"/>
      <c r="L287" s="11">
        <f>IF(F287=0,"",E287/F287)</f>
        <v/>
      </c>
      <c r="M287" s="11">
        <f>IF(ISNUMBER(L287),ROUND(L287-G287,4),"")</f>
        <v/>
      </c>
      <c r="N287" s="11">
        <f>IF(H287=0,"",G287/H287)</f>
        <v/>
      </c>
      <c r="O287" s="11">
        <f>IF(ISNUMBER(N287),ROUND(N287-I287,4),"")</f>
        <v/>
      </c>
    </row>
    <row r="288">
      <c r="A288" s="6" t="inlineStr">
        <is>
          <t>silice</t>
        </is>
      </c>
      <c r="B288" s="6" t="inlineStr">
        <is>
          <t>no metalico/industrial</t>
        </is>
      </c>
      <c r="C288" s="6" t="n">
        <v>2004</v>
      </c>
      <c r="D288" s="6" t="inlineStr">
        <is>
          <t>250510;250610</t>
        </is>
      </c>
      <c r="E288" s="6" t="n">
        <v>1346939</v>
      </c>
      <c r="F288" s="6" t="n">
        <v>9704.571</v>
      </c>
      <c r="G288" s="6" t="n">
        <v>138.79</v>
      </c>
      <c r="H288" s="6" t="n">
        <v>23.1</v>
      </c>
      <c r="I288" s="6" t="n">
        <v>6.0084</v>
      </c>
      <c r="J288" s="6" t="inlineStr">
        <is>
          <t>propio</t>
        </is>
      </c>
      <c r="K288" s="5" t="n"/>
      <c r="L288" s="11">
        <f>IF(F288=0,"",E288/F288)</f>
        <v/>
      </c>
      <c r="M288" s="11">
        <f>IF(ISNUMBER(L288),ROUND(L288-G288,4),"")</f>
        <v/>
      </c>
      <c r="N288" s="11">
        <f>IF(H288=0,"",G288/H288)</f>
        <v/>
      </c>
      <c r="O288" s="11">
        <f>IF(ISNUMBER(N288),ROUND(N288-I288,4),"")</f>
        <v/>
      </c>
    </row>
    <row r="289">
      <c r="A289" s="9" t="inlineStr">
        <is>
          <t>silice</t>
        </is>
      </c>
      <c r="B289" s="9" t="inlineStr">
        <is>
          <t>no metalico/industrial</t>
        </is>
      </c>
      <c r="C289" s="9" t="n">
        <v>2005</v>
      </c>
      <c r="D289" s="9" t="inlineStr">
        <is>
          <t>250510;250610</t>
        </is>
      </c>
      <c r="E289" s="9" t="n">
        <v>1273196</v>
      </c>
      <c r="F289" s="9" t="n">
        <v>42496.201</v>
      </c>
      <c r="G289" s="9" t="n">
        <v>29.96</v>
      </c>
      <c r="H289" s="9" t="n">
        <v>24.6</v>
      </c>
      <c r="I289" s="9" t="n">
        <v>1.2179</v>
      </c>
      <c r="J289" s="9" t="inlineStr">
        <is>
          <t>propio</t>
        </is>
      </c>
      <c r="K289" s="8" t="n"/>
      <c r="L289" s="11">
        <f>IF(F289=0,"",E289/F289)</f>
        <v/>
      </c>
      <c r="M289" s="11">
        <f>IF(ISNUMBER(L289),ROUND(L289-G289,4),"")</f>
        <v/>
      </c>
      <c r="N289" s="11">
        <f>IF(H289=0,"",G289/H289)</f>
        <v/>
      </c>
      <c r="O289" s="11">
        <f>IF(ISNUMBER(N289),ROUND(N289-I289,4),"")</f>
        <v/>
      </c>
    </row>
    <row r="290">
      <c r="A290" s="6" t="inlineStr">
        <is>
          <t>silice</t>
        </is>
      </c>
      <c r="B290" s="6" t="inlineStr">
        <is>
          <t>no metalico/industrial</t>
        </is>
      </c>
      <c r="C290" s="6" t="n">
        <v>2006</v>
      </c>
      <c r="D290" s="6" t="inlineStr">
        <is>
          <t>250510;250610</t>
        </is>
      </c>
      <c r="E290" s="6" t="n">
        <v>7263670</v>
      </c>
      <c r="F290" s="6" t="n">
        <v>207897.795</v>
      </c>
      <c r="G290" s="6" t="n">
        <v>34.94</v>
      </c>
      <c r="H290" s="6" t="n">
        <v>26.3</v>
      </c>
      <c r="I290" s="6" t="n">
        <v>1.3285</v>
      </c>
      <c r="J290" s="6" t="inlineStr">
        <is>
          <t>propio</t>
        </is>
      </c>
      <c r="K290" s="5" t="n"/>
      <c r="L290" s="11">
        <f>IF(F290=0,"",E290/F290)</f>
        <v/>
      </c>
      <c r="M290" s="11">
        <f>IF(ISNUMBER(L290),ROUND(L290-G290,4),"")</f>
        <v/>
      </c>
      <c r="N290" s="11">
        <f>IF(H290=0,"",G290/H290)</f>
        <v/>
      </c>
      <c r="O290" s="11">
        <f>IF(ISNUMBER(N290),ROUND(N290-I290,4),"")</f>
        <v/>
      </c>
    </row>
    <row r="291">
      <c r="A291" s="9" t="inlineStr">
        <is>
          <t>silice</t>
        </is>
      </c>
      <c r="B291" s="9" t="inlineStr">
        <is>
          <t>no metalico/industrial</t>
        </is>
      </c>
      <c r="C291" s="9" t="n">
        <v>2007</v>
      </c>
      <c r="D291" s="9" t="inlineStr">
        <is>
          <t>250510;250610</t>
        </is>
      </c>
      <c r="E291" s="9" t="n">
        <v>1563805</v>
      </c>
      <c r="F291" s="9" t="n">
        <v>113565.094</v>
      </c>
      <c r="G291" s="9" t="n">
        <v>13.77</v>
      </c>
      <c r="H291" s="9" t="n">
        <v>27.6</v>
      </c>
      <c r="I291" s="9" t="n">
        <v>0.4989</v>
      </c>
      <c r="J291" s="9" t="inlineStr">
        <is>
          <t>propio</t>
        </is>
      </c>
      <c r="K291" s="8" t="n"/>
      <c r="L291" s="11">
        <f>IF(F291=0,"",E291/F291)</f>
        <v/>
      </c>
      <c r="M291" s="11">
        <f>IF(ISNUMBER(L291),ROUND(L291-G291,4),"")</f>
        <v/>
      </c>
      <c r="N291" s="11">
        <f>IF(H291=0,"",G291/H291)</f>
        <v/>
      </c>
      <c r="O291" s="11">
        <f>IF(ISNUMBER(N291),ROUND(N291-I291,4),"")</f>
        <v/>
      </c>
    </row>
    <row r="292">
      <c r="A292" s="6" t="inlineStr">
        <is>
          <t>silice</t>
        </is>
      </c>
      <c r="B292" s="6" t="inlineStr">
        <is>
          <t>no metalico/industrial</t>
        </is>
      </c>
      <c r="C292" s="6" t="n">
        <v>2008</v>
      </c>
      <c r="D292" s="6" t="inlineStr">
        <is>
          <t>250510;250610</t>
        </is>
      </c>
      <c r="E292" s="6" t="n">
        <v>1272115</v>
      </c>
      <c r="F292" s="6" t="n">
        <v>88191.443</v>
      </c>
      <c r="G292" s="6" t="n">
        <v>14.42</v>
      </c>
      <c r="H292" s="6" t="n">
        <v>30.8</v>
      </c>
      <c r="I292" s="6" t="n">
        <v>0.4683</v>
      </c>
      <c r="J292" s="6" t="inlineStr">
        <is>
          <t>propio</t>
        </is>
      </c>
      <c r="K292" s="5" t="n"/>
      <c r="L292" s="11">
        <f>IF(F292=0,"",E292/F292)</f>
        <v/>
      </c>
      <c r="M292" s="11">
        <f>IF(ISNUMBER(L292),ROUND(L292-G292,4),"")</f>
        <v/>
      </c>
      <c r="N292" s="11">
        <f>IF(H292=0,"",G292/H292)</f>
        <v/>
      </c>
      <c r="O292" s="11">
        <f>IF(ISNUMBER(N292),ROUND(N292-I292,4),"")</f>
        <v/>
      </c>
    </row>
    <row r="293">
      <c r="A293" s="9" t="inlineStr">
        <is>
          <t>silice</t>
        </is>
      </c>
      <c r="B293" s="9" t="inlineStr">
        <is>
          <t>no metalico/industrial</t>
        </is>
      </c>
      <c r="C293" s="9" t="n">
        <v>2009</v>
      </c>
      <c r="D293" s="9" t="inlineStr">
        <is>
          <t>250510;250610</t>
        </is>
      </c>
      <c r="E293" s="9" t="n">
        <v>1000043</v>
      </c>
      <c r="F293" s="9" t="n">
        <v>60072.617</v>
      </c>
      <c r="G293" s="9" t="n">
        <v>16.65</v>
      </c>
      <c r="H293" s="9" t="n">
        <v>34.3</v>
      </c>
      <c r="I293" s="9" t="n">
        <v>0.4853</v>
      </c>
      <c r="J293" s="9" t="inlineStr">
        <is>
          <t>propio</t>
        </is>
      </c>
      <c r="K293" s="8" t="n"/>
      <c r="L293" s="11">
        <f>IF(F293=0,"",E293/F293)</f>
        <v/>
      </c>
      <c r="M293" s="11">
        <f>IF(ISNUMBER(L293),ROUND(L293-G293,4),"")</f>
        <v/>
      </c>
      <c r="N293" s="11">
        <f>IF(H293=0,"",G293/H293)</f>
        <v/>
      </c>
      <c r="O293" s="11">
        <f>IF(ISNUMBER(N293),ROUND(N293-I293,4),"")</f>
        <v/>
      </c>
    </row>
    <row r="294">
      <c r="A294" s="6" t="inlineStr">
        <is>
          <t>silice</t>
        </is>
      </c>
      <c r="B294" s="6" t="inlineStr">
        <is>
          <t>no metalico/industrial</t>
        </is>
      </c>
      <c r="C294" s="6" t="n">
        <v>2010</v>
      </c>
      <c r="D294" s="6" t="inlineStr">
        <is>
          <t>250510;250610</t>
        </is>
      </c>
      <c r="E294" s="6" t="n">
        <v>1454082</v>
      </c>
      <c r="F294" s="6" t="n">
        <v>103875.183</v>
      </c>
      <c r="G294" s="6" t="n">
        <v>14</v>
      </c>
      <c r="H294" s="6" t="n">
        <v>35.6</v>
      </c>
      <c r="I294" s="6" t="n">
        <v>0.3932</v>
      </c>
      <c r="J294" s="6" t="inlineStr">
        <is>
          <t>propio</t>
        </is>
      </c>
      <c r="K294" s="5" t="n"/>
      <c r="L294" s="11">
        <f>IF(F294=0,"",E294/F294)</f>
        <v/>
      </c>
      <c r="M294" s="11">
        <f>IF(ISNUMBER(L294),ROUND(L294-G294,4),"")</f>
        <v/>
      </c>
      <c r="N294" s="11">
        <f>IF(H294=0,"",G294/H294)</f>
        <v/>
      </c>
      <c r="O294" s="11">
        <f>IF(ISNUMBER(N294),ROUND(N294-I294,4),"")</f>
        <v/>
      </c>
    </row>
    <row r="295">
      <c r="A295" s="9" t="inlineStr">
        <is>
          <t>silice</t>
        </is>
      </c>
      <c r="B295" s="9" t="inlineStr">
        <is>
          <t>no metalico/industrial</t>
        </is>
      </c>
      <c r="C295" s="9" t="n">
        <v>2011</v>
      </c>
      <c r="D295" s="9" t="inlineStr">
        <is>
          <t>250510;250610</t>
        </is>
      </c>
      <c r="E295" s="9" t="n">
        <v>1665762</v>
      </c>
      <c r="F295" s="9" t="n">
        <v>163025.18</v>
      </c>
      <c r="G295" s="9" t="n">
        <v>10.22</v>
      </c>
      <c r="H295" s="9" t="n">
        <v>45.7</v>
      </c>
      <c r="I295" s="9" t="n">
        <v>0.2236</v>
      </c>
      <c r="J295" s="9" t="inlineStr">
        <is>
          <t>propio</t>
        </is>
      </c>
      <c r="K295" s="8" t="n"/>
      <c r="L295" s="11">
        <f>IF(F295=0,"",E295/F295)</f>
        <v/>
      </c>
      <c r="M295" s="11">
        <f>IF(ISNUMBER(L295),ROUND(L295-G295,4),"")</f>
        <v/>
      </c>
      <c r="N295" s="11">
        <f>IF(H295=0,"",G295/H295)</f>
        <v/>
      </c>
      <c r="O295" s="11">
        <f>IF(ISNUMBER(N295),ROUND(N295-I295,4),"")</f>
        <v/>
      </c>
    </row>
    <row r="296">
      <c r="A296" s="6" t="inlineStr">
        <is>
          <t>silice</t>
        </is>
      </c>
      <c r="B296" s="6" t="inlineStr">
        <is>
          <t>no metalico/industrial</t>
        </is>
      </c>
      <c r="C296" s="6" t="n">
        <v>2012</v>
      </c>
      <c r="D296" s="6" t="inlineStr">
        <is>
          <t>250510;250610</t>
        </is>
      </c>
      <c r="E296" s="6" t="n">
        <v>1047996</v>
      </c>
      <c r="F296" s="6" t="n">
        <v>122950.227</v>
      </c>
      <c r="G296" s="6" t="n">
        <v>8.52</v>
      </c>
      <c r="H296" s="6" t="n">
        <v>52.8</v>
      </c>
      <c r="I296" s="6" t="n">
        <v>0.1614</v>
      </c>
      <c r="J296" s="6" t="inlineStr">
        <is>
          <t>propio</t>
        </is>
      </c>
      <c r="K296" s="5" t="n"/>
      <c r="L296" s="11">
        <f>IF(F296=0,"",E296/F296)</f>
        <v/>
      </c>
      <c r="M296" s="11">
        <f>IF(ISNUMBER(L296),ROUND(L296-G296,4),"")</f>
        <v/>
      </c>
      <c r="N296" s="11">
        <f>IF(H296=0,"",G296/H296)</f>
        <v/>
      </c>
      <c r="O296" s="11">
        <f>IF(ISNUMBER(N296),ROUND(N296-I296,4),"")</f>
        <v/>
      </c>
    </row>
    <row r="297">
      <c r="A297" s="9" t="inlineStr">
        <is>
          <t>silice</t>
        </is>
      </c>
      <c r="B297" s="9" t="inlineStr">
        <is>
          <t>no metalico/industrial</t>
        </is>
      </c>
      <c r="C297" s="9" t="n">
        <v>2013</v>
      </c>
      <c r="D297" s="9" t="inlineStr">
        <is>
          <t>250510;250610</t>
        </is>
      </c>
      <c r="E297" s="9" t="n">
        <v>2163162</v>
      </c>
      <c r="F297" s="9" t="n">
        <v>163550.75</v>
      </c>
      <c r="G297" s="9" t="n">
        <v>13.23</v>
      </c>
      <c r="H297" s="9" t="n">
        <v>55.8</v>
      </c>
      <c r="I297" s="9" t="n">
        <v>0.237</v>
      </c>
      <c r="J297" s="9" t="inlineStr">
        <is>
          <t>propio</t>
        </is>
      </c>
      <c r="K297" s="8" t="n"/>
      <c r="L297" s="11">
        <f>IF(F297=0,"",E297/F297)</f>
        <v/>
      </c>
      <c r="M297" s="11">
        <f>IF(ISNUMBER(L297),ROUND(L297-G297,4),"")</f>
        <v/>
      </c>
      <c r="N297" s="11">
        <f>IF(H297=0,"",G297/H297)</f>
        <v/>
      </c>
      <c r="O297" s="11">
        <f>IF(ISNUMBER(N297),ROUND(N297-I297,4),"")</f>
        <v/>
      </c>
    </row>
    <row r="298">
      <c r="A298" s="6" t="inlineStr">
        <is>
          <t>silice</t>
        </is>
      </c>
      <c r="B298" s="6" t="inlineStr">
        <is>
          <t>no metalico/industrial</t>
        </is>
      </c>
      <c r="C298" s="6" t="n">
        <v>2014</v>
      </c>
      <c r="D298" s="6" t="inlineStr">
        <is>
          <t>250510;250610</t>
        </is>
      </c>
      <c r="E298" s="6" t="n">
        <v>1977476</v>
      </c>
      <c r="F298" s="6" t="n">
        <v>167588.29</v>
      </c>
      <c r="G298" s="6" t="n">
        <v>11.8</v>
      </c>
      <c r="H298" s="6" t="n">
        <v>74.8</v>
      </c>
      <c r="I298" s="6" t="n">
        <v>0.1577</v>
      </c>
      <c r="J298" s="6" t="inlineStr">
        <is>
          <t>propio</t>
        </is>
      </c>
      <c r="K298" s="5" t="n"/>
      <c r="L298" s="11">
        <f>IF(F298=0,"",E298/F298)</f>
        <v/>
      </c>
      <c r="M298" s="11">
        <f>IF(ISNUMBER(L298),ROUND(L298-G298,4),"")</f>
        <v/>
      </c>
      <c r="N298" s="11">
        <f>IF(H298=0,"",G298/H298)</f>
        <v/>
      </c>
      <c r="O298" s="11">
        <f>IF(ISNUMBER(N298),ROUND(N298-I298,4),"")</f>
        <v/>
      </c>
    </row>
    <row r="299">
      <c r="A299" s="9" t="inlineStr">
        <is>
          <t>silice</t>
        </is>
      </c>
      <c r="B299" s="9" t="inlineStr">
        <is>
          <t>no metalico/industrial</t>
        </is>
      </c>
      <c r="C299" s="9" t="n">
        <v>2015</v>
      </c>
      <c r="D299" s="9" t="inlineStr">
        <is>
          <t>250510;250610</t>
        </is>
      </c>
      <c r="E299" s="9" t="n">
        <v>2249291.81</v>
      </c>
      <c r="F299" s="9" t="n">
        <v>22304.913</v>
      </c>
      <c r="G299" s="9" t="n">
        <v>100.84</v>
      </c>
      <c r="H299" s="9" t="n">
        <v>47.3</v>
      </c>
      <c r="I299" s="9" t="n">
        <v>2.132</v>
      </c>
      <c r="J299" s="9" t="inlineStr">
        <is>
          <t>espejo</t>
        </is>
      </c>
      <c r="K299" s="8" t="inlineStr">
        <is>
          <t>numerador por ESPEJO (importaciones de socios desde Mexico; CIF, posible sesgo al alza)</t>
        </is>
      </c>
      <c r="L299" s="11">
        <f>IF(F299=0,"",E299/F299)</f>
        <v/>
      </c>
      <c r="M299" s="11">
        <f>IF(ISNUMBER(L299),ROUND(L299-G299,4),"")</f>
        <v/>
      </c>
      <c r="N299" s="11">
        <f>IF(H299=0,"",G299/H299)</f>
        <v/>
      </c>
      <c r="O299" s="11">
        <f>IF(ISNUMBER(N299),ROUND(N299-I299,4),"")</f>
        <v/>
      </c>
    </row>
    <row r="300">
      <c r="A300" s="6" t="inlineStr">
        <is>
          <t>silice</t>
        </is>
      </c>
      <c r="B300" s="6" t="inlineStr">
        <is>
          <t>no metalico/industrial</t>
        </is>
      </c>
      <c r="C300" s="6" t="n">
        <v>2016</v>
      </c>
      <c r="D300" s="6" t="inlineStr">
        <is>
          <t>250510;250610</t>
        </is>
      </c>
      <c r="E300" s="6" t="n">
        <v>1864350</v>
      </c>
      <c r="F300" s="6" t="n">
        <v>85.04000000000001</v>
      </c>
      <c r="G300" s="6" t="n">
        <v>161.93</v>
      </c>
      <c r="H300" s="6" t="n">
        <v>35.8</v>
      </c>
      <c r="I300" s="6" t="n">
        <v>4.5233</v>
      </c>
      <c r="J300" s="6" t="inlineStr">
        <is>
          <t>propio</t>
        </is>
      </c>
      <c r="K300" s="5" t="inlineStr">
        <is>
          <t>valor unit. sobre 1/2 fracciones E1 con peso</t>
        </is>
      </c>
      <c r="L300" s="11">
        <f>IF(F300=0,"",E300/F300)</f>
        <v/>
      </c>
      <c r="M300" s="11">
        <f>IF(ISNUMBER(L300),ROUND(L300-G300,4),"")</f>
        <v/>
      </c>
      <c r="N300" s="11">
        <f>IF(H300=0,"",G300/H300)</f>
        <v/>
      </c>
      <c r="O300" s="11">
        <f>IF(ISNUMBER(N300),ROUND(N300-I300,4),"")</f>
        <v/>
      </c>
    </row>
    <row r="301">
      <c r="A301" s="9" t="inlineStr">
        <is>
          <t>silice</t>
        </is>
      </c>
      <c r="B301" s="9" t="inlineStr">
        <is>
          <t>no metalico/industrial</t>
        </is>
      </c>
      <c r="C301" s="9" t="n">
        <v>2017</v>
      </c>
      <c r="D301" s="9" t="inlineStr">
        <is>
          <t>250510;250610</t>
        </is>
      </c>
      <c r="E301" s="9" t="n">
        <v>938147.16</v>
      </c>
      <c r="F301" s="9" t="n">
        <v>3138.019</v>
      </c>
      <c r="G301" s="9" t="n">
        <v>298.96</v>
      </c>
      <c r="H301" s="9" t="n">
        <v>52.1</v>
      </c>
      <c r="I301" s="9" t="n">
        <v>5.7382</v>
      </c>
      <c r="J301" s="9" t="inlineStr">
        <is>
          <t>espejo</t>
        </is>
      </c>
      <c r="K301" s="8" t="inlineStr">
        <is>
          <t>numerador por ESPEJO (importaciones de socios desde Mexico; CIF, posible sesgo al alza)</t>
        </is>
      </c>
      <c r="L301" s="11">
        <f>IF(F301=0,"",E301/F301)</f>
        <v/>
      </c>
      <c r="M301" s="11">
        <f>IF(ISNUMBER(L301),ROUND(L301-G301,4),"")</f>
        <v/>
      </c>
      <c r="N301" s="11">
        <f>IF(H301=0,"",G301/H301)</f>
        <v/>
      </c>
      <c r="O301" s="11">
        <f>IF(ISNUMBER(N301),ROUND(N301-I301,4),"")</f>
        <v/>
      </c>
    </row>
    <row r="302">
      <c r="A302" s="6" t="inlineStr">
        <is>
          <t>silice</t>
        </is>
      </c>
      <c r="B302" s="6" t="inlineStr">
        <is>
          <t>no metalico/industrial</t>
        </is>
      </c>
      <c r="C302" s="6" t="n">
        <v>2018</v>
      </c>
      <c r="D302" s="6" t="inlineStr">
        <is>
          <t>250510;250610</t>
        </is>
      </c>
      <c r="E302" s="6" t="n">
        <v>1977646</v>
      </c>
      <c r="F302" s="6" t="n">
        <v>11105.087</v>
      </c>
      <c r="G302" s="6" t="n">
        <v>178.08</v>
      </c>
      <c r="H302" s="6" t="n">
        <v>56.1</v>
      </c>
      <c r="I302" s="6" t="n">
        <v>3.1744</v>
      </c>
      <c r="J302" s="6" t="inlineStr">
        <is>
          <t>propio</t>
        </is>
      </c>
      <c r="K302" s="5" t="n"/>
      <c r="L302" s="11">
        <f>IF(F302=0,"",E302/F302)</f>
        <v/>
      </c>
      <c r="M302" s="11">
        <f>IF(ISNUMBER(L302),ROUND(L302-G302,4),"")</f>
        <v/>
      </c>
      <c r="N302" s="11">
        <f>IF(H302=0,"",G302/H302)</f>
        <v/>
      </c>
      <c r="O302" s="11">
        <f>IF(ISNUMBER(N302),ROUND(N302-I302,4),"")</f>
        <v/>
      </c>
    </row>
    <row r="303">
      <c r="A303" s="9" t="inlineStr">
        <is>
          <t>silice</t>
        </is>
      </c>
      <c r="B303" s="9" t="inlineStr">
        <is>
          <t>no metalico/industrial</t>
        </is>
      </c>
      <c r="C303" s="9" t="n">
        <v>2019</v>
      </c>
      <c r="D303" s="9" t="inlineStr">
        <is>
          <t>250510;250610</t>
        </is>
      </c>
      <c r="E303" s="9" t="n">
        <v>2346668.53</v>
      </c>
      <c r="F303" s="9" t="n">
        <v>6460.688</v>
      </c>
      <c r="G303" s="9" t="n">
        <v>363.22</v>
      </c>
      <c r="H303" s="9" t="n">
        <v>46</v>
      </c>
      <c r="I303" s="9" t="n">
        <v>7.8961</v>
      </c>
      <c r="J303" s="9" t="inlineStr">
        <is>
          <t>espejo</t>
        </is>
      </c>
      <c r="K303" s="8" t="inlineStr">
        <is>
          <t>numerador por ESPEJO (importaciones de socios desde Mexico; CIF, posible sesgo al alza)</t>
        </is>
      </c>
      <c r="L303" s="11">
        <f>IF(F303=0,"",E303/F303)</f>
        <v/>
      </c>
      <c r="M303" s="11">
        <f>IF(ISNUMBER(L303),ROUND(L303-G303,4),"")</f>
        <v/>
      </c>
      <c r="N303" s="11">
        <f>IF(H303=0,"",G303/H303)</f>
        <v/>
      </c>
      <c r="O303" s="11">
        <f>IF(ISNUMBER(N303),ROUND(N303-I303,4),"")</f>
        <v/>
      </c>
    </row>
    <row r="304">
      <c r="A304" s="6" t="inlineStr">
        <is>
          <t>silice</t>
        </is>
      </c>
      <c r="B304" s="6" t="inlineStr">
        <is>
          <t>no metalico/industrial</t>
        </is>
      </c>
      <c r="C304" s="6" t="n">
        <v>2020</v>
      </c>
      <c r="D304" s="6" t="inlineStr">
        <is>
          <t>250510;250610</t>
        </is>
      </c>
      <c r="E304" s="6" t="n">
        <v>1391684</v>
      </c>
      <c r="F304" s="6" t="n">
        <v>7359.199</v>
      </c>
      <c r="G304" s="6" t="n">
        <v>189.11</v>
      </c>
      <c r="H304" s="6" t="n">
        <v>29.5</v>
      </c>
      <c r="I304" s="6" t="n">
        <v>6.4104</v>
      </c>
      <c r="J304" s="6" t="inlineStr">
        <is>
          <t>propio</t>
        </is>
      </c>
      <c r="K304" s="5" t="n"/>
      <c r="L304" s="11">
        <f>IF(F304=0,"",E304/F304)</f>
        <v/>
      </c>
      <c r="M304" s="11">
        <f>IF(ISNUMBER(L304),ROUND(L304-G304,4),"")</f>
        <v/>
      </c>
      <c r="N304" s="11">
        <f>IF(H304=0,"",G304/H304)</f>
        <v/>
      </c>
      <c r="O304" s="11">
        <f>IF(ISNUMBER(N304),ROUND(N304-I304,4),"")</f>
        <v/>
      </c>
    </row>
    <row r="305">
      <c r="A305" s="9" t="inlineStr">
        <is>
          <t>silice</t>
        </is>
      </c>
      <c r="B305" s="9" t="inlineStr">
        <is>
          <t>no metalico/industrial</t>
        </is>
      </c>
      <c r="C305" s="9" t="n">
        <v>2021</v>
      </c>
      <c r="D305" s="9" t="inlineStr">
        <is>
          <t>250510;250610</t>
        </is>
      </c>
      <c r="E305" s="9" t="n">
        <v>2535528</v>
      </c>
      <c r="F305" s="9" t="n">
        <v>279878.397</v>
      </c>
      <c r="G305" s="9" t="n">
        <v>9.06</v>
      </c>
      <c r="H305" s="9" t="n">
        <v>40.8</v>
      </c>
      <c r="I305" s="9" t="n">
        <v>0.222</v>
      </c>
      <c r="J305" s="9" t="inlineStr">
        <is>
          <t>propio</t>
        </is>
      </c>
      <c r="K305" s="8" t="n"/>
      <c r="L305" s="11">
        <f>IF(F305=0,"",E305/F305)</f>
        <v/>
      </c>
      <c r="M305" s="11">
        <f>IF(ISNUMBER(L305),ROUND(L305-G305,4),"")</f>
        <v/>
      </c>
      <c r="N305" s="11">
        <f>IF(H305=0,"",G305/H305)</f>
        <v/>
      </c>
      <c r="O305" s="11">
        <f>IF(ISNUMBER(N305),ROUND(N305-I305,4),"")</f>
        <v/>
      </c>
    </row>
    <row r="306">
      <c r="A306" s="6" t="inlineStr">
        <is>
          <t>silice</t>
        </is>
      </c>
      <c r="B306" s="6" t="inlineStr">
        <is>
          <t>no metalico/industrial</t>
        </is>
      </c>
      <c r="C306" s="6" t="n">
        <v>2022</v>
      </c>
      <c r="D306" s="6" t="inlineStr">
        <is>
          <t>250510;250610</t>
        </is>
      </c>
      <c r="E306" s="6" t="n">
        <v>3108781</v>
      </c>
      <c r="F306" s="6" t="n">
        <v>436256.464</v>
      </c>
      <c r="G306" s="6" t="n">
        <v>7.13</v>
      </c>
      <c r="H306" s="6" t="n">
        <v>45.3</v>
      </c>
      <c r="I306" s="6" t="n">
        <v>0.1573</v>
      </c>
      <c r="J306" s="6" t="inlineStr">
        <is>
          <t>propio</t>
        </is>
      </c>
      <c r="K306" s="5" t="n"/>
      <c r="L306" s="11">
        <f>IF(F306=0,"",E306/F306)</f>
        <v/>
      </c>
      <c r="M306" s="11">
        <f>IF(ISNUMBER(L306),ROUND(L306-G306,4),"")</f>
        <v/>
      </c>
      <c r="N306" s="11">
        <f>IF(H306=0,"",G306/H306)</f>
        <v/>
      </c>
      <c r="O306" s="11">
        <f>IF(ISNUMBER(N306),ROUND(N306-I306,4),"")</f>
        <v/>
      </c>
    </row>
    <row r="307">
      <c r="A307" s="9" t="inlineStr">
        <is>
          <t>silice</t>
        </is>
      </c>
      <c r="B307" s="9" t="inlineStr">
        <is>
          <t>no metalico/industrial</t>
        </is>
      </c>
      <c r="C307" s="9" t="n">
        <v>2023</v>
      </c>
      <c r="D307" s="9" t="inlineStr">
        <is>
          <t>250510;250610</t>
        </is>
      </c>
      <c r="E307" s="9" t="n">
        <v>1897141</v>
      </c>
      <c r="F307" s="9" t="n">
        <v>262021.187</v>
      </c>
      <c r="G307" s="9" t="n">
        <v>7.24</v>
      </c>
      <c r="H307" s="9" t="n">
        <v>42.81</v>
      </c>
      <c r="I307" s="9" t="n">
        <v>0.1691</v>
      </c>
      <c r="J307" s="9" t="inlineStr">
        <is>
          <t>propio</t>
        </is>
      </c>
      <c r="K307" s="8" t="n"/>
      <c r="L307" s="11">
        <f>IF(F307=0,"",E307/F307)</f>
        <v/>
      </c>
      <c r="M307" s="11">
        <f>IF(ISNUMBER(L307),ROUND(L307-G307,4),"")</f>
        <v/>
      </c>
      <c r="N307" s="11">
        <f>IF(H307=0,"",G307/H307)</f>
        <v/>
      </c>
      <c r="O307" s="11">
        <f>IF(ISNUMBER(N307),ROUND(N307-I307,4),"")</f>
        <v/>
      </c>
    </row>
    <row r="308">
      <c r="A308" s="6" t="inlineStr">
        <is>
          <t>silice</t>
        </is>
      </c>
      <c r="B308" s="6" t="inlineStr">
        <is>
          <t>no metalico/industrial</t>
        </is>
      </c>
      <c r="C308" s="6" t="n">
        <v>2024</v>
      </c>
      <c r="D308" s="6" t="inlineStr">
        <is>
          <t>250510;250610</t>
        </is>
      </c>
      <c r="E308" s="6" t="n">
        <v>1705312</v>
      </c>
      <c r="F308" s="6" t="n">
        <v>261064.51</v>
      </c>
      <c r="G308" s="6" t="n">
        <v>6.53</v>
      </c>
      <c r="H308" s="6" t="n">
        <v>40.81</v>
      </c>
      <c r="I308" s="6" t="n">
        <v>0.1601</v>
      </c>
      <c r="J308" s="6" t="inlineStr">
        <is>
          <t>propio</t>
        </is>
      </c>
      <c r="K308" s="5" t="n"/>
      <c r="L308" s="11">
        <f>IF(F308=0,"",E308/F308)</f>
        <v/>
      </c>
      <c r="M308" s="11">
        <f>IF(ISNUMBER(L308),ROUND(L308-G308,4),"")</f>
        <v/>
      </c>
      <c r="N308" s="11">
        <f>IF(H308=0,"",G308/H308)</f>
        <v/>
      </c>
      <c r="O308" s="11">
        <f>IF(ISNUMBER(N308),ROUND(N308-I308,4),"")</f>
        <v/>
      </c>
    </row>
    <row r="309">
      <c r="A309" s="9" t="inlineStr">
        <is>
          <t>silice</t>
        </is>
      </c>
      <c r="B309" s="9" t="inlineStr">
        <is>
          <t>no metalico/industrial</t>
        </is>
      </c>
      <c r="C309" s="9" t="n">
        <v>2025</v>
      </c>
      <c r="D309" s="9" t="inlineStr">
        <is>
          <t>250510;250610</t>
        </is>
      </c>
      <c r="E309" s="9" t="n">
        <v>1525774</v>
      </c>
      <c r="F309" s="9" t="n">
        <v>203896.937</v>
      </c>
      <c r="G309" s="9" t="n">
        <v>7.48</v>
      </c>
      <c r="H309" s="9" t="n">
        <v>35.92</v>
      </c>
      <c r="I309" s="9" t="n">
        <v>0.2083</v>
      </c>
      <c r="J309" s="9" t="inlineStr">
        <is>
          <t>propio</t>
        </is>
      </c>
      <c r="K309" s="8" t="n"/>
      <c r="L309" s="11">
        <f>IF(F309=0,"",E309/F309)</f>
        <v/>
      </c>
      <c r="M309" s="11">
        <f>IF(ISNUMBER(L309),ROUND(L309-G309,4),"")</f>
        <v/>
      </c>
      <c r="N309" s="11">
        <f>IF(H309=0,"",G309/H309)</f>
        <v/>
      </c>
      <c r="O309" s="11">
        <f>IF(ISNUMBER(N309),ROUND(N309-I309,4),"")</f>
        <v/>
      </c>
    </row>
    <row r="310">
      <c r="A310" s="6" t="inlineStr">
        <is>
          <t>zinc</t>
        </is>
      </c>
      <c r="B310" s="6" t="inlineStr">
        <is>
          <t>metal base</t>
        </is>
      </c>
      <c r="C310" s="6" t="n">
        <v>1992</v>
      </c>
      <c r="D310" s="6" t="inlineStr">
        <is>
          <t>2608</t>
        </is>
      </c>
      <c r="E310" s="6" t="n">
        <v>81135000</v>
      </c>
      <c r="F310" s="6" t="n">
        <v>293177.216</v>
      </c>
      <c r="G310" s="6" t="n">
        <v>276.74</v>
      </c>
      <c r="H310" s="6" t="n">
        <v>1290</v>
      </c>
      <c r="I310" s="6" t="n">
        <v>0.2145</v>
      </c>
      <c r="J310" s="6" t="inlineStr">
        <is>
          <t>propio</t>
        </is>
      </c>
      <c r="K310" s="5" t="n"/>
      <c r="L310" s="11">
        <f>IF(F310=0,"",E310/F310)</f>
        <v/>
      </c>
      <c r="M310" s="11">
        <f>IF(ISNUMBER(L310),ROUND(L310-G310,4),"")</f>
        <v/>
      </c>
      <c r="N310" s="11">
        <f>IF(H310=0,"",G310/H310)</f>
        <v/>
      </c>
      <c r="O310" s="11">
        <f>IF(ISNUMBER(N310),ROUND(N310-I310,4),"")</f>
        <v/>
      </c>
    </row>
    <row r="311">
      <c r="A311" s="9" t="inlineStr">
        <is>
          <t>zinc</t>
        </is>
      </c>
      <c r="B311" s="9" t="inlineStr">
        <is>
          <t>metal base</t>
        </is>
      </c>
      <c r="C311" s="9" t="n">
        <v>1993</v>
      </c>
      <c r="D311" s="9" t="inlineStr">
        <is>
          <t>2608</t>
        </is>
      </c>
      <c r="E311" s="9" t="n">
        <v>58381000</v>
      </c>
      <c r="F311" s="9" t="n">
        <v>292310.496</v>
      </c>
      <c r="G311" s="9" t="n">
        <v>199.72</v>
      </c>
      <c r="H311" s="9" t="n">
        <v>1020</v>
      </c>
      <c r="I311" s="9" t="n">
        <v>0.1958</v>
      </c>
      <c r="J311" s="9" t="inlineStr">
        <is>
          <t>propio</t>
        </is>
      </c>
      <c r="K311" s="8" t="n"/>
      <c r="L311" s="11">
        <f>IF(F311=0,"",E311/F311)</f>
        <v/>
      </c>
      <c r="M311" s="11">
        <f>IF(ISNUMBER(L311),ROUND(L311-G311,4),"")</f>
        <v/>
      </c>
      <c r="N311" s="11">
        <f>IF(H311=0,"",G311/H311)</f>
        <v/>
      </c>
      <c r="O311" s="11">
        <f>IF(ISNUMBER(N311),ROUND(N311-I311,4),"")</f>
        <v/>
      </c>
    </row>
    <row r="312">
      <c r="A312" s="6" t="inlineStr">
        <is>
          <t>zinc</t>
        </is>
      </c>
      <c r="B312" s="6" t="inlineStr">
        <is>
          <t>metal base</t>
        </is>
      </c>
      <c r="C312" s="6" t="n">
        <v>1994</v>
      </c>
      <c r="D312" s="6" t="inlineStr">
        <is>
          <t>2608</t>
        </is>
      </c>
      <c r="E312" s="6" t="n">
        <v>70061440</v>
      </c>
      <c r="F312" s="6" t="n">
        <v>337468.352</v>
      </c>
      <c r="G312" s="6" t="n">
        <v>207.61</v>
      </c>
      <c r="H312" s="6" t="n">
        <v>1090</v>
      </c>
      <c r="I312" s="6" t="n">
        <v>0.1905</v>
      </c>
      <c r="J312" s="6" t="inlineStr">
        <is>
          <t>propio</t>
        </is>
      </c>
      <c r="K312" s="5" t="n"/>
      <c r="L312" s="11">
        <f>IF(F312=0,"",E312/F312)</f>
        <v/>
      </c>
      <c r="M312" s="11">
        <f>IF(ISNUMBER(L312),ROUND(L312-G312,4),"")</f>
        <v/>
      </c>
      <c r="N312" s="11">
        <f>IF(H312=0,"",G312/H312)</f>
        <v/>
      </c>
      <c r="O312" s="11">
        <f>IF(ISNUMBER(N312),ROUND(N312-I312,4),"")</f>
        <v/>
      </c>
    </row>
    <row r="313">
      <c r="A313" s="9" t="inlineStr">
        <is>
          <t>zinc</t>
        </is>
      </c>
      <c r="B313" s="9" t="inlineStr">
        <is>
          <t>metal base</t>
        </is>
      </c>
      <c r="C313" s="9" t="n">
        <v>1995</v>
      </c>
      <c r="D313" s="9" t="inlineStr">
        <is>
          <t>2608</t>
        </is>
      </c>
      <c r="E313" s="9" t="n">
        <v>69328000</v>
      </c>
      <c r="F313" s="9" t="n">
        <v>254391.056</v>
      </c>
      <c r="G313" s="9" t="n">
        <v>272.53</v>
      </c>
      <c r="H313" s="9" t="n">
        <v>1230</v>
      </c>
      <c r="I313" s="9" t="n">
        <v>0.2216</v>
      </c>
      <c r="J313" s="9" t="inlineStr">
        <is>
          <t>propio</t>
        </is>
      </c>
      <c r="K313" s="8" t="n"/>
      <c r="L313" s="11">
        <f>IF(F313=0,"",E313/F313)</f>
        <v/>
      </c>
      <c r="M313" s="11">
        <f>IF(ISNUMBER(L313),ROUND(L313-G313,4),"")</f>
        <v/>
      </c>
      <c r="N313" s="11">
        <f>IF(H313=0,"",G313/H313)</f>
        <v/>
      </c>
      <c r="O313" s="11">
        <f>IF(ISNUMBER(N313),ROUND(N313-I313,4),"")</f>
        <v/>
      </c>
    </row>
    <row r="314">
      <c r="A314" s="6" t="inlineStr">
        <is>
          <t>zinc</t>
        </is>
      </c>
      <c r="B314" s="6" t="inlineStr">
        <is>
          <t>metal base</t>
        </is>
      </c>
      <c r="C314" s="6" t="n">
        <v>1996</v>
      </c>
      <c r="D314" s="6" t="inlineStr">
        <is>
          <t>2608</t>
        </is>
      </c>
      <c r="E314" s="6" t="n">
        <v>57037052</v>
      </c>
      <c r="F314" s="6" t="n">
        <v>280577.76</v>
      </c>
      <c r="G314" s="6" t="n">
        <v>203.28</v>
      </c>
      <c r="H314" s="6" t="n">
        <v>1130</v>
      </c>
      <c r="I314" s="6" t="n">
        <v>0.1799</v>
      </c>
      <c r="J314" s="6" t="inlineStr">
        <is>
          <t>propio</t>
        </is>
      </c>
      <c r="K314" s="5" t="n"/>
      <c r="L314" s="11">
        <f>IF(F314=0,"",E314/F314)</f>
        <v/>
      </c>
      <c r="M314" s="11">
        <f>IF(ISNUMBER(L314),ROUND(L314-G314,4),"")</f>
        <v/>
      </c>
      <c r="N314" s="11">
        <f>IF(H314=0,"",G314/H314)</f>
        <v/>
      </c>
      <c r="O314" s="11">
        <f>IF(ISNUMBER(N314),ROUND(N314-I314,4),"")</f>
        <v/>
      </c>
    </row>
    <row r="315">
      <c r="A315" s="9" t="inlineStr">
        <is>
          <t>zinc</t>
        </is>
      </c>
      <c r="B315" s="9" t="inlineStr">
        <is>
          <t>metal base</t>
        </is>
      </c>
      <c r="C315" s="9" t="n">
        <v>1997</v>
      </c>
      <c r="D315" s="9" t="inlineStr">
        <is>
          <t>2608</t>
        </is>
      </c>
      <c r="E315" s="9" t="n">
        <v>80546680</v>
      </c>
      <c r="F315" s="9" t="n">
        <v>293515.712</v>
      </c>
      <c r="G315" s="9" t="n">
        <v>274.42</v>
      </c>
      <c r="H315" s="9" t="n">
        <v>1420</v>
      </c>
      <c r="I315" s="9" t="n">
        <v>0.1933</v>
      </c>
      <c r="J315" s="9" t="inlineStr">
        <is>
          <t>propio</t>
        </is>
      </c>
      <c r="K315" s="8" t="n"/>
      <c r="L315" s="11">
        <f>IF(F315=0,"",E315/F315)</f>
        <v/>
      </c>
      <c r="M315" s="11">
        <f>IF(ISNUMBER(L315),ROUND(L315-G315,4),"")</f>
        <v/>
      </c>
      <c r="N315" s="11">
        <f>IF(H315=0,"",G315/H315)</f>
        <v/>
      </c>
      <c r="O315" s="11">
        <f>IF(ISNUMBER(N315),ROUND(N315-I315,4),"")</f>
        <v/>
      </c>
    </row>
    <row r="316">
      <c r="A316" s="6" t="inlineStr">
        <is>
          <t>zinc</t>
        </is>
      </c>
      <c r="B316" s="6" t="inlineStr">
        <is>
          <t>metal base</t>
        </is>
      </c>
      <c r="C316" s="6" t="n">
        <v>1998</v>
      </c>
      <c r="D316" s="6" t="inlineStr">
        <is>
          <t>2608</t>
        </is>
      </c>
      <c r="E316" s="6" t="n">
        <v>71915376</v>
      </c>
      <c r="F316" s="6" t="n">
        <v>336269.12</v>
      </c>
      <c r="G316" s="6" t="n">
        <v>213.86</v>
      </c>
      <c r="H316" s="6" t="n">
        <v>1130</v>
      </c>
      <c r="I316" s="6" t="n">
        <v>0.1893</v>
      </c>
      <c r="J316" s="6" t="inlineStr">
        <is>
          <t>propio</t>
        </is>
      </c>
      <c r="K316" s="5" t="n"/>
      <c r="L316" s="11">
        <f>IF(F316=0,"",E316/F316)</f>
        <v/>
      </c>
      <c r="M316" s="11">
        <f>IF(ISNUMBER(L316),ROUND(L316-G316,4),"")</f>
        <v/>
      </c>
      <c r="N316" s="11">
        <f>IF(H316=0,"",G316/H316)</f>
        <v/>
      </c>
      <c r="O316" s="11">
        <f>IF(ISNUMBER(N316),ROUND(N316-I316,4),"")</f>
        <v/>
      </c>
    </row>
    <row r="317">
      <c r="A317" s="9" t="inlineStr">
        <is>
          <t>zinc</t>
        </is>
      </c>
      <c r="B317" s="9" t="inlineStr">
        <is>
          <t>metal base</t>
        </is>
      </c>
      <c r="C317" s="9" t="n">
        <v>1999</v>
      </c>
      <c r="D317" s="9" t="inlineStr">
        <is>
          <t>2608</t>
        </is>
      </c>
      <c r="E317" s="9" t="n">
        <v>75143568</v>
      </c>
      <c r="F317" s="9" t="n">
        <v>307942.496</v>
      </c>
      <c r="G317" s="9" t="n">
        <v>244.02</v>
      </c>
      <c r="H317" s="9" t="n">
        <v>1180</v>
      </c>
      <c r="I317" s="9" t="n">
        <v>0.2068</v>
      </c>
      <c r="J317" s="9" t="inlineStr">
        <is>
          <t>propio</t>
        </is>
      </c>
      <c r="K317" s="8" t="n"/>
      <c r="L317" s="11">
        <f>IF(F317=0,"",E317/F317)</f>
        <v/>
      </c>
      <c r="M317" s="11">
        <f>IF(ISNUMBER(L317),ROUND(L317-G317,4),"")</f>
        <v/>
      </c>
      <c r="N317" s="11">
        <f>IF(H317=0,"",G317/H317)</f>
        <v/>
      </c>
      <c r="O317" s="11">
        <f>IF(ISNUMBER(N317),ROUND(N317-I317,4),"")</f>
        <v/>
      </c>
    </row>
    <row r="318">
      <c r="A318" s="6" t="inlineStr">
        <is>
          <t>zinc</t>
        </is>
      </c>
      <c r="B318" s="6" t="inlineStr">
        <is>
          <t>metal base</t>
        </is>
      </c>
      <c r="C318" s="6" t="n">
        <v>2000</v>
      </c>
      <c r="D318" s="6" t="inlineStr">
        <is>
          <t>2608</t>
        </is>
      </c>
      <c r="E318" s="6" t="n">
        <v>77057234</v>
      </c>
      <c r="F318" s="6" t="n">
        <v>275501.989</v>
      </c>
      <c r="G318" s="6" t="n">
        <v>279.7</v>
      </c>
      <c r="H318" s="6" t="n">
        <v>1230</v>
      </c>
      <c r="I318" s="6" t="n">
        <v>0.2274</v>
      </c>
      <c r="J318" s="6" t="inlineStr">
        <is>
          <t>propio</t>
        </is>
      </c>
      <c r="K318" s="5" t="n"/>
      <c r="L318" s="11">
        <f>IF(F318=0,"",E318/F318)</f>
        <v/>
      </c>
      <c r="M318" s="11">
        <f>IF(ISNUMBER(L318),ROUND(L318-G318,4),"")</f>
        <v/>
      </c>
      <c r="N318" s="11">
        <f>IF(H318=0,"",G318/H318)</f>
        <v/>
      </c>
      <c r="O318" s="11">
        <f>IF(ISNUMBER(N318),ROUND(N318-I318,4),"")</f>
        <v/>
      </c>
    </row>
    <row r="319">
      <c r="A319" s="9" t="inlineStr">
        <is>
          <t>zinc</t>
        </is>
      </c>
      <c r="B319" s="9" t="inlineStr">
        <is>
          <t>metal base</t>
        </is>
      </c>
      <c r="C319" s="9" t="n">
        <v>2001</v>
      </c>
      <c r="D319" s="9" t="inlineStr">
        <is>
          <t>2608</t>
        </is>
      </c>
      <c r="E319" s="9" t="n">
        <v>57019713</v>
      </c>
      <c r="F319" s="9" t="n">
        <v>233695.748</v>
      </c>
      <c r="G319" s="9" t="n">
        <v>243.99</v>
      </c>
      <c r="H319" s="9" t="n">
        <v>969</v>
      </c>
      <c r="I319" s="9" t="n">
        <v>0.2518</v>
      </c>
      <c r="J319" s="9" t="inlineStr">
        <is>
          <t>propio</t>
        </is>
      </c>
      <c r="K319" s="8" t="n"/>
      <c r="L319" s="11">
        <f>IF(F319=0,"",E319/F319)</f>
        <v/>
      </c>
      <c r="M319" s="11">
        <f>IF(ISNUMBER(L319),ROUND(L319-G319,4),"")</f>
        <v/>
      </c>
      <c r="N319" s="11">
        <f>IF(H319=0,"",G319/H319)</f>
        <v/>
      </c>
      <c r="O319" s="11">
        <f>IF(ISNUMBER(N319),ROUND(N319-I319,4),"")</f>
        <v/>
      </c>
    </row>
    <row r="320">
      <c r="A320" s="6" t="inlineStr">
        <is>
          <t>zinc</t>
        </is>
      </c>
      <c r="B320" s="6" t="inlineStr">
        <is>
          <t>metal base</t>
        </is>
      </c>
      <c r="C320" s="6" t="n">
        <v>2002</v>
      </c>
      <c r="D320" s="6" t="inlineStr">
        <is>
          <t>2608</t>
        </is>
      </c>
      <c r="E320" s="6" t="n">
        <v>54149930</v>
      </c>
      <c r="F320" s="6" t="n">
        <v>262364.539</v>
      </c>
      <c r="G320" s="6" t="n">
        <v>206.39</v>
      </c>
      <c r="H320" s="6" t="n">
        <v>852</v>
      </c>
      <c r="I320" s="6" t="n">
        <v>0.2422</v>
      </c>
      <c r="J320" s="6" t="inlineStr">
        <is>
          <t>propio</t>
        </is>
      </c>
      <c r="K320" s="5" t="n"/>
      <c r="L320" s="11">
        <f>IF(F320=0,"",E320/F320)</f>
        <v/>
      </c>
      <c r="M320" s="11">
        <f>IF(ISNUMBER(L320),ROUND(L320-G320,4),"")</f>
        <v/>
      </c>
      <c r="N320" s="11">
        <f>IF(H320=0,"",G320/H320)</f>
        <v/>
      </c>
      <c r="O320" s="11">
        <f>IF(ISNUMBER(N320),ROUND(N320-I320,4),"")</f>
        <v/>
      </c>
    </row>
    <row r="321">
      <c r="A321" s="9" t="inlineStr">
        <is>
          <t>zinc</t>
        </is>
      </c>
      <c r="B321" s="9" t="inlineStr">
        <is>
          <t>metal base</t>
        </is>
      </c>
      <c r="C321" s="9" t="n">
        <v>2003</v>
      </c>
      <c r="D321" s="9" t="inlineStr">
        <is>
          <t>2608</t>
        </is>
      </c>
      <c r="E321" s="9" t="n">
        <v>54195655</v>
      </c>
      <c r="F321" s="9" t="n">
        <v>210898.599</v>
      </c>
      <c r="G321" s="9" t="n">
        <v>256.97</v>
      </c>
      <c r="H321" s="9" t="n">
        <v>895.74</v>
      </c>
      <c r="I321" s="9" t="n">
        <v>0.2869</v>
      </c>
      <c r="J321" s="9" t="inlineStr">
        <is>
          <t>propio</t>
        </is>
      </c>
      <c r="K321" s="8" t="n"/>
      <c r="L321" s="11">
        <f>IF(F321=0,"",E321/F321)</f>
        <v/>
      </c>
      <c r="M321" s="11">
        <f>IF(ISNUMBER(L321),ROUND(L321-G321,4),"")</f>
        <v/>
      </c>
      <c r="N321" s="11">
        <f>IF(H321=0,"",G321/H321)</f>
        <v/>
      </c>
      <c r="O321" s="11">
        <f>IF(ISNUMBER(N321),ROUND(N321-I321,4),"")</f>
        <v/>
      </c>
    </row>
    <row r="322">
      <c r="A322" s="6" t="inlineStr">
        <is>
          <t>zinc</t>
        </is>
      </c>
      <c r="B322" s="6" t="inlineStr">
        <is>
          <t>metal base</t>
        </is>
      </c>
      <c r="C322" s="6" t="n">
        <v>2004</v>
      </c>
      <c r="D322" s="6" t="inlineStr">
        <is>
          <t>2608</t>
        </is>
      </c>
      <c r="E322" s="6" t="n">
        <v>53150900</v>
      </c>
      <c r="F322" s="6" t="n">
        <v>132792.072</v>
      </c>
      <c r="G322" s="6" t="n">
        <v>400.26</v>
      </c>
      <c r="H322" s="6" t="n">
        <v>1160</v>
      </c>
      <c r="I322" s="6" t="n">
        <v>0.345</v>
      </c>
      <c r="J322" s="6" t="inlineStr">
        <is>
          <t>propio</t>
        </is>
      </c>
      <c r="K322" s="5" t="n"/>
      <c r="L322" s="11">
        <f>IF(F322=0,"",E322/F322)</f>
        <v/>
      </c>
      <c r="M322" s="11">
        <f>IF(ISNUMBER(L322),ROUND(L322-G322,4),"")</f>
        <v/>
      </c>
      <c r="N322" s="11">
        <f>IF(H322=0,"",G322/H322)</f>
        <v/>
      </c>
      <c r="O322" s="11">
        <f>IF(ISNUMBER(N322),ROUND(N322-I322,4),"")</f>
        <v/>
      </c>
    </row>
    <row r="323">
      <c r="A323" s="9" t="inlineStr">
        <is>
          <t>zinc</t>
        </is>
      </c>
      <c r="B323" s="9" t="inlineStr">
        <is>
          <t>metal base</t>
        </is>
      </c>
      <c r="C323" s="9" t="n">
        <v>2005</v>
      </c>
      <c r="D323" s="9" t="inlineStr">
        <is>
          <t>2608</t>
        </is>
      </c>
      <c r="E323" s="9" t="n">
        <v>104375797</v>
      </c>
      <c r="F323" s="9" t="n">
        <v>310257.869</v>
      </c>
      <c r="G323" s="9" t="n">
        <v>336.42</v>
      </c>
      <c r="H323" s="9" t="n">
        <v>1480</v>
      </c>
      <c r="I323" s="9" t="n">
        <v>0.2273</v>
      </c>
      <c r="J323" s="9" t="inlineStr">
        <is>
          <t>propio</t>
        </is>
      </c>
      <c r="K323" s="8" t="n"/>
      <c r="L323" s="11">
        <f>IF(F323=0,"",E323/F323)</f>
        <v/>
      </c>
      <c r="M323" s="11">
        <f>IF(ISNUMBER(L323),ROUND(L323-G323,4),"")</f>
        <v/>
      </c>
      <c r="N323" s="11">
        <f>IF(H323=0,"",G323/H323)</f>
        <v/>
      </c>
      <c r="O323" s="11">
        <f>IF(ISNUMBER(N323),ROUND(N323-I323,4),"")</f>
        <v/>
      </c>
    </row>
    <row r="324">
      <c r="A324" s="6" t="inlineStr">
        <is>
          <t>zinc</t>
        </is>
      </c>
      <c r="B324" s="6" t="inlineStr">
        <is>
          <t>metal base</t>
        </is>
      </c>
      <c r="C324" s="6" t="n">
        <v>2006</v>
      </c>
      <c r="D324" s="6" t="inlineStr">
        <is>
          <t>2608</t>
        </is>
      </c>
      <c r="E324" s="6" t="n">
        <v>305744554</v>
      </c>
      <c r="F324" s="6" t="n">
        <v>277708.996</v>
      </c>
      <c r="G324" s="6" t="n">
        <v>1100.95</v>
      </c>
      <c r="H324" s="6" t="n">
        <v>3500</v>
      </c>
      <c r="I324" s="6" t="n">
        <v>0.3146</v>
      </c>
      <c r="J324" s="6" t="inlineStr">
        <is>
          <t>propio</t>
        </is>
      </c>
      <c r="K324" s="5" t="n"/>
      <c r="L324" s="11">
        <f>IF(F324=0,"",E324/F324)</f>
        <v/>
      </c>
      <c r="M324" s="11">
        <f>IF(ISNUMBER(L324),ROUND(L324-G324,4),"")</f>
        <v/>
      </c>
      <c r="N324" s="11">
        <f>IF(H324=0,"",G324/H324)</f>
        <v/>
      </c>
      <c r="O324" s="11">
        <f>IF(ISNUMBER(N324),ROUND(N324-I324,4),"")</f>
        <v/>
      </c>
    </row>
    <row r="325">
      <c r="A325" s="9" t="inlineStr">
        <is>
          <t>zinc</t>
        </is>
      </c>
      <c r="B325" s="9" t="inlineStr">
        <is>
          <t>metal base</t>
        </is>
      </c>
      <c r="C325" s="9" t="n">
        <v>2007</v>
      </c>
      <c r="D325" s="9" t="inlineStr">
        <is>
          <t>2608</t>
        </is>
      </c>
      <c r="E325" s="9" t="n">
        <v>236420656</v>
      </c>
      <c r="F325" s="9" t="n">
        <v>213566.423</v>
      </c>
      <c r="G325" s="9" t="n">
        <v>1107.01</v>
      </c>
      <c r="H325" s="9" t="n">
        <v>3400</v>
      </c>
      <c r="I325" s="9" t="n">
        <v>0.3256</v>
      </c>
      <c r="J325" s="9" t="inlineStr">
        <is>
          <t>propio</t>
        </is>
      </c>
      <c r="K325" s="8" t="n"/>
      <c r="L325" s="11">
        <f>IF(F325=0,"",E325/F325)</f>
        <v/>
      </c>
      <c r="M325" s="11">
        <f>IF(ISNUMBER(L325),ROUND(L325-G325,4),"")</f>
        <v/>
      </c>
      <c r="N325" s="11">
        <f>IF(H325=0,"",G325/H325)</f>
        <v/>
      </c>
      <c r="O325" s="11">
        <f>IF(ISNUMBER(N325),ROUND(N325-I325,4),"")</f>
        <v/>
      </c>
    </row>
    <row r="326">
      <c r="A326" s="6" t="inlineStr">
        <is>
          <t>zinc</t>
        </is>
      </c>
      <c r="B326" s="6" t="inlineStr">
        <is>
          <t>metal base</t>
        </is>
      </c>
      <c r="C326" s="6" t="n">
        <v>2008</v>
      </c>
      <c r="D326" s="6" t="inlineStr">
        <is>
          <t>2608</t>
        </is>
      </c>
      <c r="E326" s="6" t="n">
        <v>105236361</v>
      </c>
      <c r="F326" s="6" t="n">
        <v>176942.921</v>
      </c>
      <c r="G326" s="6" t="n">
        <v>594.75</v>
      </c>
      <c r="H326" s="6" t="n">
        <v>1960</v>
      </c>
      <c r="I326" s="6" t="n">
        <v>0.3034</v>
      </c>
      <c r="J326" s="6" t="inlineStr">
        <is>
          <t>propio</t>
        </is>
      </c>
      <c r="K326" s="5" t="n"/>
      <c r="L326" s="11">
        <f>IF(F326=0,"",E326/F326)</f>
        <v/>
      </c>
      <c r="M326" s="11">
        <f>IF(ISNUMBER(L326),ROUND(L326-G326,4),"")</f>
        <v/>
      </c>
      <c r="N326" s="11">
        <f>IF(H326=0,"",G326/H326)</f>
        <v/>
      </c>
      <c r="O326" s="11">
        <f>IF(ISNUMBER(N326),ROUND(N326-I326,4),"")</f>
        <v/>
      </c>
    </row>
    <row r="327">
      <c r="A327" s="9" t="inlineStr">
        <is>
          <t>zinc</t>
        </is>
      </c>
      <c r="B327" s="9" t="inlineStr">
        <is>
          <t>metal base</t>
        </is>
      </c>
      <c r="C327" s="9" t="n">
        <v>2009</v>
      </c>
      <c r="D327" s="9" t="inlineStr">
        <is>
          <t>2608</t>
        </is>
      </c>
      <c r="E327" s="9" t="n">
        <v>136594996</v>
      </c>
      <c r="F327" s="9" t="n">
        <v>301328.217</v>
      </c>
      <c r="G327" s="9" t="n">
        <v>453.31</v>
      </c>
      <c r="H327" s="9" t="n">
        <v>1720</v>
      </c>
      <c r="I327" s="9" t="n">
        <v>0.2636</v>
      </c>
      <c r="J327" s="9" t="inlineStr">
        <is>
          <t>propio</t>
        </is>
      </c>
      <c r="K327" s="8" t="n"/>
      <c r="L327" s="11">
        <f>IF(F327=0,"",E327/F327)</f>
        <v/>
      </c>
      <c r="M327" s="11">
        <f>IF(ISNUMBER(L327),ROUND(L327-G327,4),"")</f>
        <v/>
      </c>
      <c r="N327" s="11">
        <f>IF(H327=0,"",G327/H327)</f>
        <v/>
      </c>
      <c r="O327" s="11">
        <f>IF(ISNUMBER(N327),ROUND(N327-I327,4),"")</f>
        <v/>
      </c>
    </row>
    <row r="328">
      <c r="A328" s="6" t="inlineStr">
        <is>
          <t>zinc</t>
        </is>
      </c>
      <c r="B328" s="6" t="inlineStr">
        <is>
          <t>metal base</t>
        </is>
      </c>
      <c r="C328" s="6" t="n">
        <v>2010</v>
      </c>
      <c r="D328" s="6" t="inlineStr">
        <is>
          <t>2608</t>
        </is>
      </c>
      <c r="E328" s="6" t="n">
        <v>328503291</v>
      </c>
      <c r="F328" s="6" t="n">
        <v>477550.256</v>
      </c>
      <c r="G328" s="6" t="n">
        <v>687.89</v>
      </c>
      <c r="H328" s="6" t="n">
        <v>2250</v>
      </c>
      <c r="I328" s="6" t="n">
        <v>0.3057</v>
      </c>
      <c r="J328" s="6" t="inlineStr">
        <is>
          <t>propio</t>
        </is>
      </c>
      <c r="K328" s="5" t="n"/>
      <c r="L328" s="11">
        <f>IF(F328=0,"",E328/F328)</f>
        <v/>
      </c>
      <c r="M328" s="11">
        <f>IF(ISNUMBER(L328),ROUND(L328-G328,4),"")</f>
        <v/>
      </c>
      <c r="N328" s="11">
        <f>IF(H328=0,"",G328/H328)</f>
        <v/>
      </c>
      <c r="O328" s="11">
        <f>IF(ISNUMBER(N328),ROUND(N328-I328,4),"")</f>
        <v/>
      </c>
    </row>
    <row r="329">
      <c r="A329" s="9" t="inlineStr">
        <is>
          <t>zinc</t>
        </is>
      </c>
      <c r="B329" s="9" t="inlineStr">
        <is>
          <t>metal base</t>
        </is>
      </c>
      <c r="C329" s="9" t="n">
        <v>2011</v>
      </c>
      <c r="D329" s="9" t="inlineStr">
        <is>
          <t>2608</t>
        </is>
      </c>
      <c r="E329" s="9" t="n">
        <v>441759771</v>
      </c>
      <c r="F329" s="9" t="n">
        <v>483624.671</v>
      </c>
      <c r="G329" s="9" t="n">
        <v>913.4400000000001</v>
      </c>
      <c r="H329" s="9" t="n">
        <v>2340</v>
      </c>
      <c r="I329" s="9" t="n">
        <v>0.3904</v>
      </c>
      <c r="J329" s="9" t="inlineStr">
        <is>
          <t>propio</t>
        </is>
      </c>
      <c r="K329" s="8" t="n"/>
      <c r="L329" s="11">
        <f>IF(F329=0,"",E329/F329)</f>
        <v/>
      </c>
      <c r="M329" s="11">
        <f>IF(ISNUMBER(L329),ROUND(L329-G329,4),"")</f>
        <v/>
      </c>
      <c r="N329" s="11">
        <f>IF(H329=0,"",G329/H329)</f>
        <v/>
      </c>
      <c r="O329" s="11">
        <f>IF(ISNUMBER(N329),ROUND(N329-I329,4),"")</f>
        <v/>
      </c>
    </row>
    <row r="330">
      <c r="A330" s="6" t="inlineStr">
        <is>
          <t>zinc</t>
        </is>
      </c>
      <c r="B330" s="6" t="inlineStr">
        <is>
          <t>metal base</t>
        </is>
      </c>
      <c r="C330" s="6" t="n">
        <v>2012</v>
      </c>
      <c r="D330" s="6" t="inlineStr">
        <is>
          <t>2608</t>
        </is>
      </c>
      <c r="E330" s="6" t="n">
        <v>499961383</v>
      </c>
      <c r="F330" s="6" t="n">
        <v>598836.02</v>
      </c>
      <c r="G330" s="6" t="n">
        <v>834.89</v>
      </c>
      <c r="H330" s="6" t="n">
        <v>2110</v>
      </c>
      <c r="I330" s="6" t="n">
        <v>0.3957</v>
      </c>
      <c r="J330" s="6" t="inlineStr">
        <is>
          <t>propio</t>
        </is>
      </c>
      <c r="K330" s="5" t="n"/>
      <c r="L330" s="11">
        <f>IF(F330=0,"",E330/F330)</f>
        <v/>
      </c>
      <c r="M330" s="11">
        <f>IF(ISNUMBER(L330),ROUND(L330-G330,4),"")</f>
        <v/>
      </c>
      <c r="N330" s="11">
        <f>IF(H330=0,"",G330/H330)</f>
        <v/>
      </c>
      <c r="O330" s="11">
        <f>IF(ISNUMBER(N330),ROUND(N330-I330,4),"")</f>
        <v/>
      </c>
    </row>
    <row r="331">
      <c r="A331" s="9" t="inlineStr">
        <is>
          <t>zinc</t>
        </is>
      </c>
      <c r="B331" s="9" t="inlineStr">
        <is>
          <t>metal base</t>
        </is>
      </c>
      <c r="C331" s="9" t="n">
        <v>2013</v>
      </c>
      <c r="D331" s="9" t="inlineStr">
        <is>
          <t>2608</t>
        </is>
      </c>
      <c r="E331" s="9" t="n">
        <v>409476638</v>
      </c>
      <c r="F331" s="9" t="n">
        <v>532029.103</v>
      </c>
      <c r="G331" s="9" t="n">
        <v>769.65</v>
      </c>
      <c r="H331" s="9" t="n">
        <v>2110</v>
      </c>
      <c r="I331" s="9" t="n">
        <v>0.3648</v>
      </c>
      <c r="J331" s="9" t="inlineStr">
        <is>
          <t>propio</t>
        </is>
      </c>
      <c r="K331" s="8" t="n"/>
      <c r="L331" s="11">
        <f>IF(F331=0,"",E331/F331)</f>
        <v/>
      </c>
      <c r="M331" s="11">
        <f>IF(ISNUMBER(L331),ROUND(L331-G331,4),"")</f>
        <v/>
      </c>
      <c r="N331" s="11">
        <f>IF(H331=0,"",G331/H331)</f>
        <v/>
      </c>
      <c r="O331" s="11">
        <f>IF(ISNUMBER(N331),ROUND(N331-I331,4),"")</f>
        <v/>
      </c>
    </row>
    <row r="332">
      <c r="A332" s="6" t="inlineStr">
        <is>
          <t>zinc</t>
        </is>
      </c>
      <c r="B332" s="6" t="inlineStr">
        <is>
          <t>metal base</t>
        </is>
      </c>
      <c r="C332" s="6" t="n">
        <v>2014</v>
      </c>
      <c r="D332" s="6" t="inlineStr">
        <is>
          <t>2608</t>
        </is>
      </c>
      <c r="E332" s="6" t="n">
        <v>309233960</v>
      </c>
      <c r="F332" s="6" t="n">
        <v>366059.33</v>
      </c>
      <c r="G332" s="6" t="n">
        <v>844.76</v>
      </c>
      <c r="H332" s="6" t="n">
        <v>2360</v>
      </c>
      <c r="I332" s="6" t="n">
        <v>0.358</v>
      </c>
      <c r="J332" s="6" t="inlineStr">
        <is>
          <t>propio</t>
        </is>
      </c>
      <c r="K332" s="5" t="n"/>
      <c r="L332" s="11">
        <f>IF(F332=0,"",E332/F332)</f>
        <v/>
      </c>
      <c r="M332" s="11">
        <f>IF(ISNUMBER(L332),ROUND(L332-G332,4),"")</f>
        <v/>
      </c>
      <c r="N332" s="11">
        <f>IF(H332=0,"",G332/H332)</f>
        <v/>
      </c>
      <c r="O332" s="11">
        <f>IF(ISNUMBER(N332),ROUND(N332-I332,4),"")</f>
        <v/>
      </c>
    </row>
    <row r="333">
      <c r="A333" s="9" t="inlineStr">
        <is>
          <t>zinc</t>
        </is>
      </c>
      <c r="B333" s="9" t="inlineStr">
        <is>
          <t>metal base</t>
        </is>
      </c>
      <c r="C333" s="9" t="n">
        <v>2015</v>
      </c>
      <c r="D333" s="9" t="inlineStr">
        <is>
          <t>2608</t>
        </is>
      </c>
      <c r="E333" s="9" t="n">
        <v>365685096</v>
      </c>
      <c r="F333" s="9" t="n">
        <v>564426.943</v>
      </c>
      <c r="G333" s="9" t="n">
        <v>647.89</v>
      </c>
      <c r="H333" s="9" t="n">
        <v>2110</v>
      </c>
      <c r="I333" s="9" t="n">
        <v>0.3071</v>
      </c>
      <c r="J333" s="9" t="inlineStr">
        <is>
          <t>propio</t>
        </is>
      </c>
      <c r="K333" s="8" t="n"/>
      <c r="L333" s="11">
        <f>IF(F333=0,"",E333/F333)</f>
        <v/>
      </c>
      <c r="M333" s="11">
        <f>IF(ISNUMBER(L333),ROUND(L333-G333,4),"")</f>
        <v/>
      </c>
      <c r="N333" s="11">
        <f>IF(H333=0,"",G333/H333)</f>
        <v/>
      </c>
      <c r="O333" s="11">
        <f>IF(ISNUMBER(N333),ROUND(N333-I333,4),"")</f>
        <v/>
      </c>
    </row>
    <row r="334">
      <c r="A334" s="6" t="inlineStr">
        <is>
          <t>zinc</t>
        </is>
      </c>
      <c r="B334" s="6" t="inlineStr">
        <is>
          <t>metal base</t>
        </is>
      </c>
      <c r="C334" s="6" t="n">
        <v>2016</v>
      </c>
      <c r="D334" s="6" t="inlineStr">
        <is>
          <t>2608</t>
        </is>
      </c>
      <c r="E334" s="6" t="n">
        <v>564250705</v>
      </c>
      <c r="F334" s="6" t="n">
        <v>844378.214</v>
      </c>
      <c r="G334" s="6" t="n">
        <v>668.24</v>
      </c>
      <c r="H334" s="6" t="n">
        <v>2240</v>
      </c>
      <c r="I334" s="6" t="n">
        <v>0.2983</v>
      </c>
      <c r="J334" s="6" t="inlineStr">
        <is>
          <t>propio</t>
        </is>
      </c>
      <c r="K334" s="5" t="n"/>
      <c r="L334" s="11">
        <f>IF(F334=0,"",E334/F334)</f>
        <v/>
      </c>
      <c r="M334" s="11">
        <f>IF(ISNUMBER(L334),ROUND(L334-G334,4),"")</f>
        <v/>
      </c>
      <c r="N334" s="11">
        <f>IF(H334=0,"",G334/H334)</f>
        <v/>
      </c>
      <c r="O334" s="11">
        <f>IF(ISNUMBER(N334),ROUND(N334-I334,4),"")</f>
        <v/>
      </c>
    </row>
    <row r="335">
      <c r="A335" s="9" t="inlineStr">
        <is>
          <t>zinc</t>
        </is>
      </c>
      <c r="B335" s="9" t="inlineStr">
        <is>
          <t>metal base</t>
        </is>
      </c>
      <c r="C335" s="9" t="n">
        <v>2017</v>
      </c>
      <c r="D335" s="9" t="inlineStr">
        <is>
          <t>2608</t>
        </is>
      </c>
      <c r="E335" s="9" t="n">
        <v>640110077</v>
      </c>
      <c r="F335" s="9" t="n">
        <v>604736.3959999999</v>
      </c>
      <c r="G335" s="9" t="n">
        <v>1058.49</v>
      </c>
      <c r="H335" s="9" t="n">
        <v>3070</v>
      </c>
      <c r="I335" s="9" t="n">
        <v>0.3448</v>
      </c>
      <c r="J335" s="9" t="inlineStr">
        <is>
          <t>propio</t>
        </is>
      </c>
      <c r="K335" s="8" t="n"/>
      <c r="L335" s="11">
        <f>IF(F335=0,"",E335/F335)</f>
        <v/>
      </c>
      <c r="M335" s="11">
        <f>IF(ISNUMBER(L335),ROUND(L335-G335,4),"")</f>
        <v/>
      </c>
      <c r="N335" s="11">
        <f>IF(H335=0,"",G335/H335)</f>
        <v/>
      </c>
      <c r="O335" s="11">
        <f>IF(ISNUMBER(N335),ROUND(N335-I335,4),"")</f>
        <v/>
      </c>
    </row>
    <row r="336">
      <c r="A336" s="6" t="inlineStr">
        <is>
          <t>zinc</t>
        </is>
      </c>
      <c r="B336" s="6" t="inlineStr">
        <is>
          <t>metal base</t>
        </is>
      </c>
      <c r="C336" s="6" t="n">
        <v>2018</v>
      </c>
      <c r="D336" s="6" t="inlineStr">
        <is>
          <t>2608</t>
        </is>
      </c>
      <c r="E336" s="6" t="n">
        <v>795496776</v>
      </c>
      <c r="F336" s="6" t="n">
        <v>673203.013</v>
      </c>
      <c r="G336" s="6" t="n">
        <v>1181.66</v>
      </c>
      <c r="H336" s="6" t="n">
        <v>3110</v>
      </c>
      <c r="I336" s="6" t="n">
        <v>0.38</v>
      </c>
      <c r="J336" s="6" t="inlineStr">
        <is>
          <t>propio</t>
        </is>
      </c>
      <c r="K336" s="5" t="n"/>
      <c r="L336" s="11">
        <f>IF(F336=0,"",E336/F336)</f>
        <v/>
      </c>
      <c r="M336" s="11">
        <f>IF(ISNUMBER(L336),ROUND(L336-G336,4),"")</f>
        <v/>
      </c>
      <c r="N336" s="11">
        <f>IF(H336=0,"",G336/H336)</f>
        <v/>
      </c>
      <c r="O336" s="11">
        <f>IF(ISNUMBER(N336),ROUND(N336-I336,4),"")</f>
        <v/>
      </c>
    </row>
    <row r="337">
      <c r="A337" s="9" t="inlineStr">
        <is>
          <t>zinc</t>
        </is>
      </c>
      <c r="B337" s="9" t="inlineStr">
        <is>
          <t>metal base</t>
        </is>
      </c>
      <c r="C337" s="9" t="n">
        <v>2019</v>
      </c>
      <c r="D337" s="9" t="inlineStr">
        <is>
          <t>2608</t>
        </is>
      </c>
      <c r="E337" s="9" t="n">
        <v>655723459</v>
      </c>
      <c r="F337" s="9" t="n">
        <v>768941.434</v>
      </c>
      <c r="G337" s="9" t="n">
        <v>852.76</v>
      </c>
      <c r="H337" s="9" t="n">
        <v>2740</v>
      </c>
      <c r="I337" s="9" t="n">
        <v>0.3112</v>
      </c>
      <c r="J337" s="9" t="inlineStr">
        <is>
          <t>propio</t>
        </is>
      </c>
      <c r="K337" s="8" t="n"/>
      <c r="L337" s="11">
        <f>IF(F337=0,"",E337/F337)</f>
        <v/>
      </c>
      <c r="M337" s="11">
        <f>IF(ISNUMBER(L337),ROUND(L337-G337,4),"")</f>
        <v/>
      </c>
      <c r="N337" s="11">
        <f>IF(H337=0,"",G337/H337)</f>
        <v/>
      </c>
      <c r="O337" s="11">
        <f>IF(ISNUMBER(N337),ROUND(N337-I337,4),"")</f>
        <v/>
      </c>
    </row>
    <row r="338">
      <c r="A338" s="6" t="inlineStr">
        <is>
          <t>zinc</t>
        </is>
      </c>
      <c r="B338" s="6" t="inlineStr">
        <is>
          <t>metal base</t>
        </is>
      </c>
      <c r="C338" s="6" t="n">
        <v>2020</v>
      </c>
      <c r="D338" s="6" t="inlineStr">
        <is>
          <t>2608</t>
        </is>
      </c>
      <c r="E338" s="6" t="n">
        <v>646136225</v>
      </c>
      <c r="F338" s="6" t="n">
        <v>921458.981</v>
      </c>
      <c r="G338" s="6" t="n">
        <v>701.21</v>
      </c>
      <c r="H338" s="6" t="n">
        <v>2440</v>
      </c>
      <c r="I338" s="6" t="n">
        <v>0.2874</v>
      </c>
      <c r="J338" s="6" t="inlineStr">
        <is>
          <t>propio</t>
        </is>
      </c>
      <c r="K338" s="5" t="n"/>
      <c r="L338" s="11">
        <f>IF(F338=0,"",E338/F338)</f>
        <v/>
      </c>
      <c r="M338" s="11">
        <f>IF(ISNUMBER(L338),ROUND(L338-G338,4),"")</f>
        <v/>
      </c>
      <c r="N338" s="11">
        <f>IF(H338=0,"",G338/H338)</f>
        <v/>
      </c>
      <c r="O338" s="11">
        <f>IF(ISNUMBER(N338),ROUND(N338-I338,4),"")</f>
        <v/>
      </c>
    </row>
    <row r="339">
      <c r="A339" s="9" t="inlineStr">
        <is>
          <t>zinc</t>
        </is>
      </c>
      <c r="B339" s="9" t="inlineStr">
        <is>
          <t>metal base</t>
        </is>
      </c>
      <c r="C339" s="9" t="n">
        <v>2021</v>
      </c>
      <c r="D339" s="9" t="inlineStr">
        <is>
          <t>2608</t>
        </is>
      </c>
      <c r="E339" s="9" t="n">
        <v>248335725</v>
      </c>
      <c r="F339" s="9" t="n">
        <v>173725.33</v>
      </c>
      <c r="G339" s="9" t="n">
        <v>1429.47</v>
      </c>
      <c r="H339" s="9" t="n">
        <v>3220</v>
      </c>
      <c r="I339" s="9" t="n">
        <v>0.4439</v>
      </c>
      <c r="J339" s="9" t="inlineStr">
        <is>
          <t>propio</t>
        </is>
      </c>
      <c r="K339" s="8" t="n"/>
      <c r="L339" s="11">
        <f>IF(F339=0,"",E339/F339)</f>
        <v/>
      </c>
      <c r="M339" s="11">
        <f>IF(ISNUMBER(L339),ROUND(L339-G339,4),"")</f>
        <v/>
      </c>
      <c r="N339" s="11">
        <f>IF(H339=0,"",G339/H339)</f>
        <v/>
      </c>
      <c r="O339" s="11">
        <f>IF(ISNUMBER(N339),ROUND(N339-I339,4),"")</f>
        <v/>
      </c>
    </row>
    <row r="340">
      <c r="A340" s="6" t="inlineStr">
        <is>
          <t>zinc</t>
        </is>
      </c>
      <c r="B340" s="6" t="inlineStr">
        <is>
          <t>metal base</t>
        </is>
      </c>
      <c r="C340" s="6" t="n">
        <v>2022</v>
      </c>
      <c r="D340" s="6" t="inlineStr">
        <is>
          <t>2608</t>
        </is>
      </c>
      <c r="E340" s="6" t="n">
        <v>399116625</v>
      </c>
      <c r="F340" s="6" t="n">
        <v>268809.842</v>
      </c>
      <c r="G340" s="6" t="n">
        <v>1484.75</v>
      </c>
      <c r="H340" s="6" t="n">
        <v>4190</v>
      </c>
      <c r="I340" s="6" t="n">
        <v>0.3544</v>
      </c>
      <c r="J340" s="6" t="inlineStr">
        <is>
          <t>propio</t>
        </is>
      </c>
      <c r="K340" s="5" t="n"/>
      <c r="L340" s="11">
        <f>IF(F340=0,"",E340/F340)</f>
        <v/>
      </c>
      <c r="M340" s="11">
        <f>IF(ISNUMBER(L340),ROUND(L340-G340,4),"")</f>
        <v/>
      </c>
      <c r="N340" s="11">
        <f>IF(H340=0,"",G340/H340)</f>
        <v/>
      </c>
      <c r="O340" s="11">
        <f>IF(ISNUMBER(N340),ROUND(N340-I340,4),"")</f>
        <v/>
      </c>
    </row>
    <row r="341">
      <c r="A341" s="9" t="inlineStr">
        <is>
          <t>zinc</t>
        </is>
      </c>
      <c r="B341" s="9" t="inlineStr">
        <is>
          <t>metal base</t>
        </is>
      </c>
      <c r="C341" s="9" t="n">
        <v>2023</v>
      </c>
      <c r="D341" s="9" t="inlineStr">
        <is>
          <t>2608</t>
        </is>
      </c>
      <c r="E341" s="9" t="n">
        <v>245944426</v>
      </c>
      <c r="F341" s="9" t="n">
        <v>202504.6</v>
      </c>
      <c r="G341" s="9" t="n">
        <v>1214.51</v>
      </c>
      <c r="H341" s="9" t="n">
        <v>3184.84</v>
      </c>
      <c r="I341" s="9" t="n">
        <v>0.3813</v>
      </c>
      <c r="J341" s="9" t="inlineStr">
        <is>
          <t>propio</t>
        </is>
      </c>
      <c r="K341" s="8" t="n"/>
      <c r="L341" s="11">
        <f>IF(F341=0,"",E341/F341)</f>
        <v/>
      </c>
      <c r="M341" s="11">
        <f>IF(ISNUMBER(L341),ROUND(L341-G341,4),"")</f>
        <v/>
      </c>
      <c r="N341" s="11">
        <f>IF(H341=0,"",G341/H341)</f>
        <v/>
      </c>
      <c r="O341" s="11">
        <f>IF(ISNUMBER(N341),ROUND(N341-I341,4),"")</f>
        <v/>
      </c>
    </row>
    <row r="342">
      <c r="A342" s="6" t="inlineStr">
        <is>
          <t>zinc</t>
        </is>
      </c>
      <c r="B342" s="6" t="inlineStr">
        <is>
          <t>metal base</t>
        </is>
      </c>
      <c r="C342" s="6" t="n">
        <v>2024</v>
      </c>
      <c r="D342" s="6" t="inlineStr">
        <is>
          <t>2608</t>
        </is>
      </c>
      <c r="E342" s="6" t="n">
        <v>577061971</v>
      </c>
      <c r="F342" s="6" t="n">
        <v>486204.8</v>
      </c>
      <c r="G342" s="6" t="n">
        <v>1186.87</v>
      </c>
      <c r="H342" s="6" t="n">
        <v>3339.6</v>
      </c>
      <c r="I342" s="6" t="n">
        <v>0.3554</v>
      </c>
      <c r="J342" s="6" t="inlineStr">
        <is>
          <t>propio</t>
        </is>
      </c>
      <c r="K342" s="5" t="n"/>
      <c r="L342" s="11">
        <f>IF(F342=0,"",E342/F342)</f>
        <v/>
      </c>
      <c r="M342" s="11">
        <f>IF(ISNUMBER(L342),ROUND(L342-G342,4),"")</f>
        <v/>
      </c>
      <c r="N342" s="11">
        <f>IF(H342=0,"",G342/H342)</f>
        <v/>
      </c>
      <c r="O342" s="11">
        <f>IF(ISNUMBER(N342),ROUND(N342-I342,4),"")</f>
        <v/>
      </c>
    </row>
    <row r="343">
      <c r="A343" s="9" t="inlineStr">
        <is>
          <t>zinc</t>
        </is>
      </c>
      <c r="B343" s="9" t="inlineStr">
        <is>
          <t>metal base</t>
        </is>
      </c>
      <c r="C343" s="9" t="n">
        <v>2025</v>
      </c>
      <c r="D343" s="9" t="inlineStr">
        <is>
          <t>2608</t>
        </is>
      </c>
      <c r="E343" s="9" t="n">
        <v>770001368</v>
      </c>
      <c r="F343" s="9" t="n">
        <v>565691.978</v>
      </c>
      <c r="G343" s="9" t="n">
        <v>1361.17</v>
      </c>
      <c r="H343" s="9" t="n">
        <v>3445.7</v>
      </c>
      <c r="I343" s="9" t="n">
        <v>0.395</v>
      </c>
      <c r="J343" s="9" t="inlineStr">
        <is>
          <t>propio</t>
        </is>
      </c>
      <c r="K343" s="8" t="n"/>
      <c r="L343" s="11">
        <f>IF(F343=0,"",E343/F343)</f>
        <v/>
      </c>
      <c r="M343" s="11">
        <f>IF(ISNUMBER(L343),ROUND(L343-G343,4),"")</f>
        <v/>
      </c>
      <c r="N343" s="11">
        <f>IF(H343=0,"",G343/H343)</f>
        <v/>
      </c>
      <c r="O343" s="11">
        <f>IF(ISNUMBER(N343),ROUND(N343-I343,4),"")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22" customWidth="1" min="4" max="4"/>
    <col width="16" customWidth="1" min="5" max="5"/>
    <col width="24" customWidth="1" min="6" max="6"/>
    <col width="10" customWidth="1" min="7" max="7"/>
  </cols>
  <sheetData>
    <row r="1" ht="24" customHeight="1">
      <c r="A1" s="1" t="inlineStr">
        <is>
          <t>Precios USGS anuales empalmados (denominador del CCV y valuacion de produccion)</t>
        </is>
      </c>
    </row>
    <row r="2" ht="40" customHeight="1">
      <c r="A2" s="2" t="inlineStr">
        <is>
          <t>Precio de referencia del producto refinado, USD/t nominal y constante 1998. 'metodo'/'serie_fuente'/'factor' documentan el empalme entre ediciones del USGS. Resultado de la extraccion USGS (no aritmetico simple: enlace por factor).</t>
        </is>
      </c>
    </row>
    <row r="3">
      <c r="A3" s="3" t="inlineStr">
        <is>
          <t>mineral</t>
        </is>
      </c>
      <c r="B3" s="3" t="inlineStr">
        <is>
          <t>anio</t>
        </is>
      </c>
      <c r="C3" s="3" t="inlineStr">
        <is>
          <t>precio_usd_t_nominal</t>
        </is>
      </c>
      <c r="D3" s="3" t="inlineStr">
        <is>
          <t>precio_usd_t_const1998</t>
        </is>
      </c>
      <c r="E3" s="3" t="inlineStr">
        <is>
          <t>metodo</t>
        </is>
      </c>
      <c r="F3" s="3" t="inlineStr">
        <is>
          <t>serie_fuente</t>
        </is>
      </c>
      <c r="G3" s="3" t="inlineStr">
        <is>
          <t>factor</t>
        </is>
      </c>
    </row>
    <row r="4">
      <c r="A4" s="6" t="inlineStr">
        <is>
          <t>Barita</t>
        </is>
      </c>
      <c r="B4" s="6" t="n">
        <v>1990</v>
      </c>
      <c r="C4" s="6" t="n">
        <v>46.7</v>
      </c>
      <c r="D4" s="6" t="n">
        <v>58.2</v>
      </c>
      <c r="E4" s="5" t="inlineStr">
        <is>
          <t>DS-140</t>
        </is>
      </c>
      <c r="F4" s="5" t="inlineStr">
        <is>
          <t>USGS DS-140 valor unitario consumo aparente</t>
        </is>
      </c>
      <c r="G4" s="6" t="n"/>
    </row>
    <row r="5">
      <c r="A5" s="9" t="inlineStr">
        <is>
          <t>Barita</t>
        </is>
      </c>
      <c r="B5" s="9" t="n">
        <v>1991</v>
      </c>
      <c r="C5" s="9" t="n">
        <v>51.6</v>
      </c>
      <c r="D5" s="9" t="n">
        <v>61.8</v>
      </c>
      <c r="E5" s="8" t="inlineStr">
        <is>
          <t>DS-140</t>
        </is>
      </c>
      <c r="F5" s="8" t="inlineStr">
        <is>
          <t>USGS DS-140 valor unitario consumo aparente</t>
        </is>
      </c>
      <c r="G5" s="9" t="n"/>
    </row>
    <row r="6">
      <c r="A6" s="6" t="inlineStr">
        <is>
          <t>Barita</t>
        </is>
      </c>
      <c r="B6" s="6" t="n">
        <v>1992</v>
      </c>
      <c r="C6" s="6" t="n">
        <v>51.8</v>
      </c>
      <c r="D6" s="6" t="n">
        <v>60.1</v>
      </c>
      <c r="E6" s="5" t="inlineStr">
        <is>
          <t>DS-140</t>
        </is>
      </c>
      <c r="F6" s="5" t="inlineStr">
        <is>
          <t>USGS DS-140 valor unitario consumo aparente</t>
        </is>
      </c>
      <c r="G6" s="6" t="n"/>
    </row>
    <row r="7">
      <c r="A7" s="9" t="inlineStr">
        <is>
          <t>Barita</t>
        </is>
      </c>
      <c r="B7" s="9" t="n">
        <v>1993</v>
      </c>
      <c r="C7" s="9" t="n">
        <v>45.8</v>
      </c>
      <c r="D7" s="9" t="n">
        <v>51.6</v>
      </c>
      <c r="E7" s="8" t="inlineStr">
        <is>
          <t>DS-140</t>
        </is>
      </c>
      <c r="F7" s="8" t="inlineStr">
        <is>
          <t>USGS DS-140 valor unitario consumo aparente</t>
        </is>
      </c>
      <c r="G7" s="9" t="n"/>
    </row>
    <row r="8">
      <c r="A8" s="6" t="inlineStr">
        <is>
          <t>Barita</t>
        </is>
      </c>
      <c r="B8" s="6" t="n">
        <v>1994</v>
      </c>
      <c r="C8" s="6" t="n">
        <v>38.8</v>
      </c>
      <c r="D8" s="6" t="n">
        <v>42.7</v>
      </c>
      <c r="E8" s="5" t="inlineStr">
        <is>
          <t>DS-140</t>
        </is>
      </c>
      <c r="F8" s="5" t="inlineStr">
        <is>
          <t>USGS DS-140 valor unitario consumo aparente</t>
        </is>
      </c>
      <c r="G8" s="6" t="n"/>
    </row>
    <row r="9">
      <c r="A9" s="9" t="inlineStr">
        <is>
          <t>Barita</t>
        </is>
      </c>
      <c r="B9" s="9" t="n">
        <v>1995</v>
      </c>
      <c r="C9" s="9" t="n">
        <v>42.9</v>
      </c>
      <c r="D9" s="9" t="n">
        <v>45.9</v>
      </c>
      <c r="E9" s="8" t="inlineStr">
        <is>
          <t>DS-140</t>
        </is>
      </c>
      <c r="F9" s="8" t="inlineStr">
        <is>
          <t>USGS DS-140 valor unitario consumo aparente</t>
        </is>
      </c>
      <c r="G9" s="9" t="n"/>
    </row>
    <row r="10">
      <c r="A10" s="6" t="inlineStr">
        <is>
          <t>Barita</t>
        </is>
      </c>
      <c r="B10" s="6" t="n">
        <v>1996</v>
      </c>
      <c r="C10" s="6" t="n">
        <v>42.7</v>
      </c>
      <c r="D10" s="6" t="n">
        <v>44.4</v>
      </c>
      <c r="E10" s="5" t="inlineStr">
        <is>
          <t>DS-140</t>
        </is>
      </c>
      <c r="F10" s="5" t="inlineStr">
        <is>
          <t>USGS DS-140 valor unitario consumo aparente</t>
        </is>
      </c>
      <c r="G10" s="6" t="n"/>
    </row>
    <row r="11">
      <c r="A11" s="9" t="inlineStr">
        <is>
          <t>Barita</t>
        </is>
      </c>
      <c r="B11" s="9" t="n">
        <v>1997</v>
      </c>
      <c r="C11" s="9" t="n">
        <v>46.2</v>
      </c>
      <c r="D11" s="9" t="n">
        <v>46.9</v>
      </c>
      <c r="E11" s="8" t="inlineStr">
        <is>
          <t>DS-140</t>
        </is>
      </c>
      <c r="F11" s="8" t="inlineStr">
        <is>
          <t>USGS DS-140 valor unitario consumo aparente</t>
        </is>
      </c>
      <c r="G11" s="9" t="n"/>
    </row>
    <row r="12">
      <c r="A12" s="6" t="inlineStr">
        <is>
          <t>Barita</t>
        </is>
      </c>
      <c r="B12" s="6" t="n">
        <v>1998</v>
      </c>
      <c r="C12" s="6" t="n">
        <v>57.1</v>
      </c>
      <c r="D12" s="6" t="n">
        <v>57.1</v>
      </c>
      <c r="E12" s="5" t="inlineStr">
        <is>
          <t>DS-140</t>
        </is>
      </c>
      <c r="F12" s="5" t="inlineStr">
        <is>
          <t>USGS DS-140 valor unitario consumo aparente</t>
        </is>
      </c>
      <c r="G12" s="6" t="n"/>
    </row>
    <row r="13">
      <c r="A13" s="9" t="inlineStr">
        <is>
          <t>Barita</t>
        </is>
      </c>
      <c r="B13" s="9" t="n">
        <v>1999</v>
      </c>
      <c r="C13" s="9" t="n">
        <v>52.5</v>
      </c>
      <c r="D13" s="9" t="n">
        <v>51.4</v>
      </c>
      <c r="E13" s="8" t="inlineStr">
        <is>
          <t>DS-140</t>
        </is>
      </c>
      <c r="F13" s="8" t="inlineStr">
        <is>
          <t>USGS DS-140 valor unitario consumo aparente</t>
        </is>
      </c>
      <c r="G13" s="9" t="n"/>
    </row>
    <row r="14">
      <c r="A14" s="6" t="inlineStr">
        <is>
          <t>Barita</t>
        </is>
      </c>
      <c r="B14" s="6" t="n">
        <v>2000</v>
      </c>
      <c r="C14" s="6" t="n">
        <v>46.3</v>
      </c>
      <c r="D14" s="6" t="n">
        <v>43.8</v>
      </c>
      <c r="E14" s="5" t="inlineStr">
        <is>
          <t>DS-140</t>
        </is>
      </c>
      <c r="F14" s="5" t="inlineStr">
        <is>
          <t>USGS DS-140 valor unitario consumo aparente</t>
        </is>
      </c>
      <c r="G14" s="6" t="n"/>
    </row>
    <row r="15">
      <c r="A15" s="9" t="inlineStr">
        <is>
          <t>Barita</t>
        </is>
      </c>
      <c r="B15" s="9" t="n">
        <v>2001</v>
      </c>
      <c r="C15" s="9" t="n">
        <v>45.4</v>
      </c>
      <c r="D15" s="9" t="n">
        <v>41.8</v>
      </c>
      <c r="E15" s="8" t="inlineStr">
        <is>
          <t>DS-140</t>
        </is>
      </c>
      <c r="F15" s="8" t="inlineStr">
        <is>
          <t>USGS DS-140 valor unitario consumo aparente</t>
        </is>
      </c>
      <c r="G15" s="9" t="n"/>
    </row>
    <row r="16">
      <c r="A16" s="6" t="inlineStr">
        <is>
          <t>Barita</t>
        </is>
      </c>
      <c r="B16" s="6" t="n">
        <v>2002</v>
      </c>
      <c r="C16" s="6" t="n">
        <v>46.6</v>
      </c>
      <c r="D16" s="6" t="n">
        <v>42.2</v>
      </c>
      <c r="E16" s="5" t="inlineStr">
        <is>
          <t>DS-140</t>
        </is>
      </c>
      <c r="F16" s="5" t="inlineStr">
        <is>
          <t>USGS DS-140 valor unitario consumo aparente</t>
        </is>
      </c>
      <c r="G16" s="6" t="n"/>
    </row>
    <row r="17">
      <c r="A17" s="9" t="inlineStr">
        <is>
          <t>Barita</t>
        </is>
      </c>
      <c r="B17" s="9" t="n">
        <v>2003</v>
      </c>
      <c r="C17" s="9" t="n">
        <v>45.6</v>
      </c>
      <c r="D17" s="9" t="n">
        <v>40.4</v>
      </c>
      <c r="E17" s="8" t="inlineStr">
        <is>
          <t>DS-140</t>
        </is>
      </c>
      <c r="F17" s="8" t="inlineStr">
        <is>
          <t>USGS DS-140 valor unitario consumo aparente</t>
        </is>
      </c>
      <c r="G17" s="9" t="n"/>
    </row>
    <row r="18">
      <c r="A18" s="6" t="inlineStr">
        <is>
          <t>Barita</t>
        </is>
      </c>
      <c r="B18" s="6" t="n">
        <v>2004</v>
      </c>
      <c r="C18" s="6" t="n">
        <v>49.4</v>
      </c>
      <c r="D18" s="6" t="n">
        <v>42.6</v>
      </c>
      <c r="E18" s="5" t="inlineStr">
        <is>
          <t>DS-140</t>
        </is>
      </c>
      <c r="F18" s="5" t="inlineStr">
        <is>
          <t>USGS DS-140 valor unitario consumo aparente</t>
        </is>
      </c>
      <c r="G18" s="6" t="n"/>
    </row>
    <row r="19">
      <c r="A19" s="9" t="inlineStr">
        <is>
          <t>Barita</t>
        </is>
      </c>
      <c r="B19" s="9" t="n">
        <v>2005</v>
      </c>
      <c r="C19" s="9" t="n">
        <v>55</v>
      </c>
      <c r="D19" s="9" t="n">
        <v>45.9</v>
      </c>
      <c r="E19" s="8" t="inlineStr">
        <is>
          <t>DS-140</t>
        </is>
      </c>
      <c r="F19" s="8" t="inlineStr">
        <is>
          <t>USGS DS-140 valor unitario consumo aparente</t>
        </is>
      </c>
      <c r="G19" s="9" t="n"/>
    </row>
    <row r="20">
      <c r="A20" s="6" t="inlineStr">
        <is>
          <t>Barita</t>
        </is>
      </c>
      <c r="B20" s="6" t="n">
        <v>2006</v>
      </c>
      <c r="C20" s="6" t="n">
        <v>56</v>
      </c>
      <c r="D20" s="6" t="n">
        <v>45.3</v>
      </c>
      <c r="E20" s="5" t="inlineStr">
        <is>
          <t>DS-140</t>
        </is>
      </c>
      <c r="F20" s="5" t="inlineStr">
        <is>
          <t>USGS DS-140 valor unitario consumo aparente</t>
        </is>
      </c>
      <c r="G20" s="6" t="n"/>
    </row>
    <row r="21">
      <c r="A21" s="9" t="inlineStr">
        <is>
          <t>Barita</t>
        </is>
      </c>
      <c r="B21" s="9" t="n">
        <v>2007</v>
      </c>
      <c r="C21" s="9" t="n">
        <v>71.90000000000001</v>
      </c>
      <c r="D21" s="9" t="n">
        <v>56.5</v>
      </c>
      <c r="E21" s="8" t="inlineStr">
        <is>
          <t>DS-140</t>
        </is>
      </c>
      <c r="F21" s="8" t="inlineStr">
        <is>
          <t>USGS DS-140 valor unitario consumo aparente</t>
        </is>
      </c>
      <c r="G21" s="9" t="n"/>
    </row>
    <row r="22">
      <c r="A22" s="6" t="inlineStr">
        <is>
          <t>Barita</t>
        </is>
      </c>
      <c r="B22" s="6" t="n">
        <v>2008</v>
      </c>
      <c r="C22" s="6" t="n">
        <v>76.3</v>
      </c>
      <c r="D22" s="6" t="n">
        <v>57.8</v>
      </c>
      <c r="E22" s="5" t="inlineStr">
        <is>
          <t>DS-140</t>
        </is>
      </c>
      <c r="F22" s="5" t="inlineStr">
        <is>
          <t>USGS DS-140 valor unitario consumo aparente</t>
        </is>
      </c>
      <c r="G22" s="6" t="n"/>
    </row>
    <row r="23">
      <c r="A23" s="9" t="inlineStr">
        <is>
          <t>Barita</t>
        </is>
      </c>
      <c r="B23" s="9" t="n">
        <v>2009</v>
      </c>
      <c r="C23" s="9" t="n">
        <v>85.09999999999999</v>
      </c>
      <c r="D23" s="9" t="n">
        <v>64.7</v>
      </c>
      <c r="E23" s="8" t="inlineStr">
        <is>
          <t>DS-140</t>
        </is>
      </c>
      <c r="F23" s="8" t="inlineStr">
        <is>
          <t>USGS DS-140 valor unitario consumo aparente</t>
        </is>
      </c>
      <c r="G23" s="9" t="n"/>
    </row>
    <row r="24">
      <c r="A24" s="6" t="inlineStr">
        <is>
          <t>Barita</t>
        </is>
      </c>
      <c r="B24" s="6" t="n">
        <v>2010</v>
      </c>
      <c r="C24" s="6" t="n">
        <v>86.2</v>
      </c>
      <c r="D24" s="6" t="n">
        <v>64.40000000000001</v>
      </c>
      <c r="E24" s="5" t="inlineStr">
        <is>
          <t>DS-140</t>
        </is>
      </c>
      <c r="F24" s="5" t="inlineStr">
        <is>
          <t>USGS DS-140 valor unitario consumo aparente</t>
        </is>
      </c>
      <c r="G24" s="6" t="n"/>
    </row>
    <row r="25">
      <c r="A25" s="9" t="inlineStr">
        <is>
          <t>Barita</t>
        </is>
      </c>
      <c r="B25" s="9" t="n">
        <v>2011</v>
      </c>
      <c r="C25" s="9" t="n">
        <v>98.59999999999999</v>
      </c>
      <c r="D25" s="9" t="n">
        <v>71.5</v>
      </c>
      <c r="E25" s="8" t="inlineStr">
        <is>
          <t>DS-140</t>
        </is>
      </c>
      <c r="F25" s="8" t="inlineStr">
        <is>
          <t>USGS DS-140 valor unitario consumo aparente</t>
        </is>
      </c>
      <c r="G25" s="9" t="n"/>
    </row>
    <row r="26">
      <c r="A26" s="6" t="inlineStr">
        <is>
          <t>Barita</t>
        </is>
      </c>
      <c r="B26" s="6" t="n">
        <v>2012</v>
      </c>
      <c r="C26" s="6" t="n">
        <v>141</v>
      </c>
      <c r="D26" s="6" t="n">
        <v>100</v>
      </c>
      <c r="E26" s="5" t="inlineStr">
        <is>
          <t>DS-140</t>
        </is>
      </c>
      <c r="F26" s="5" t="inlineStr">
        <is>
          <t>USGS DS-140 valor unitario consumo aparente</t>
        </is>
      </c>
      <c r="G26" s="6" t="n"/>
    </row>
    <row r="27">
      <c r="A27" s="9" t="inlineStr">
        <is>
          <t>Barita</t>
        </is>
      </c>
      <c r="B27" s="9" t="n">
        <v>2013</v>
      </c>
      <c r="C27" s="9" t="n">
        <v>133</v>
      </c>
      <c r="D27" s="9" t="n">
        <v>93</v>
      </c>
      <c r="E27" s="8" t="inlineStr">
        <is>
          <t>DS-140</t>
        </is>
      </c>
      <c r="F27" s="8" t="inlineStr">
        <is>
          <t>USGS DS-140 valor unitario consumo aparente</t>
        </is>
      </c>
      <c r="G27" s="9" t="n"/>
    </row>
    <row r="28">
      <c r="A28" s="6" t="inlineStr">
        <is>
          <t>Barita</t>
        </is>
      </c>
      <c r="B28" s="6" t="n">
        <v>2014</v>
      </c>
      <c r="C28" s="6" t="n">
        <v>130</v>
      </c>
      <c r="D28" s="6" t="n">
        <v>89.5</v>
      </c>
      <c r="E28" s="5" t="inlineStr">
        <is>
          <t>DS-140</t>
        </is>
      </c>
      <c r="F28" s="5" t="inlineStr">
        <is>
          <t>USGS DS-140 valor unitario consumo aparente</t>
        </is>
      </c>
      <c r="G28" s="6" t="n"/>
    </row>
    <row r="29">
      <c r="A29" s="9" t="inlineStr">
        <is>
          <t>Barita</t>
        </is>
      </c>
      <c r="B29" s="9" t="n">
        <v>2015</v>
      </c>
      <c r="C29" s="9" t="n">
        <v>125</v>
      </c>
      <c r="D29" s="9" t="n">
        <v>86</v>
      </c>
      <c r="E29" s="8" t="inlineStr">
        <is>
          <t>DS-140</t>
        </is>
      </c>
      <c r="F29" s="8" t="inlineStr">
        <is>
          <t>USGS DS-140 valor unitario consumo aparente</t>
        </is>
      </c>
      <c r="G29" s="9" t="n"/>
    </row>
    <row r="30">
      <c r="A30" s="6" t="inlineStr">
        <is>
          <t>Barita</t>
        </is>
      </c>
      <c r="B30" s="6" t="n">
        <v>2016</v>
      </c>
      <c r="C30" s="6" t="n">
        <v>130</v>
      </c>
      <c r="D30" s="6" t="n">
        <v>88.3</v>
      </c>
      <c r="E30" s="5" t="inlineStr">
        <is>
          <t>DS-140</t>
        </is>
      </c>
      <c r="F30" s="5" t="inlineStr">
        <is>
          <t>USGS DS-140 valor unitario consumo aparente</t>
        </is>
      </c>
      <c r="G30" s="6" t="n"/>
    </row>
    <row r="31">
      <c r="A31" s="9" t="inlineStr">
        <is>
          <t>Barita</t>
        </is>
      </c>
      <c r="B31" s="9" t="n">
        <v>2017</v>
      </c>
      <c r="C31" s="9" t="n">
        <v>100</v>
      </c>
      <c r="D31" s="9" t="n">
        <v>66.5</v>
      </c>
      <c r="E31" s="8" t="inlineStr">
        <is>
          <t>DS-140</t>
        </is>
      </c>
      <c r="F31" s="8" t="inlineStr">
        <is>
          <t>USGS DS-140 valor unitario consumo aparente</t>
        </is>
      </c>
      <c r="G31" s="9" t="n"/>
    </row>
    <row r="32">
      <c r="A32" s="6" t="inlineStr">
        <is>
          <t>Barita</t>
        </is>
      </c>
      <c r="B32" s="6" t="n">
        <v>2018</v>
      </c>
      <c r="C32" s="6" t="n">
        <v>110</v>
      </c>
      <c r="D32" s="6" t="n">
        <v>71.40000000000001</v>
      </c>
      <c r="E32" s="5" t="inlineStr">
        <is>
          <t>DS-140</t>
        </is>
      </c>
      <c r="F32" s="5" t="inlineStr">
        <is>
          <t>USGS DS-140 valor unitario consumo aparente</t>
        </is>
      </c>
      <c r="G32" s="6" t="n"/>
    </row>
    <row r="33">
      <c r="A33" s="9" t="inlineStr">
        <is>
          <t>Barita</t>
        </is>
      </c>
      <c r="B33" s="9" t="n">
        <v>2019</v>
      </c>
      <c r="C33" s="9" t="n">
        <v>113</v>
      </c>
      <c r="D33" s="9" t="n">
        <v>72</v>
      </c>
      <c r="E33" s="8" t="inlineStr">
        <is>
          <t>DS-140</t>
        </is>
      </c>
      <c r="F33" s="8" t="inlineStr">
        <is>
          <t>USGS DS-140 valor unitario consumo aparente</t>
        </is>
      </c>
      <c r="G33" s="9" t="n"/>
    </row>
    <row r="34">
      <c r="A34" s="6" t="inlineStr">
        <is>
          <t>Cobre</t>
        </is>
      </c>
      <c r="B34" s="6" t="n">
        <v>1990</v>
      </c>
      <c r="C34" s="6" t="n">
        <v>2710</v>
      </c>
      <c r="D34" s="6" t="n">
        <v>3380</v>
      </c>
      <c r="E34" s="5" t="inlineStr">
        <is>
          <t>DS-140</t>
        </is>
      </c>
      <c r="F34" s="5" t="inlineStr">
        <is>
          <t>USGS DS-140 valor unitario consumo aparente</t>
        </is>
      </c>
      <c r="G34" s="6" t="n"/>
    </row>
    <row r="35">
      <c r="A35" s="9" t="inlineStr">
        <is>
          <t>Cobre</t>
        </is>
      </c>
      <c r="B35" s="9" t="n">
        <v>1991</v>
      </c>
      <c r="C35" s="9" t="n">
        <v>2410</v>
      </c>
      <c r="D35" s="9" t="n">
        <v>2890</v>
      </c>
      <c r="E35" s="8" t="inlineStr">
        <is>
          <t>DS-140</t>
        </is>
      </c>
      <c r="F35" s="8" t="inlineStr">
        <is>
          <t>USGS DS-140 valor unitario consumo aparente</t>
        </is>
      </c>
      <c r="G35" s="9" t="n"/>
    </row>
    <row r="36">
      <c r="A36" s="6" t="inlineStr">
        <is>
          <t>Cobre</t>
        </is>
      </c>
      <c r="B36" s="6" t="n">
        <v>1992</v>
      </c>
      <c r="C36" s="6" t="n">
        <v>2370</v>
      </c>
      <c r="D36" s="6" t="n">
        <v>2750</v>
      </c>
      <c r="E36" s="5" t="inlineStr">
        <is>
          <t>DS-140</t>
        </is>
      </c>
      <c r="F36" s="5" t="inlineStr">
        <is>
          <t>USGS DS-140 valor unitario consumo aparente</t>
        </is>
      </c>
      <c r="G36" s="6" t="n"/>
    </row>
    <row r="37">
      <c r="A37" s="9" t="inlineStr">
        <is>
          <t>Cobre</t>
        </is>
      </c>
      <c r="B37" s="9" t="n">
        <v>1993</v>
      </c>
      <c r="C37" s="9" t="n">
        <v>2020</v>
      </c>
      <c r="D37" s="9" t="n">
        <v>2280</v>
      </c>
      <c r="E37" s="8" t="inlineStr">
        <is>
          <t>DS-140</t>
        </is>
      </c>
      <c r="F37" s="8" t="inlineStr">
        <is>
          <t>USGS DS-140 valor unitario consumo aparente</t>
        </is>
      </c>
      <c r="G37" s="9" t="n"/>
    </row>
    <row r="38">
      <c r="A38" s="6" t="inlineStr">
        <is>
          <t>Cobre</t>
        </is>
      </c>
      <c r="B38" s="6" t="n">
        <v>1994</v>
      </c>
      <c r="C38" s="6" t="n">
        <v>2450</v>
      </c>
      <c r="D38" s="6" t="n">
        <v>2690</v>
      </c>
      <c r="E38" s="5" t="inlineStr">
        <is>
          <t>DS-140</t>
        </is>
      </c>
      <c r="F38" s="5" t="inlineStr">
        <is>
          <t>USGS DS-140 valor unitario consumo aparente</t>
        </is>
      </c>
      <c r="G38" s="6" t="n"/>
    </row>
    <row r="39">
      <c r="A39" s="9" t="inlineStr">
        <is>
          <t>Cobre</t>
        </is>
      </c>
      <c r="B39" s="9" t="n">
        <v>1995</v>
      </c>
      <c r="C39" s="9" t="n">
        <v>3050</v>
      </c>
      <c r="D39" s="9" t="n">
        <v>3260</v>
      </c>
      <c r="E39" s="8" t="inlineStr">
        <is>
          <t>DS-140</t>
        </is>
      </c>
      <c r="F39" s="8" t="inlineStr">
        <is>
          <t>USGS DS-140 valor unitario consumo aparente</t>
        </is>
      </c>
      <c r="G39" s="9" t="n"/>
    </row>
    <row r="40">
      <c r="A40" s="6" t="inlineStr">
        <is>
          <t>Cobre</t>
        </is>
      </c>
      <c r="B40" s="6" t="n">
        <v>1996</v>
      </c>
      <c r="C40" s="6" t="n">
        <v>2400</v>
      </c>
      <c r="D40" s="6" t="n">
        <v>2500</v>
      </c>
      <c r="E40" s="5" t="inlineStr">
        <is>
          <t>DS-140</t>
        </is>
      </c>
      <c r="F40" s="5" t="inlineStr">
        <is>
          <t>USGS DS-140 valor unitario consumo aparente</t>
        </is>
      </c>
      <c r="G40" s="6" t="n"/>
    </row>
    <row r="41">
      <c r="A41" s="9" t="inlineStr">
        <is>
          <t>Cobre</t>
        </is>
      </c>
      <c r="B41" s="9" t="n">
        <v>1997</v>
      </c>
      <c r="C41" s="9" t="n">
        <v>2360</v>
      </c>
      <c r="D41" s="9" t="n">
        <v>2400</v>
      </c>
      <c r="E41" s="8" t="inlineStr">
        <is>
          <t>DS-140</t>
        </is>
      </c>
      <c r="F41" s="8" t="inlineStr">
        <is>
          <t>USGS DS-140 valor unitario consumo aparente</t>
        </is>
      </c>
      <c r="G41" s="9" t="n"/>
    </row>
    <row r="42">
      <c r="A42" s="6" t="inlineStr">
        <is>
          <t>Cobre</t>
        </is>
      </c>
      <c r="B42" s="6" t="n">
        <v>1998</v>
      </c>
      <c r="C42" s="6" t="n">
        <v>1730</v>
      </c>
      <c r="D42" s="6" t="n">
        <v>1730</v>
      </c>
      <c r="E42" s="5" t="inlineStr">
        <is>
          <t>DS-140</t>
        </is>
      </c>
      <c r="F42" s="5" t="inlineStr">
        <is>
          <t>USGS DS-140 valor unitario consumo aparente</t>
        </is>
      </c>
      <c r="G42" s="6" t="n"/>
    </row>
    <row r="43">
      <c r="A43" s="9" t="inlineStr">
        <is>
          <t>Cobre</t>
        </is>
      </c>
      <c r="B43" s="9" t="n">
        <v>1999</v>
      </c>
      <c r="C43" s="9" t="n">
        <v>1670</v>
      </c>
      <c r="D43" s="9" t="n">
        <v>1640</v>
      </c>
      <c r="E43" s="8" t="inlineStr">
        <is>
          <t>DS-140</t>
        </is>
      </c>
      <c r="F43" s="8" t="inlineStr">
        <is>
          <t>USGS DS-140 valor unitario consumo aparente</t>
        </is>
      </c>
      <c r="G43" s="9" t="n"/>
    </row>
    <row r="44">
      <c r="A44" s="6" t="inlineStr">
        <is>
          <t>Cobre</t>
        </is>
      </c>
      <c r="B44" s="6" t="n">
        <v>2000</v>
      </c>
      <c r="C44" s="6" t="n">
        <v>1940</v>
      </c>
      <c r="D44" s="6" t="n">
        <v>1840</v>
      </c>
      <c r="E44" s="5" t="inlineStr">
        <is>
          <t>DS-140</t>
        </is>
      </c>
      <c r="F44" s="5" t="inlineStr">
        <is>
          <t>USGS DS-140 valor unitario consumo aparente</t>
        </is>
      </c>
      <c r="G44" s="6" t="n"/>
    </row>
    <row r="45">
      <c r="A45" s="9" t="inlineStr">
        <is>
          <t>Cobre</t>
        </is>
      </c>
      <c r="B45" s="9" t="n">
        <v>2001</v>
      </c>
      <c r="C45" s="9" t="n">
        <v>1690</v>
      </c>
      <c r="D45" s="9" t="n">
        <v>1560</v>
      </c>
      <c r="E45" s="8" t="inlineStr">
        <is>
          <t>DS-140</t>
        </is>
      </c>
      <c r="F45" s="8" t="inlineStr">
        <is>
          <t>USGS DS-140 valor unitario consumo aparente</t>
        </is>
      </c>
      <c r="G45" s="9" t="n"/>
    </row>
    <row r="46">
      <c r="A46" s="6" t="inlineStr">
        <is>
          <t>Cobre</t>
        </is>
      </c>
      <c r="B46" s="6" t="n">
        <v>2002</v>
      </c>
      <c r="C46" s="6" t="n">
        <v>1670</v>
      </c>
      <c r="D46" s="6" t="n">
        <v>1510</v>
      </c>
      <c r="E46" s="5" t="inlineStr">
        <is>
          <t>DS-140</t>
        </is>
      </c>
      <c r="F46" s="5" t="inlineStr">
        <is>
          <t>USGS DS-140 valor unitario consumo aparente</t>
        </is>
      </c>
      <c r="G46" s="6" t="n"/>
    </row>
    <row r="47">
      <c r="A47" s="9" t="inlineStr">
        <is>
          <t>Cobre</t>
        </is>
      </c>
      <c r="B47" s="9" t="n">
        <v>2003</v>
      </c>
      <c r="C47" s="9" t="n">
        <v>1880</v>
      </c>
      <c r="D47" s="9" t="n">
        <v>1660</v>
      </c>
      <c r="E47" s="8" t="inlineStr">
        <is>
          <t>DS-140</t>
        </is>
      </c>
      <c r="F47" s="8" t="inlineStr">
        <is>
          <t>USGS DS-140 valor unitario consumo aparente</t>
        </is>
      </c>
      <c r="G47" s="9" t="n"/>
    </row>
    <row r="48">
      <c r="A48" s="6" t="inlineStr">
        <is>
          <t>Cobre</t>
        </is>
      </c>
      <c r="B48" s="6" t="n">
        <v>2004</v>
      </c>
      <c r="C48" s="6" t="n">
        <v>2950</v>
      </c>
      <c r="D48" s="6" t="n">
        <v>2550</v>
      </c>
      <c r="E48" s="5" t="inlineStr">
        <is>
          <t>DS-140</t>
        </is>
      </c>
      <c r="F48" s="5" t="inlineStr">
        <is>
          <t>USGS DS-140 valor unitario consumo aparente</t>
        </is>
      </c>
      <c r="G48" s="6" t="n"/>
    </row>
    <row r="49">
      <c r="A49" s="9" t="inlineStr">
        <is>
          <t>Cobre</t>
        </is>
      </c>
      <c r="B49" s="9" t="n">
        <v>2005</v>
      </c>
      <c r="C49" s="9" t="n">
        <v>3820</v>
      </c>
      <c r="D49" s="9" t="n">
        <v>3190</v>
      </c>
      <c r="E49" s="8" t="inlineStr">
        <is>
          <t>DS-140</t>
        </is>
      </c>
      <c r="F49" s="8" t="inlineStr">
        <is>
          <t>USGS DS-140 valor unitario consumo aparente</t>
        </is>
      </c>
      <c r="G49" s="9" t="n"/>
    </row>
    <row r="50">
      <c r="A50" s="6" t="inlineStr">
        <is>
          <t>Cobre</t>
        </is>
      </c>
      <c r="B50" s="6" t="n">
        <v>2006</v>
      </c>
      <c r="C50" s="6" t="n">
        <v>6940</v>
      </c>
      <c r="D50" s="6" t="n">
        <v>5610</v>
      </c>
      <c r="E50" s="5" t="inlineStr">
        <is>
          <t>DS-140</t>
        </is>
      </c>
      <c r="F50" s="5" t="inlineStr">
        <is>
          <t>USGS DS-140 valor unitario consumo aparente</t>
        </is>
      </c>
      <c r="G50" s="6" t="n"/>
    </row>
    <row r="51">
      <c r="A51" s="9" t="inlineStr">
        <is>
          <t>Cobre</t>
        </is>
      </c>
      <c r="B51" s="9" t="n">
        <v>2007</v>
      </c>
      <c r="C51" s="9" t="n">
        <v>7230</v>
      </c>
      <c r="D51" s="9" t="n">
        <v>5690</v>
      </c>
      <c r="E51" s="8" t="inlineStr">
        <is>
          <t>DS-140</t>
        </is>
      </c>
      <c r="F51" s="8" t="inlineStr">
        <is>
          <t>USGS DS-140 valor unitario consumo aparente</t>
        </is>
      </c>
      <c r="G51" s="9" t="n"/>
    </row>
    <row r="52">
      <c r="A52" s="6" t="inlineStr">
        <is>
          <t>Cobre</t>
        </is>
      </c>
      <c r="B52" s="6" t="n">
        <v>2008</v>
      </c>
      <c r="C52" s="6" t="n">
        <v>7040</v>
      </c>
      <c r="D52" s="6" t="n">
        <v>5330</v>
      </c>
      <c r="E52" s="5" t="inlineStr">
        <is>
          <t>DS-140</t>
        </is>
      </c>
      <c r="F52" s="5" t="inlineStr">
        <is>
          <t>USGS DS-140 valor unitario consumo aparente</t>
        </is>
      </c>
      <c r="G52" s="6" t="n"/>
    </row>
    <row r="53">
      <c r="A53" s="9" t="inlineStr">
        <is>
          <t>Cobre</t>
        </is>
      </c>
      <c r="B53" s="9" t="n">
        <v>2009</v>
      </c>
      <c r="C53" s="9" t="n">
        <v>5320</v>
      </c>
      <c r="D53" s="9" t="n">
        <v>4040</v>
      </c>
      <c r="E53" s="8" t="inlineStr">
        <is>
          <t>DS-140</t>
        </is>
      </c>
      <c r="F53" s="8" t="inlineStr">
        <is>
          <t>USGS DS-140 valor unitario consumo aparente</t>
        </is>
      </c>
      <c r="G53" s="9" t="n"/>
    </row>
    <row r="54">
      <c r="A54" s="6" t="inlineStr">
        <is>
          <t>Cobre</t>
        </is>
      </c>
      <c r="B54" s="6" t="n">
        <v>2010</v>
      </c>
      <c r="C54" s="6" t="n">
        <v>7680</v>
      </c>
      <c r="D54" s="6" t="n">
        <v>5740</v>
      </c>
      <c r="E54" s="5" t="inlineStr">
        <is>
          <t>DS-140</t>
        </is>
      </c>
      <c r="F54" s="5" t="inlineStr">
        <is>
          <t>USGS DS-140 valor unitario consumo aparente</t>
        </is>
      </c>
      <c r="G54" s="6" t="n"/>
    </row>
    <row r="55">
      <c r="A55" s="9" t="inlineStr">
        <is>
          <t>Cobre</t>
        </is>
      </c>
      <c r="B55" s="9" t="n">
        <v>2011</v>
      </c>
      <c r="C55" s="9" t="n">
        <v>8950</v>
      </c>
      <c r="D55" s="9" t="n">
        <v>6480</v>
      </c>
      <c r="E55" s="8" t="inlineStr">
        <is>
          <t>DS-140</t>
        </is>
      </c>
      <c r="F55" s="8" t="inlineStr">
        <is>
          <t>USGS DS-140 valor unitario consumo aparente</t>
        </is>
      </c>
      <c r="G55" s="9" t="n"/>
    </row>
    <row r="56">
      <c r="A56" s="6" t="inlineStr">
        <is>
          <t>Cobre</t>
        </is>
      </c>
      <c r="B56" s="6" t="n">
        <v>2012</v>
      </c>
      <c r="C56" s="6" t="n">
        <v>8100</v>
      </c>
      <c r="D56" s="6" t="n">
        <v>5750</v>
      </c>
      <c r="E56" s="5" t="inlineStr">
        <is>
          <t>DS-140</t>
        </is>
      </c>
      <c r="F56" s="5" t="inlineStr">
        <is>
          <t>USGS DS-140 valor unitario consumo aparente</t>
        </is>
      </c>
      <c r="G56" s="6" t="n"/>
    </row>
    <row r="57">
      <c r="A57" s="9" t="inlineStr">
        <is>
          <t>Cobre</t>
        </is>
      </c>
      <c r="B57" s="9" t="n">
        <v>2013</v>
      </c>
      <c r="C57" s="9" t="n">
        <v>7490</v>
      </c>
      <c r="D57" s="9" t="n">
        <v>5240</v>
      </c>
      <c r="E57" s="8" t="inlineStr">
        <is>
          <t>DS-140</t>
        </is>
      </c>
      <c r="F57" s="8" t="inlineStr">
        <is>
          <t>USGS DS-140 valor unitario consumo aparente</t>
        </is>
      </c>
      <c r="G57" s="9" t="n"/>
    </row>
    <row r="58">
      <c r="A58" s="6" t="inlineStr">
        <is>
          <t>Cobre</t>
        </is>
      </c>
      <c r="B58" s="6" t="n">
        <v>2014</v>
      </c>
      <c r="C58" s="6" t="n">
        <v>7010</v>
      </c>
      <c r="D58" s="6" t="n">
        <v>4830</v>
      </c>
      <c r="E58" s="5" t="inlineStr">
        <is>
          <t>DS-140</t>
        </is>
      </c>
      <c r="F58" s="5" t="inlineStr">
        <is>
          <t>USGS DS-140 valor unitario consumo aparente</t>
        </is>
      </c>
      <c r="G58" s="6" t="n"/>
    </row>
    <row r="59">
      <c r="A59" s="9" t="inlineStr">
        <is>
          <t>Cobre</t>
        </is>
      </c>
      <c r="B59" s="9" t="n">
        <v>2015</v>
      </c>
      <c r="C59" s="9" t="n">
        <v>5650</v>
      </c>
      <c r="D59" s="9" t="n">
        <v>3880</v>
      </c>
      <c r="E59" s="8" t="inlineStr">
        <is>
          <t>DS-140</t>
        </is>
      </c>
      <c r="F59" s="8" t="inlineStr">
        <is>
          <t>USGS DS-140 valor unitario consumo aparente</t>
        </is>
      </c>
      <c r="G59" s="9" t="n"/>
    </row>
    <row r="60">
      <c r="A60" s="6" t="inlineStr">
        <is>
          <t>Cobre</t>
        </is>
      </c>
      <c r="B60" s="6" t="n">
        <v>2016</v>
      </c>
      <c r="C60" s="6" t="n">
        <v>4960</v>
      </c>
      <c r="D60" s="6" t="n">
        <v>3370</v>
      </c>
      <c r="E60" s="5" t="inlineStr">
        <is>
          <t>DS-140</t>
        </is>
      </c>
      <c r="F60" s="5" t="inlineStr">
        <is>
          <t>USGS DS-140 valor unitario consumo aparente</t>
        </is>
      </c>
      <c r="G60" s="6" t="n"/>
    </row>
    <row r="61">
      <c r="A61" s="9" t="inlineStr">
        <is>
          <t>Cobre</t>
        </is>
      </c>
      <c r="B61" s="9" t="n">
        <v>2017</v>
      </c>
      <c r="C61" s="9" t="n">
        <v>6290</v>
      </c>
      <c r="D61" s="9" t="n">
        <v>4180</v>
      </c>
      <c r="E61" s="8" t="inlineStr">
        <is>
          <t>DS-140</t>
        </is>
      </c>
      <c r="F61" s="8" t="inlineStr">
        <is>
          <t>USGS DS-140 valor unitario consumo aparente</t>
        </is>
      </c>
      <c r="G61" s="9" t="n"/>
    </row>
    <row r="62">
      <c r="A62" s="6" t="inlineStr">
        <is>
          <t>Cobre</t>
        </is>
      </c>
      <c r="B62" s="6" t="n">
        <v>2018</v>
      </c>
      <c r="C62" s="6" t="n">
        <v>6590</v>
      </c>
      <c r="D62" s="6" t="n">
        <v>4280</v>
      </c>
      <c r="E62" s="5" t="inlineStr">
        <is>
          <t>DS-140</t>
        </is>
      </c>
      <c r="F62" s="5" t="inlineStr">
        <is>
          <t>USGS DS-140 valor unitario consumo aparente</t>
        </is>
      </c>
      <c r="G62" s="6" t="n"/>
    </row>
    <row r="63">
      <c r="A63" s="9" t="inlineStr">
        <is>
          <t>Cobre</t>
        </is>
      </c>
      <c r="B63" s="9" t="n">
        <v>2019</v>
      </c>
      <c r="C63" s="9" t="n">
        <v>6160</v>
      </c>
      <c r="D63" s="9" t="n">
        <v>3930</v>
      </c>
      <c r="E63" s="8" t="inlineStr">
        <is>
          <t>DS-140</t>
        </is>
      </c>
      <c r="F63" s="8" t="inlineStr">
        <is>
          <t>USGS DS-140 valor unitario consumo aparente</t>
        </is>
      </c>
      <c r="G63" s="9" t="n"/>
    </row>
    <row r="64">
      <c r="A64" s="6" t="inlineStr">
        <is>
          <t>Cobre</t>
        </is>
      </c>
      <c r="B64" s="6" t="n">
        <v>2020</v>
      </c>
      <c r="C64" s="6" t="n">
        <v>6320</v>
      </c>
      <c r="D64" s="6" t="n">
        <v>3980</v>
      </c>
      <c r="E64" s="5" t="inlineStr">
        <is>
          <t>DS-140</t>
        </is>
      </c>
      <c r="F64" s="5" t="inlineStr">
        <is>
          <t>USGS DS-140 valor unitario consumo aparente</t>
        </is>
      </c>
      <c r="G64" s="6" t="n"/>
    </row>
    <row r="65">
      <c r="A65" s="9" t="inlineStr">
        <is>
          <t>Fluorita</t>
        </is>
      </c>
      <c r="B65" s="9" t="n">
        <v>1990</v>
      </c>
      <c r="C65" s="9" t="n">
        <v>193</v>
      </c>
      <c r="D65" s="9" t="n">
        <v>240</v>
      </c>
      <c r="E65" s="8" t="inlineStr">
        <is>
          <t>DS-140</t>
        </is>
      </c>
      <c r="F65" s="8" t="inlineStr">
        <is>
          <t>USGS DS-140 valor unitario consumo aparente</t>
        </is>
      </c>
      <c r="G65" s="9" t="n"/>
    </row>
    <row r="66">
      <c r="A66" s="6" t="inlineStr">
        <is>
          <t>Fluorita</t>
        </is>
      </c>
      <c r="B66" s="6" t="n">
        <v>1991</v>
      </c>
      <c r="C66" s="6" t="n">
        <v>193</v>
      </c>
      <c r="D66" s="6" t="n">
        <v>230</v>
      </c>
      <c r="E66" s="5" t="inlineStr">
        <is>
          <t>DS-140</t>
        </is>
      </c>
      <c r="F66" s="5" t="inlineStr">
        <is>
          <t>USGS DS-140 valor unitario consumo aparente</t>
        </is>
      </c>
      <c r="G66" s="6" t="n"/>
    </row>
    <row r="67">
      <c r="A67" s="9" t="inlineStr">
        <is>
          <t>Fluorita</t>
        </is>
      </c>
      <c r="B67" s="9" t="n">
        <v>1992</v>
      </c>
      <c r="C67" s="9" t="n">
        <v>193</v>
      </c>
      <c r="D67" s="9" t="n">
        <v>224</v>
      </c>
      <c r="E67" s="8" t="inlineStr">
        <is>
          <t>DS-140</t>
        </is>
      </c>
      <c r="F67" s="8" t="inlineStr">
        <is>
          <t>USGS DS-140 valor unitario consumo aparente</t>
        </is>
      </c>
      <c r="G67" s="9" t="n"/>
    </row>
    <row r="68">
      <c r="A68" s="6" t="inlineStr">
        <is>
          <t>Fluorita</t>
        </is>
      </c>
      <c r="B68" s="6" t="n">
        <v>1993</v>
      </c>
      <c r="C68" s="6" t="n">
        <v>95</v>
      </c>
      <c r="D68" s="6" t="n">
        <v>107</v>
      </c>
      <c r="E68" s="5" t="inlineStr">
        <is>
          <t>DS-140</t>
        </is>
      </c>
      <c r="F68" s="5" t="inlineStr">
        <is>
          <t>USGS DS-140 valor unitario consumo aparente</t>
        </is>
      </c>
      <c r="G68" s="6" t="n"/>
    </row>
    <row r="69">
      <c r="A69" s="9" t="inlineStr">
        <is>
          <t>Fluorita</t>
        </is>
      </c>
      <c r="B69" s="9" t="n">
        <v>1994</v>
      </c>
      <c r="C69" s="9" t="n">
        <v>97</v>
      </c>
      <c r="D69" s="9" t="n">
        <v>106</v>
      </c>
      <c r="E69" s="8" t="inlineStr">
        <is>
          <t>DS-140</t>
        </is>
      </c>
      <c r="F69" s="8" t="inlineStr">
        <is>
          <t>USGS DS-140 valor unitario consumo aparente</t>
        </is>
      </c>
      <c r="G69" s="9" t="n"/>
    </row>
    <row r="70">
      <c r="A70" s="6" t="inlineStr">
        <is>
          <t>Fluorita</t>
        </is>
      </c>
      <c r="B70" s="6" t="n">
        <v>1995</v>
      </c>
      <c r="C70" s="6" t="n">
        <v>121</v>
      </c>
      <c r="D70" s="6" t="n">
        <v>129</v>
      </c>
      <c r="E70" s="5" t="inlineStr">
        <is>
          <t>DS-140</t>
        </is>
      </c>
      <c r="F70" s="5" t="inlineStr">
        <is>
          <t>USGS DS-140 valor unitario consumo aparente</t>
        </is>
      </c>
      <c r="G70" s="6" t="n"/>
    </row>
    <row r="71">
      <c r="A71" s="9" t="inlineStr">
        <is>
          <t>Fluorita</t>
        </is>
      </c>
      <c r="B71" s="9" t="n">
        <v>1996</v>
      </c>
      <c r="C71" s="9" t="n">
        <v>138</v>
      </c>
      <c r="D71" s="9" t="n">
        <v>144</v>
      </c>
      <c r="E71" s="8" t="inlineStr">
        <is>
          <t>DS-140</t>
        </is>
      </c>
      <c r="F71" s="8" t="inlineStr">
        <is>
          <t>USGS DS-140 valor unitario consumo aparente</t>
        </is>
      </c>
      <c r="G71" s="9" t="n"/>
    </row>
    <row r="72">
      <c r="A72" s="6" t="inlineStr">
        <is>
          <t>Fluorita</t>
        </is>
      </c>
      <c r="B72" s="6" t="n">
        <v>1997</v>
      </c>
      <c r="C72" s="6" t="n">
        <v>129</v>
      </c>
      <c r="D72" s="6" t="n">
        <v>131</v>
      </c>
      <c r="E72" s="5" t="inlineStr">
        <is>
          <t>DS-140</t>
        </is>
      </c>
      <c r="F72" s="5" t="inlineStr">
        <is>
          <t>USGS DS-140 valor unitario consumo aparente</t>
        </is>
      </c>
      <c r="G72" s="6" t="n"/>
    </row>
    <row r="73">
      <c r="A73" s="9" t="inlineStr">
        <is>
          <t>Fluorita</t>
        </is>
      </c>
      <c r="B73" s="9" t="n">
        <v>1998</v>
      </c>
      <c r="C73" s="9" t="n">
        <v>125</v>
      </c>
      <c r="D73" s="9" t="n">
        <v>125</v>
      </c>
      <c r="E73" s="8" t="inlineStr">
        <is>
          <t>DS-140</t>
        </is>
      </c>
      <c r="F73" s="8" t="inlineStr">
        <is>
          <t>USGS DS-140 valor unitario consumo aparente</t>
        </is>
      </c>
      <c r="G73" s="9" t="n"/>
    </row>
    <row r="74">
      <c r="A74" s="6" t="inlineStr">
        <is>
          <t>Fluorita</t>
        </is>
      </c>
      <c r="B74" s="6" t="n">
        <v>1999</v>
      </c>
      <c r="C74" s="6" t="n">
        <v>119</v>
      </c>
      <c r="D74" s="6" t="n">
        <v>116</v>
      </c>
      <c r="E74" s="5" t="inlineStr">
        <is>
          <t>DS-140</t>
        </is>
      </c>
      <c r="F74" s="5" t="inlineStr">
        <is>
          <t>USGS DS-140 valor unitario consumo aparente</t>
        </is>
      </c>
      <c r="G74" s="6" t="n"/>
    </row>
    <row r="75">
      <c r="A75" s="9" t="inlineStr">
        <is>
          <t>Fluorita</t>
        </is>
      </c>
      <c r="B75" s="9" t="n">
        <v>2000</v>
      </c>
      <c r="C75" s="9" t="n">
        <v>124.67</v>
      </c>
      <c r="D75" s="9" t="n">
        <v>118.01</v>
      </c>
      <c r="E75" s="8" t="inlineStr">
        <is>
          <t>DS-140</t>
        </is>
      </c>
      <c r="F75" s="8" t="inlineStr">
        <is>
          <t>USGS DS-140 valor unitario consumo aparente</t>
        </is>
      </c>
      <c r="G75" s="9" t="n"/>
    </row>
    <row r="76">
      <c r="A76" s="6" t="inlineStr">
        <is>
          <t>Fluorita</t>
        </is>
      </c>
      <c r="B76" s="6" t="n">
        <v>2001</v>
      </c>
      <c r="C76" s="6" t="n">
        <v>132.18</v>
      </c>
      <c r="D76" s="6" t="n">
        <v>121.66</v>
      </c>
      <c r="E76" s="5" t="inlineStr">
        <is>
          <t>DS-140</t>
        </is>
      </c>
      <c r="F76" s="5" t="inlineStr">
        <is>
          <t>USGS DS-140 valor unitario consumo aparente</t>
        </is>
      </c>
      <c r="G76" s="6" t="n"/>
    </row>
    <row r="77">
      <c r="A77" s="9" t="inlineStr">
        <is>
          <t>Fluorita</t>
        </is>
      </c>
      <c r="B77" s="9" t="n">
        <v>2002</v>
      </c>
      <c r="C77" s="9" t="n">
        <v>125</v>
      </c>
      <c r="D77" s="9" t="n">
        <v>113.26</v>
      </c>
      <c r="E77" s="8" t="inlineStr">
        <is>
          <t>DS-140</t>
        </is>
      </c>
      <c r="F77" s="8" t="inlineStr">
        <is>
          <t>USGS DS-140 valor unitario consumo aparente</t>
        </is>
      </c>
      <c r="G77" s="9" t="n"/>
    </row>
    <row r="78">
      <c r="A78" s="6" t="inlineStr">
        <is>
          <t>Fluorita</t>
        </is>
      </c>
      <c r="B78" s="6" t="n">
        <v>2003</v>
      </c>
      <c r="C78" s="6" t="n">
        <v>134.57</v>
      </c>
      <c r="D78" s="6" t="n">
        <v>119.19</v>
      </c>
      <c r="E78" s="5" t="inlineStr">
        <is>
          <t>DS-140</t>
        </is>
      </c>
      <c r="F78" s="5" t="inlineStr">
        <is>
          <t>USGS DS-140 valor unitario consumo aparente</t>
        </is>
      </c>
      <c r="G78" s="6" t="n"/>
    </row>
    <row r="79">
      <c r="A79" s="9" t="inlineStr">
        <is>
          <t>Fluorita</t>
        </is>
      </c>
      <c r="B79" s="9" t="n">
        <v>2004</v>
      </c>
      <c r="C79" s="9" t="n">
        <v>159</v>
      </c>
      <c r="D79" s="9" t="n">
        <v>137.19</v>
      </c>
      <c r="E79" s="8" t="inlineStr">
        <is>
          <t>DS-140</t>
        </is>
      </c>
      <c r="F79" s="8" t="inlineStr">
        <is>
          <t>USGS DS-140 valor unitario consumo aparente</t>
        </is>
      </c>
      <c r="G79" s="9" t="n"/>
    </row>
    <row r="80">
      <c r="A80" s="6" t="inlineStr">
        <is>
          <t>Fluorita</t>
        </is>
      </c>
      <c r="B80" s="6" t="n">
        <v>2005</v>
      </c>
      <c r="C80" s="6" t="n">
        <v>194</v>
      </c>
      <c r="D80" s="6" t="n">
        <v>162</v>
      </c>
      <c r="E80" s="5" t="inlineStr">
        <is>
          <t>DS-140</t>
        </is>
      </c>
      <c r="F80" s="5" t="inlineStr">
        <is>
          <t>USGS DS-140 valor unitario consumo aparente</t>
        </is>
      </c>
      <c r="G80" s="6" t="n"/>
    </row>
    <row r="81">
      <c r="A81" s="9" t="inlineStr">
        <is>
          <t>Fluorita</t>
        </is>
      </c>
      <c r="B81" s="9" t="n">
        <v>2006</v>
      </c>
      <c r="C81" s="9" t="n">
        <v>203</v>
      </c>
      <c r="D81" s="9" t="n">
        <v>164</v>
      </c>
      <c r="E81" s="8" t="inlineStr">
        <is>
          <t>DS-140</t>
        </is>
      </c>
      <c r="F81" s="8" t="inlineStr">
        <is>
          <t>USGS DS-140 valor unitario consumo aparente</t>
        </is>
      </c>
      <c r="G81" s="9" t="n"/>
    </row>
    <row r="82">
      <c r="A82" s="6" t="inlineStr">
        <is>
          <t>Grafito</t>
        </is>
      </c>
      <c r="B82" s="6" t="n">
        <v>1990</v>
      </c>
      <c r="C82" s="6" t="n">
        <v>701.2</v>
      </c>
      <c r="D82" s="6" t="n">
        <v>874.7</v>
      </c>
      <c r="E82" s="5" t="inlineStr">
        <is>
          <t>DS-140</t>
        </is>
      </c>
      <c r="F82" s="5" t="inlineStr">
        <is>
          <t>USGS DS-140 valor unitario consumo aparente</t>
        </is>
      </c>
      <c r="G82" s="6" t="n"/>
    </row>
    <row r="83">
      <c r="A83" s="9" t="inlineStr">
        <is>
          <t>Grafito</t>
        </is>
      </c>
      <c r="B83" s="9" t="n">
        <v>1991</v>
      </c>
      <c r="C83" s="9" t="n">
        <v>647.8</v>
      </c>
      <c r="D83" s="9" t="n">
        <v>775.2</v>
      </c>
      <c r="E83" s="8" t="inlineStr">
        <is>
          <t>DS-140</t>
        </is>
      </c>
      <c r="F83" s="8" t="inlineStr">
        <is>
          <t>USGS DS-140 valor unitario consumo aparente</t>
        </is>
      </c>
      <c r="G83" s="9" t="n"/>
    </row>
    <row r="84">
      <c r="A84" s="6" t="inlineStr">
        <is>
          <t>Grafito</t>
        </is>
      </c>
      <c r="B84" s="6" t="n">
        <v>1992</v>
      </c>
      <c r="C84" s="6" t="n">
        <v>513.1</v>
      </c>
      <c r="D84" s="6" t="n">
        <v>596.1</v>
      </c>
      <c r="E84" s="5" t="inlineStr">
        <is>
          <t>DS-140</t>
        </is>
      </c>
      <c r="F84" s="5" t="inlineStr">
        <is>
          <t>USGS DS-140 valor unitario consumo aparente</t>
        </is>
      </c>
      <c r="G84" s="6" t="n"/>
    </row>
    <row r="85">
      <c r="A85" s="9" t="inlineStr">
        <is>
          <t>Grafito</t>
        </is>
      </c>
      <c r="B85" s="9" t="n">
        <v>1993</v>
      </c>
      <c r="C85" s="9" t="n">
        <v>572.8</v>
      </c>
      <c r="D85" s="9" t="n">
        <v>646.4</v>
      </c>
      <c r="E85" s="8" t="inlineStr">
        <is>
          <t>DS-140</t>
        </is>
      </c>
      <c r="F85" s="8" t="inlineStr">
        <is>
          <t>USGS DS-140 valor unitario consumo aparente</t>
        </is>
      </c>
      <c r="G85" s="9" t="n"/>
    </row>
    <row r="86">
      <c r="A86" s="6" t="inlineStr">
        <is>
          <t>Grafito</t>
        </is>
      </c>
      <c r="B86" s="6" t="n">
        <v>1994</v>
      </c>
      <c r="C86" s="6" t="n">
        <v>506.6</v>
      </c>
      <c r="D86" s="6" t="n">
        <v>557.1</v>
      </c>
      <c r="E86" s="5" t="inlineStr">
        <is>
          <t>DS-140</t>
        </is>
      </c>
      <c r="F86" s="5" t="inlineStr">
        <is>
          <t>USGS DS-140 valor unitario consumo aparente</t>
        </is>
      </c>
      <c r="G86" s="6" t="n"/>
    </row>
    <row r="87">
      <c r="A87" s="9" t="inlineStr">
        <is>
          <t>Grafito</t>
        </is>
      </c>
      <c r="B87" s="9" t="n">
        <v>1995</v>
      </c>
      <c r="C87" s="9" t="n">
        <v>495.9</v>
      </c>
      <c r="D87" s="9" t="n">
        <v>530.4</v>
      </c>
      <c r="E87" s="8" t="inlineStr">
        <is>
          <t>DS-140</t>
        </is>
      </c>
      <c r="F87" s="8" t="inlineStr">
        <is>
          <t>USGS DS-140 valor unitario consumo aparente</t>
        </is>
      </c>
      <c r="G87" s="9" t="n"/>
    </row>
    <row r="88">
      <c r="A88" s="6" t="inlineStr">
        <is>
          <t>Grafito</t>
        </is>
      </c>
      <c r="B88" s="6" t="n">
        <v>1996</v>
      </c>
      <c r="C88" s="6" t="n">
        <v>535.6</v>
      </c>
      <c r="D88" s="6" t="n">
        <v>556.6</v>
      </c>
      <c r="E88" s="5" t="inlineStr">
        <is>
          <t>DS-140</t>
        </is>
      </c>
      <c r="F88" s="5" t="inlineStr">
        <is>
          <t>USGS DS-140 valor unitario consumo aparente</t>
        </is>
      </c>
      <c r="G88" s="6" t="n"/>
    </row>
    <row r="89">
      <c r="A89" s="9" t="inlineStr">
        <is>
          <t>Grafito</t>
        </is>
      </c>
      <c r="B89" s="9" t="n">
        <v>1997</v>
      </c>
      <c r="C89" s="9" t="n">
        <v>557.7</v>
      </c>
      <c r="D89" s="9" t="n">
        <v>566.4</v>
      </c>
      <c r="E89" s="8" t="inlineStr">
        <is>
          <t>DS-140</t>
        </is>
      </c>
      <c r="F89" s="8" t="inlineStr">
        <is>
          <t>USGS DS-140 valor unitario consumo aparente</t>
        </is>
      </c>
      <c r="G89" s="9" t="n"/>
    </row>
    <row r="90">
      <c r="A90" s="6" t="inlineStr">
        <is>
          <t>Grafito</t>
        </is>
      </c>
      <c r="B90" s="6" t="n">
        <v>1998</v>
      </c>
      <c r="C90" s="6" t="n">
        <v>565</v>
      </c>
      <c r="D90" s="6" t="n">
        <v>564.9</v>
      </c>
      <c r="E90" s="5" t="inlineStr">
        <is>
          <t>DS-140</t>
        </is>
      </c>
      <c r="F90" s="5" t="inlineStr">
        <is>
          <t>USGS DS-140 valor unitario consumo aparente</t>
        </is>
      </c>
      <c r="G90" s="6" t="n"/>
    </row>
    <row r="91">
      <c r="A91" s="9" t="inlineStr">
        <is>
          <t>Grafito</t>
        </is>
      </c>
      <c r="B91" s="9" t="n">
        <v>1999</v>
      </c>
      <c r="C91" s="9" t="n">
        <v>624</v>
      </c>
      <c r="D91" s="9" t="n">
        <v>608.5</v>
      </c>
      <c r="E91" s="8" t="inlineStr">
        <is>
          <t>DS-140</t>
        </is>
      </c>
      <c r="F91" s="8" t="inlineStr">
        <is>
          <t>USGS DS-140 valor unitario consumo aparente</t>
        </is>
      </c>
      <c r="G91" s="9" t="n"/>
    </row>
    <row r="92">
      <c r="A92" s="6" t="inlineStr">
        <is>
          <t>Grafito</t>
        </is>
      </c>
      <c r="B92" s="6" t="n">
        <v>2000</v>
      </c>
      <c r="C92" s="6" t="n">
        <v>535</v>
      </c>
      <c r="D92" s="6" t="n">
        <v>506</v>
      </c>
      <c r="E92" s="5" t="inlineStr">
        <is>
          <t>DS-140</t>
        </is>
      </c>
      <c r="F92" s="5" t="inlineStr">
        <is>
          <t>USGS DS-140 valor unitario consumo aparente</t>
        </is>
      </c>
      <c r="G92" s="6" t="n"/>
    </row>
    <row r="93">
      <c r="A93" s="9" t="inlineStr">
        <is>
          <t>Grafito</t>
        </is>
      </c>
      <c r="B93" s="9" t="n">
        <v>2001</v>
      </c>
      <c r="C93" s="9" t="n">
        <v>447</v>
      </c>
      <c r="D93" s="9" t="n">
        <v>411.6</v>
      </c>
      <c r="E93" s="8" t="inlineStr">
        <is>
          <t>DS-140</t>
        </is>
      </c>
      <c r="F93" s="8" t="inlineStr">
        <is>
          <t>USGS DS-140 valor unitario consumo aparente</t>
        </is>
      </c>
      <c r="G93" s="9" t="n"/>
    </row>
    <row r="94">
      <c r="A94" s="6" t="inlineStr">
        <is>
          <t>Grafito</t>
        </is>
      </c>
      <c r="B94" s="6" t="n">
        <v>2002</v>
      </c>
      <c r="C94" s="6" t="n">
        <v>495</v>
      </c>
      <c r="D94" s="6" t="n">
        <v>448</v>
      </c>
      <c r="E94" s="5" t="inlineStr">
        <is>
          <t>DS-140</t>
        </is>
      </c>
      <c r="F94" s="5" t="inlineStr">
        <is>
          <t>USGS DS-140 valor unitario consumo aparente</t>
        </is>
      </c>
      <c r="G94" s="6" t="n"/>
    </row>
    <row r="95">
      <c r="A95" s="9" t="inlineStr">
        <is>
          <t>Grafito</t>
        </is>
      </c>
      <c r="B95" s="9" t="n">
        <v>2003</v>
      </c>
      <c r="C95" s="9" t="n">
        <v>467</v>
      </c>
      <c r="D95" s="9" t="n">
        <v>413</v>
      </c>
      <c r="E95" s="8" t="inlineStr">
        <is>
          <t>DS-140</t>
        </is>
      </c>
      <c r="F95" s="8" t="inlineStr">
        <is>
          <t>USGS DS-140 valor unitario consumo aparente</t>
        </is>
      </c>
      <c r="G95" s="9" t="n"/>
    </row>
    <row r="96">
      <c r="A96" s="6" t="inlineStr">
        <is>
          <t>Grafito</t>
        </is>
      </c>
      <c r="B96" s="6" t="n">
        <v>2004</v>
      </c>
      <c r="C96" s="6" t="n">
        <v>469</v>
      </c>
      <c r="D96" s="6" t="n">
        <v>405</v>
      </c>
      <c r="E96" s="5" t="inlineStr">
        <is>
          <t>DS-140</t>
        </is>
      </c>
      <c r="F96" s="5" t="inlineStr">
        <is>
          <t>USGS DS-140 valor unitario consumo aparente</t>
        </is>
      </c>
      <c r="G96" s="6" t="n"/>
    </row>
    <row r="97">
      <c r="A97" s="9" t="inlineStr">
        <is>
          <t>Grafito</t>
        </is>
      </c>
      <c r="B97" s="9" t="n">
        <v>2005</v>
      </c>
      <c r="C97" s="9" t="n">
        <v>537</v>
      </c>
      <c r="D97" s="9" t="n">
        <v>448</v>
      </c>
      <c r="E97" s="8" t="inlineStr">
        <is>
          <t>DS-140</t>
        </is>
      </c>
      <c r="F97" s="8" t="inlineStr">
        <is>
          <t>USGS DS-140 valor unitario consumo aparente</t>
        </is>
      </c>
      <c r="G97" s="9" t="n"/>
    </row>
    <row r="98">
      <c r="A98" s="6" t="inlineStr">
        <is>
          <t>Grafito</t>
        </is>
      </c>
      <c r="B98" s="6" t="n">
        <v>2006</v>
      </c>
      <c r="C98" s="6" t="n">
        <v>553</v>
      </c>
      <c r="D98" s="6" t="n">
        <v>447</v>
      </c>
      <c r="E98" s="5" t="inlineStr">
        <is>
          <t>DS-140</t>
        </is>
      </c>
      <c r="F98" s="5" t="inlineStr">
        <is>
          <t>USGS DS-140 valor unitario consumo aparente</t>
        </is>
      </c>
      <c r="G98" s="6" t="n"/>
    </row>
    <row r="99">
      <c r="A99" s="9" t="inlineStr">
        <is>
          <t>Grafito</t>
        </is>
      </c>
      <c r="B99" s="9" t="n">
        <v>2007</v>
      </c>
      <c r="C99" s="9" t="n">
        <v>636</v>
      </c>
      <c r="D99" s="9" t="n">
        <v>500</v>
      </c>
      <c r="E99" s="8" t="inlineStr">
        <is>
          <t>DS-140</t>
        </is>
      </c>
      <c r="F99" s="8" t="inlineStr">
        <is>
          <t>USGS DS-140 valor unitario consumo aparente</t>
        </is>
      </c>
      <c r="G99" s="9" t="n"/>
    </row>
    <row r="100">
      <c r="A100" s="6" t="inlineStr">
        <is>
          <t>Grafito</t>
        </is>
      </c>
      <c r="B100" s="6" t="n">
        <v>2008</v>
      </c>
      <c r="C100" s="6" t="n">
        <v>826</v>
      </c>
      <c r="D100" s="6" t="n">
        <v>625.331213566508</v>
      </c>
      <c r="E100" s="5" t="inlineStr">
        <is>
          <t>DS-140</t>
        </is>
      </c>
      <c r="F100" s="5" t="inlineStr">
        <is>
          <t>USGS DS-140 valor unitario consumo aparente</t>
        </is>
      </c>
      <c r="G100" s="6" t="n"/>
    </row>
    <row r="101">
      <c r="A101" s="9" t="inlineStr">
        <is>
          <t>Grafito</t>
        </is>
      </c>
      <c r="B101" s="9" t="n">
        <v>2009</v>
      </c>
      <c r="C101" s="9" t="n">
        <v>897</v>
      </c>
      <c r="D101" s="9" t="n">
        <v>681.507369700653</v>
      </c>
      <c r="E101" s="8" t="inlineStr">
        <is>
          <t>DS-140</t>
        </is>
      </c>
      <c r="F101" s="8" t="inlineStr">
        <is>
          <t>USGS DS-140 valor unitario consumo aparente</t>
        </is>
      </c>
      <c r="G101" s="9" t="n"/>
    </row>
    <row r="102">
      <c r="A102" s="6" t="inlineStr">
        <is>
          <t>Grafito</t>
        </is>
      </c>
      <c r="B102" s="6" t="n">
        <v>2010</v>
      </c>
      <c r="C102" s="6" t="n">
        <v>797.043627136262</v>
      </c>
      <c r="D102" s="6" t="n">
        <v>595.754223351772</v>
      </c>
      <c r="E102" s="5" t="inlineStr">
        <is>
          <t>DS-140</t>
        </is>
      </c>
      <c r="F102" s="5" t="inlineStr">
        <is>
          <t>USGS DS-140 valor unitario consumo aparente</t>
        </is>
      </c>
      <c r="G102" s="6" t="n"/>
    </row>
    <row r="103">
      <c r="A103" s="9" t="inlineStr">
        <is>
          <t>Grafito</t>
        </is>
      </c>
      <c r="B103" s="9" t="n">
        <v>2011</v>
      </c>
      <c r="C103" s="9" t="n">
        <v>1130</v>
      </c>
      <c r="D103" s="9" t="n">
        <v>820.289855072464</v>
      </c>
      <c r="E103" s="8" t="inlineStr">
        <is>
          <t>DS-140</t>
        </is>
      </c>
      <c r="F103" s="8" t="inlineStr">
        <is>
          <t>USGS DS-140 valor unitario consumo aparente</t>
        </is>
      </c>
      <c r="G103" s="9" t="n"/>
    </row>
    <row r="104">
      <c r="A104" s="6" t="inlineStr">
        <is>
          <t>Grafito</t>
        </is>
      </c>
      <c r="B104" s="6" t="n">
        <v>2012</v>
      </c>
      <c r="C104" s="6" t="n">
        <v>1210</v>
      </c>
      <c r="D104" s="6" t="n">
        <v>859</v>
      </c>
      <c r="E104" s="5" t="inlineStr">
        <is>
          <t>DS-140</t>
        </is>
      </c>
      <c r="F104" s="5" t="inlineStr">
        <is>
          <t>USGS DS-140 valor unitario consumo aparente</t>
        </is>
      </c>
      <c r="G104" s="6" t="n"/>
    </row>
    <row r="105">
      <c r="A105" s="9" t="inlineStr">
        <is>
          <t>Grafito</t>
        </is>
      </c>
      <c r="B105" s="9" t="n">
        <v>2013</v>
      </c>
      <c r="C105" s="9" t="n">
        <v>1150</v>
      </c>
      <c r="D105" s="9" t="n">
        <v>805</v>
      </c>
      <c r="E105" s="8" t="inlineStr">
        <is>
          <t>DS-140</t>
        </is>
      </c>
      <c r="F105" s="8" t="inlineStr">
        <is>
          <t>USGS DS-140 valor unitario consumo aparente</t>
        </is>
      </c>
      <c r="G105" s="9" t="n"/>
    </row>
    <row r="106">
      <c r="A106" s="6" t="inlineStr">
        <is>
          <t>Grafito</t>
        </is>
      </c>
      <c r="B106" s="6" t="n">
        <v>2014</v>
      </c>
      <c r="C106" s="6" t="n">
        <v>1040</v>
      </c>
      <c r="D106" s="6" t="n">
        <v>716</v>
      </c>
      <c r="E106" s="5" t="inlineStr">
        <is>
          <t>DS-140</t>
        </is>
      </c>
      <c r="F106" s="5" t="inlineStr">
        <is>
          <t>USGS DS-140 valor unitario consumo aparente</t>
        </is>
      </c>
      <c r="G106" s="6" t="n"/>
    </row>
    <row r="107">
      <c r="A107" s="9" t="inlineStr">
        <is>
          <t>Grafito</t>
        </is>
      </c>
      <c r="B107" s="9" t="n">
        <v>2015</v>
      </c>
      <c r="C107" s="9" t="n">
        <v>1250</v>
      </c>
      <c r="D107" s="9" t="n">
        <v>860</v>
      </c>
      <c r="E107" s="8" t="inlineStr">
        <is>
          <t>DS-140</t>
        </is>
      </c>
      <c r="F107" s="8" t="inlineStr">
        <is>
          <t>USGS DS-140 valor unitario consumo aparente</t>
        </is>
      </c>
      <c r="G107" s="9" t="n"/>
    </row>
    <row r="108">
      <c r="A108" s="6" t="inlineStr">
        <is>
          <t>Grafito</t>
        </is>
      </c>
      <c r="B108" s="6" t="n">
        <v>2016</v>
      </c>
      <c r="C108" s="6" t="n">
        <v>1220</v>
      </c>
      <c r="D108" s="6" t="n">
        <v>830</v>
      </c>
      <c r="E108" s="5" t="inlineStr">
        <is>
          <t>DS-140</t>
        </is>
      </c>
      <c r="F108" s="5" t="inlineStr">
        <is>
          <t>USGS DS-140 valor unitario consumo aparente</t>
        </is>
      </c>
      <c r="G108" s="6" t="n"/>
    </row>
    <row r="109">
      <c r="A109" s="9" t="inlineStr">
        <is>
          <t>Grafito</t>
        </is>
      </c>
      <c r="B109" s="9" t="n">
        <v>2017</v>
      </c>
      <c r="C109" s="9" t="n">
        <v>1130</v>
      </c>
      <c r="D109" s="9" t="n">
        <v>750</v>
      </c>
      <c r="E109" s="8" t="inlineStr">
        <is>
          <t>DS-140</t>
        </is>
      </c>
      <c r="F109" s="8" t="inlineStr">
        <is>
          <t>USGS DS-140 valor unitario consumo aparente</t>
        </is>
      </c>
      <c r="G109" s="9" t="n"/>
    </row>
    <row r="110">
      <c r="A110" s="6" t="inlineStr">
        <is>
          <t>Grafito</t>
        </is>
      </c>
      <c r="B110" s="6" t="n">
        <v>2018</v>
      </c>
      <c r="C110" s="6" t="n">
        <v>913</v>
      </c>
      <c r="D110" s="6" t="n">
        <v>593</v>
      </c>
      <c r="E110" s="5" t="inlineStr">
        <is>
          <t>DS-140</t>
        </is>
      </c>
      <c r="F110" s="5" t="inlineStr">
        <is>
          <t>USGS DS-140 valor unitario consumo aparente</t>
        </is>
      </c>
      <c r="G110" s="6" t="n"/>
    </row>
    <row r="111">
      <c r="A111" s="9" t="inlineStr">
        <is>
          <t>Grafito</t>
        </is>
      </c>
      <c r="B111" s="9" t="n">
        <v>2019</v>
      </c>
      <c r="C111" s="9" t="n">
        <v>1120</v>
      </c>
      <c r="D111" s="9" t="n">
        <v>714</v>
      </c>
      <c r="E111" s="8" t="inlineStr">
        <is>
          <t>DS-140</t>
        </is>
      </c>
      <c r="F111" s="8" t="inlineStr">
        <is>
          <t>USGS DS-140 valor unitario consumo aparente</t>
        </is>
      </c>
      <c r="G111" s="9" t="n"/>
    </row>
    <row r="112">
      <c r="A112" s="6" t="inlineStr">
        <is>
          <t>Grafito</t>
        </is>
      </c>
      <c r="B112" s="6" t="n">
        <v>2020</v>
      </c>
      <c r="C112" s="6" t="n">
        <v>1240</v>
      </c>
      <c r="D112" s="6" t="n">
        <v>780</v>
      </c>
      <c r="E112" s="5" t="inlineStr">
        <is>
          <t>DS-140</t>
        </is>
      </c>
      <c r="F112" s="5" t="inlineStr">
        <is>
          <t>USGS DS-140 valor unitario consumo aparente</t>
        </is>
      </c>
      <c r="G112" s="6" t="n"/>
    </row>
    <row r="113">
      <c r="A113" s="9" t="inlineStr">
        <is>
          <t>Grafito</t>
        </is>
      </c>
      <c r="B113" s="9" t="n">
        <v>2021</v>
      </c>
      <c r="C113" s="9" t="n">
        <v>1340</v>
      </c>
      <c r="D113" s="9" t="n">
        <v>806</v>
      </c>
      <c r="E113" s="8" t="inlineStr">
        <is>
          <t>DS-140</t>
        </is>
      </c>
      <c r="F113" s="8" t="inlineStr">
        <is>
          <t>USGS DS-140 valor unitario consumo aparente</t>
        </is>
      </c>
      <c r="G113" s="9" t="n"/>
    </row>
    <row r="114">
      <c r="A114" s="6" t="inlineStr">
        <is>
          <t>Grafito</t>
        </is>
      </c>
      <c r="B114" s="6" t="n">
        <v>2022</v>
      </c>
      <c r="C114" s="6" t="n">
        <v>2090</v>
      </c>
      <c r="D114" s="6" t="n">
        <v>1160</v>
      </c>
      <c r="E114" s="5" t="inlineStr">
        <is>
          <t>DS-140</t>
        </is>
      </c>
      <c r="F114" s="5" t="inlineStr">
        <is>
          <t>USGS DS-140 valor unitario consumo aparente</t>
        </is>
      </c>
      <c r="G114" s="6" t="n"/>
    </row>
    <row r="115">
      <c r="A115" s="9" t="inlineStr">
        <is>
          <t>Manganeso</t>
        </is>
      </c>
      <c r="B115" s="9" t="n">
        <v>1990</v>
      </c>
      <c r="C115" s="9" t="n">
        <v>687.884462136406</v>
      </c>
      <c r="D115" s="9" t="n">
        <v>857.881922939818</v>
      </c>
      <c r="E115" s="8" t="inlineStr">
        <is>
          <t>DS-140</t>
        </is>
      </c>
      <c r="F115" s="8" t="inlineStr">
        <is>
          <t>USGS DS-140 valor unitario consumo aparente</t>
        </is>
      </c>
      <c r="G115" s="9" t="n"/>
    </row>
    <row r="116">
      <c r="A116" s="6" t="inlineStr">
        <is>
          <t>Manganeso</t>
        </is>
      </c>
      <c r="B116" s="6" t="n">
        <v>1991</v>
      </c>
      <c r="C116" s="6" t="n">
        <v>806.997721992257</v>
      </c>
      <c r="D116" s="6" t="n">
        <v>965.790225291762</v>
      </c>
      <c r="E116" s="5" t="inlineStr">
        <is>
          <t>DS-140</t>
        </is>
      </c>
      <c r="F116" s="5" t="inlineStr">
        <is>
          <t>USGS DS-140 valor unitario consumo aparente</t>
        </is>
      </c>
      <c r="G116" s="6" t="n"/>
    </row>
    <row r="117">
      <c r="A117" s="9" t="inlineStr">
        <is>
          <t>Manganeso</t>
        </is>
      </c>
      <c r="B117" s="9" t="n">
        <v>1992</v>
      </c>
      <c r="C117" s="9" t="n">
        <v>654.229249011858</v>
      </c>
      <c r="D117" s="9" t="n">
        <v>760.081023442144</v>
      </c>
      <c r="E117" s="8" t="inlineStr">
        <is>
          <t>DS-140</t>
        </is>
      </c>
      <c r="F117" s="8" t="inlineStr">
        <is>
          <t>USGS DS-140 valor unitario consumo aparente</t>
        </is>
      </c>
      <c r="G117" s="9" t="n"/>
    </row>
    <row r="118">
      <c r="A118" s="6" t="inlineStr">
        <is>
          <t>Manganeso</t>
        </is>
      </c>
      <c r="B118" s="6" t="n">
        <v>1993</v>
      </c>
      <c r="C118" s="6" t="n">
        <v>605</v>
      </c>
      <c r="D118" s="6" t="n">
        <v>682.456747404844</v>
      </c>
      <c r="E118" s="5" t="inlineStr">
        <is>
          <t>DS-140</t>
        </is>
      </c>
      <c r="F118" s="5" t="inlineStr">
        <is>
          <t>USGS DS-140 valor unitario consumo aparente</t>
        </is>
      </c>
      <c r="G118" s="6" t="n"/>
    </row>
    <row r="119">
      <c r="A119" s="9" t="inlineStr">
        <is>
          <t>Manganeso</t>
        </is>
      </c>
      <c r="B119" s="9" t="n">
        <v>1994</v>
      </c>
      <c r="C119" s="9" t="n">
        <v>602</v>
      </c>
      <c r="D119" s="9" t="n">
        <v>662.118758434548</v>
      </c>
      <c r="E119" s="8" t="inlineStr">
        <is>
          <t>DS-140</t>
        </is>
      </c>
      <c r="F119" s="8" t="inlineStr">
        <is>
          <t>USGS DS-140 valor unitario consumo aparente</t>
        </is>
      </c>
      <c r="G119" s="9" t="n"/>
    </row>
    <row r="120">
      <c r="A120" s="6" t="inlineStr">
        <is>
          <t>Manganeso</t>
        </is>
      </c>
      <c r="B120" s="6" t="n">
        <v>1995</v>
      </c>
      <c r="C120" s="6" t="n">
        <v>599</v>
      </c>
      <c r="D120" s="6" t="n">
        <v>640.662729658793</v>
      </c>
      <c r="E120" s="5" t="inlineStr">
        <is>
          <t>DS-140</t>
        </is>
      </c>
      <c r="F120" s="5" t="inlineStr">
        <is>
          <t>USGS DS-140 valor unitario consumo aparente</t>
        </is>
      </c>
      <c r="G120" s="6" t="n"/>
    </row>
    <row r="121">
      <c r="A121" s="9" t="inlineStr">
        <is>
          <t>Manganeso</t>
        </is>
      </c>
      <c r="B121" s="9" t="n">
        <v>1996</v>
      </c>
      <c r="C121" s="9" t="n">
        <v>650</v>
      </c>
      <c r="D121" s="9" t="n">
        <v>675.270873167623</v>
      </c>
      <c r="E121" s="8" t="inlineStr">
        <is>
          <t>DS-140</t>
        </is>
      </c>
      <c r="F121" s="8" t="inlineStr">
        <is>
          <t>USGS DS-140 valor unitario consumo aparente</t>
        </is>
      </c>
      <c r="G121" s="9" t="n"/>
    </row>
    <row r="122">
      <c r="A122" s="6" t="inlineStr">
        <is>
          <t>Manganeso</t>
        </is>
      </c>
      <c r="B122" s="6" t="n">
        <v>1997</v>
      </c>
      <c r="C122" s="6" t="n">
        <v>635</v>
      </c>
      <c r="D122" s="6" t="n">
        <v>644.890965732087</v>
      </c>
      <c r="E122" s="5" t="inlineStr">
        <is>
          <t>DS-140</t>
        </is>
      </c>
      <c r="F122" s="5" t="inlineStr">
        <is>
          <t>USGS DS-140 valor unitario consumo aparente</t>
        </is>
      </c>
      <c r="G122" s="6" t="n"/>
    </row>
    <row r="123">
      <c r="A123" s="9" t="inlineStr">
        <is>
          <t>Manganeso</t>
        </is>
      </c>
      <c r="B123" s="9" t="n">
        <v>1998</v>
      </c>
      <c r="C123" s="9" t="n">
        <v>591</v>
      </c>
      <c r="D123" s="9" t="n">
        <v>591</v>
      </c>
      <c r="E123" s="8" t="inlineStr">
        <is>
          <t>DS-140</t>
        </is>
      </c>
      <c r="F123" s="8" t="inlineStr">
        <is>
          <t>USGS DS-140 valor unitario consumo aparente</t>
        </is>
      </c>
      <c r="G123" s="9" t="n"/>
    </row>
    <row r="124">
      <c r="A124" s="6" t="inlineStr">
        <is>
          <t>Manganeso</t>
        </is>
      </c>
      <c r="B124" s="6" t="n">
        <v>1999</v>
      </c>
      <c r="C124" s="6" t="n">
        <v>535</v>
      </c>
      <c r="D124" s="6" t="n">
        <v>523.4393757503</v>
      </c>
      <c r="E124" s="5" t="inlineStr">
        <is>
          <t>DS-140</t>
        </is>
      </c>
      <c r="F124" s="5" t="inlineStr">
        <is>
          <t>USGS DS-140 valor unitario consumo aparente</t>
        </is>
      </c>
      <c r="G124" s="6" t="n"/>
    </row>
    <row r="125">
      <c r="A125" s="9" t="inlineStr">
        <is>
          <t>Manganeso</t>
        </is>
      </c>
      <c r="B125" s="9" t="n">
        <v>2000</v>
      </c>
      <c r="C125" s="9" t="n">
        <v>582</v>
      </c>
      <c r="D125" s="9" t="n">
        <v>550.905923344948</v>
      </c>
      <c r="E125" s="8" t="inlineStr">
        <is>
          <t>DS-140</t>
        </is>
      </c>
      <c r="F125" s="8" t="inlineStr">
        <is>
          <t>USGS DS-140 valor unitario consumo aparente</t>
        </is>
      </c>
      <c r="G125" s="9" t="n"/>
    </row>
    <row r="126">
      <c r="A126" s="6" t="inlineStr">
        <is>
          <t>Manganeso</t>
        </is>
      </c>
      <c r="B126" s="6" t="n">
        <v>2001</v>
      </c>
      <c r="C126" s="6" t="n">
        <v>529</v>
      </c>
      <c r="D126" s="6" t="n">
        <v>486.883116883117</v>
      </c>
      <c r="E126" s="5" t="inlineStr">
        <is>
          <t>DS-140</t>
        </is>
      </c>
      <c r="F126" s="5" t="inlineStr">
        <is>
          <t>USGS DS-140 valor unitario consumo aparente</t>
        </is>
      </c>
      <c r="G126" s="6" t="n"/>
    </row>
    <row r="127">
      <c r="A127" s="9" t="inlineStr">
        <is>
          <t>Manganeso</t>
        </is>
      </c>
      <c r="B127" s="9" t="n">
        <v>2002</v>
      </c>
      <c r="C127" s="9" t="n">
        <v>471</v>
      </c>
      <c r="D127" s="9" t="n">
        <v>426.753752084491</v>
      </c>
      <c r="E127" s="8" t="inlineStr">
        <is>
          <t>DS-140</t>
        </is>
      </c>
      <c r="F127" s="8" t="inlineStr">
        <is>
          <t>USGS DS-140 valor unitario consumo aparente</t>
        </is>
      </c>
      <c r="G127" s="9" t="n"/>
    </row>
    <row r="128">
      <c r="A128" s="6" t="inlineStr">
        <is>
          <t>Manganeso</t>
        </is>
      </c>
      <c r="B128" s="6" t="n">
        <v>2003</v>
      </c>
      <c r="C128" s="6" t="n">
        <v>599</v>
      </c>
      <c r="D128" s="6" t="n">
        <v>530.635869565217</v>
      </c>
      <c r="E128" s="5" t="inlineStr">
        <is>
          <t>DS-140</t>
        </is>
      </c>
      <c r="F128" s="5" t="inlineStr">
        <is>
          <t>USGS DS-140 valor unitario consumo aparente</t>
        </is>
      </c>
      <c r="G128" s="6" t="n"/>
    </row>
    <row r="129">
      <c r="A129" s="9" t="inlineStr">
        <is>
          <t>Manganeso</t>
        </is>
      </c>
      <c r="B129" s="9" t="n">
        <v>2004</v>
      </c>
      <c r="C129" s="9" t="n">
        <v>1090</v>
      </c>
      <c r="D129" s="9" t="n">
        <v>940.550555849656</v>
      </c>
      <c r="E129" s="8" t="inlineStr">
        <is>
          <t>DS-140</t>
        </is>
      </c>
      <c r="F129" s="8" t="inlineStr">
        <is>
          <t>USGS DS-140 valor unitario consumo aparente</t>
        </is>
      </c>
      <c r="G129" s="9" t="n"/>
    </row>
    <row r="130">
      <c r="A130" s="6" t="inlineStr">
        <is>
          <t>Manganeso</t>
        </is>
      </c>
      <c r="B130" s="6" t="n">
        <v>2005</v>
      </c>
      <c r="C130" s="6" t="n">
        <v>712</v>
      </c>
      <c r="D130" s="6" t="n">
        <v>594.244751664107</v>
      </c>
      <c r="E130" s="5" t="inlineStr">
        <is>
          <t>DS-140</t>
        </is>
      </c>
      <c r="F130" s="5" t="inlineStr">
        <is>
          <t>USGS DS-140 valor unitario consumo aparente</t>
        </is>
      </c>
      <c r="G130" s="6" t="n"/>
    </row>
    <row r="131">
      <c r="A131" s="9" t="inlineStr">
        <is>
          <t>Manganeso</t>
        </is>
      </c>
      <c r="B131" s="9" t="n">
        <v>2006</v>
      </c>
      <c r="C131" s="9" t="n">
        <v>800</v>
      </c>
      <c r="D131" s="9" t="n">
        <v>646.825396825397</v>
      </c>
      <c r="E131" s="8" t="inlineStr">
        <is>
          <t>DS-140</t>
        </is>
      </c>
      <c r="F131" s="8" t="inlineStr">
        <is>
          <t>USGS DS-140 valor unitario consumo aparente</t>
        </is>
      </c>
      <c r="G131" s="9" t="n"/>
    </row>
    <row r="132">
      <c r="A132" s="6" t="inlineStr">
        <is>
          <t>Manganeso</t>
        </is>
      </c>
      <c r="B132" s="6" t="n">
        <v>2007</v>
      </c>
      <c r="C132" s="6" t="n">
        <v>1190</v>
      </c>
      <c r="D132" s="6" t="n">
        <v>935.697057404728</v>
      </c>
      <c r="E132" s="5" t="inlineStr">
        <is>
          <t>DS-140</t>
        </is>
      </c>
      <c r="F132" s="5" t="inlineStr">
        <is>
          <t>USGS DS-140 valor unitario consumo aparente</t>
        </is>
      </c>
      <c r="G132" s="6" t="n"/>
    </row>
    <row r="133">
      <c r="A133" s="9" t="inlineStr">
        <is>
          <t>Manganeso</t>
        </is>
      </c>
      <c r="B133" s="9" t="n">
        <v>2008</v>
      </c>
      <c r="C133" s="9" t="n">
        <v>2380</v>
      </c>
      <c r="D133" s="9" t="n">
        <v>1801.85787273572</v>
      </c>
      <c r="E133" s="8" t="inlineStr">
        <is>
          <t>DS-140</t>
        </is>
      </c>
      <c r="F133" s="8" t="inlineStr">
        <is>
          <t>USGS DS-140 valor unitario consumo aparente</t>
        </is>
      </c>
      <c r="G133" s="9" t="n"/>
    </row>
    <row r="134">
      <c r="A134" s="6" t="inlineStr">
        <is>
          <t>Manganeso</t>
        </is>
      </c>
      <c r="B134" s="6" t="n">
        <v>2009</v>
      </c>
      <c r="C134" s="6" t="n">
        <v>1370</v>
      </c>
      <c r="D134" s="6" t="n">
        <v>1041.07226107226</v>
      </c>
      <c r="E134" s="5" t="inlineStr">
        <is>
          <t>DS-140</t>
        </is>
      </c>
      <c r="F134" s="5" t="inlineStr">
        <is>
          <t>USGS DS-140 valor unitario consumo aparente</t>
        </is>
      </c>
      <c r="G134" s="6" t="n"/>
    </row>
    <row r="135">
      <c r="A135" s="9" t="inlineStr">
        <is>
          <t>Manganeso</t>
        </is>
      </c>
      <c r="B135" s="9" t="n">
        <v>2010</v>
      </c>
      <c r="C135" s="9" t="n">
        <v>1500</v>
      </c>
      <c r="D135" s="9" t="n">
        <v>1121.04539202201</v>
      </c>
      <c r="E135" s="8" t="inlineStr">
        <is>
          <t>DS-140</t>
        </is>
      </c>
      <c r="F135" s="8" t="inlineStr">
        <is>
          <t>USGS DS-140 valor unitario consumo aparente</t>
        </is>
      </c>
      <c r="G135" s="9" t="n"/>
    </row>
    <row r="136">
      <c r="A136" s="6" t="inlineStr">
        <is>
          <t>Manganeso</t>
        </is>
      </c>
      <c r="B136" s="6" t="n">
        <v>2011</v>
      </c>
      <c r="C136" s="6" t="n">
        <v>1460</v>
      </c>
      <c r="D136" s="6" t="n">
        <v>1058.1591818586</v>
      </c>
      <c r="E136" s="5" t="inlineStr">
        <is>
          <t>DS-140</t>
        </is>
      </c>
      <c r="F136" s="5" t="inlineStr">
        <is>
          <t>USGS DS-140 valor unitario consumo aparente</t>
        </is>
      </c>
      <c r="G136" s="6" t="n"/>
    </row>
    <row r="137">
      <c r="A137" s="9" t="inlineStr">
        <is>
          <t>Manganeso</t>
        </is>
      </c>
      <c r="B137" s="9" t="n">
        <v>2012</v>
      </c>
      <c r="C137" s="9" t="n">
        <v>1400</v>
      </c>
      <c r="D137" s="9" t="n">
        <v>993.90243902439</v>
      </c>
      <c r="E137" s="8" t="inlineStr">
        <is>
          <t>DS-140</t>
        </is>
      </c>
      <c r="F137" s="8" t="inlineStr">
        <is>
          <t>USGS DS-140 valor unitario consumo aparente</t>
        </is>
      </c>
      <c r="G137" s="9" t="n"/>
    </row>
    <row r="138">
      <c r="A138" s="6" t="inlineStr">
        <is>
          <t>Manganeso</t>
        </is>
      </c>
      <c r="B138" s="6" t="n">
        <v>2013</v>
      </c>
      <c r="C138" s="6" t="n">
        <v>1190</v>
      </c>
      <c r="D138" s="6" t="n">
        <v>832.489270386266</v>
      </c>
      <c r="E138" s="5" t="inlineStr">
        <is>
          <t>DS-140</t>
        </is>
      </c>
      <c r="F138" s="5" t="inlineStr">
        <is>
          <t>USGS DS-140 valor unitario consumo aparente</t>
        </is>
      </c>
      <c r="G138" s="6" t="n"/>
    </row>
    <row r="139">
      <c r="A139" s="9" t="inlineStr">
        <is>
          <t>Manganeso</t>
        </is>
      </c>
      <c r="B139" s="9" t="n">
        <v>2014</v>
      </c>
      <c r="C139" s="9" t="n">
        <v>1330</v>
      </c>
      <c r="D139" s="9" t="n">
        <v>915.88508660752</v>
      </c>
      <c r="E139" s="8" t="inlineStr">
        <is>
          <t>DS-140</t>
        </is>
      </c>
      <c r="F139" s="8" t="inlineStr">
        <is>
          <t>USGS DS-140 valor unitario consumo aparente</t>
        </is>
      </c>
      <c r="G139" s="9" t="n"/>
    </row>
    <row r="140">
      <c r="A140" s="6" t="inlineStr">
        <is>
          <t>Manganeso</t>
        </is>
      </c>
      <c r="B140" s="6" t="n">
        <v>2015</v>
      </c>
      <c r="C140" s="6" t="n">
        <v>1140</v>
      </c>
      <c r="D140" s="6" t="n">
        <v>784.050632911392</v>
      </c>
      <c r="E140" s="5" t="inlineStr">
        <is>
          <t>DS-140</t>
        </is>
      </c>
      <c r="F140" s="5" t="inlineStr">
        <is>
          <t>USGS DS-140 valor unitario consumo aparente</t>
        </is>
      </c>
      <c r="G140" s="6" t="n"/>
    </row>
    <row r="141">
      <c r="A141" s="9" t="inlineStr">
        <is>
          <t>Manganeso</t>
        </is>
      </c>
      <c r="B141" s="9" t="n">
        <v>2016</v>
      </c>
      <c r="C141" s="9" t="n">
        <v>920</v>
      </c>
      <c r="D141" s="9" t="n">
        <v>624.833333333333</v>
      </c>
      <c r="E141" s="8" t="inlineStr">
        <is>
          <t>DS-140</t>
        </is>
      </c>
      <c r="F141" s="8" t="inlineStr">
        <is>
          <t>USGS DS-140 valor unitario consumo aparente</t>
        </is>
      </c>
      <c r="G141" s="9" t="n"/>
    </row>
    <row r="142">
      <c r="A142" s="6" t="inlineStr">
        <is>
          <t>Manganeso</t>
        </is>
      </c>
      <c r="B142" s="6" t="n">
        <v>2017</v>
      </c>
      <c r="C142" s="6" t="n">
        <v>1420</v>
      </c>
      <c r="D142" s="6" t="n">
        <v>944.3492452060379</v>
      </c>
      <c r="E142" s="5" t="inlineStr">
        <is>
          <t>DS-140</t>
        </is>
      </c>
      <c r="F142" s="5" t="inlineStr">
        <is>
          <t>USGS DS-140 valor unitario consumo aparente</t>
        </is>
      </c>
      <c r="G142" s="6" t="n"/>
    </row>
    <row r="143">
      <c r="A143" s="9" t="inlineStr">
        <is>
          <t>Manganeso</t>
        </is>
      </c>
      <c r="B143" s="9" t="n">
        <v>2018</v>
      </c>
      <c r="C143" s="9" t="n">
        <v>1500</v>
      </c>
      <c r="D143" s="9" t="n">
        <v>973.7156511350061</v>
      </c>
      <c r="E143" s="8" t="inlineStr">
        <is>
          <t>DS-140</t>
        </is>
      </c>
      <c r="F143" s="8" t="inlineStr">
        <is>
          <t>USGS DS-140 valor unitario consumo aparente</t>
        </is>
      </c>
      <c r="G143" s="9" t="n"/>
    </row>
    <row r="144">
      <c r="A144" s="6" t="inlineStr">
        <is>
          <t>Manganeso</t>
        </is>
      </c>
      <c r="B144" s="6" t="n">
        <v>2019</v>
      </c>
      <c r="C144" s="6" t="n">
        <v>1300</v>
      </c>
      <c r="D144" s="6" t="n">
        <v>828.705514274541</v>
      </c>
      <c r="E144" s="5" t="inlineStr">
        <is>
          <t>DS-140</t>
        </is>
      </c>
      <c r="F144" s="5" t="inlineStr">
        <is>
          <t>USGS DS-140 valor unitario consumo aparente</t>
        </is>
      </c>
      <c r="G144" s="6" t="n"/>
    </row>
    <row r="145">
      <c r="A145" s="9" t="inlineStr">
        <is>
          <t>Manganeso</t>
        </is>
      </c>
      <c r="B145" s="9" t="n">
        <v>2020</v>
      </c>
      <c r="C145" s="9" t="n">
        <v>1110</v>
      </c>
      <c r="D145" s="9" t="n">
        <v>699.111282843895</v>
      </c>
      <c r="E145" s="8" t="inlineStr">
        <is>
          <t>DS-140</t>
        </is>
      </c>
      <c r="F145" s="8" t="inlineStr">
        <is>
          <t>USGS DS-140 valor unitario consumo aparente</t>
        </is>
      </c>
      <c r="G145" s="9" t="n"/>
    </row>
    <row r="146">
      <c r="A146" s="6" t="inlineStr">
        <is>
          <t>Manganeso</t>
        </is>
      </c>
      <c r="B146" s="6" t="n">
        <v>2021</v>
      </c>
      <c r="C146" s="6" t="n">
        <v>1420</v>
      </c>
      <c r="D146" s="6" t="n">
        <v>857</v>
      </c>
      <c r="E146" s="5" t="inlineStr">
        <is>
          <t>DS-140</t>
        </is>
      </c>
      <c r="F146" s="5" t="inlineStr">
        <is>
          <t>USGS DS-140 valor unitario consumo aparente</t>
        </is>
      </c>
      <c r="G146" s="6" t="n"/>
    </row>
    <row r="147">
      <c r="A147" s="9" t="inlineStr">
        <is>
          <t>Manganeso</t>
        </is>
      </c>
      <c r="B147" s="9" t="n">
        <v>2022</v>
      </c>
      <c r="C147" s="9" t="n">
        <v>2000</v>
      </c>
      <c r="D147" s="9" t="n">
        <v>1110</v>
      </c>
      <c r="E147" s="8" t="inlineStr">
        <is>
          <t>DS-140</t>
        </is>
      </c>
      <c r="F147" s="8" t="inlineStr">
        <is>
          <t>USGS DS-140 valor unitario consumo aparente</t>
        </is>
      </c>
      <c r="G147" s="9" t="n"/>
    </row>
    <row r="148">
      <c r="A148" s="6" t="inlineStr">
        <is>
          <t>Oro</t>
        </is>
      </c>
      <c r="B148" s="6" t="n">
        <v>1990</v>
      </c>
      <c r="C148" s="6" t="n">
        <v>12400000</v>
      </c>
      <c r="D148" s="6" t="n">
        <v>15500000</v>
      </c>
      <c r="E148" s="5" t="inlineStr">
        <is>
          <t>DS-140</t>
        </is>
      </c>
      <c r="F148" s="5" t="inlineStr">
        <is>
          <t>USGS DS-140 valor unitario consumo aparente</t>
        </is>
      </c>
      <c r="G148" s="6" t="n"/>
    </row>
    <row r="149">
      <c r="A149" s="9" t="inlineStr">
        <is>
          <t>Oro</t>
        </is>
      </c>
      <c r="B149" s="9" t="n">
        <v>1991</v>
      </c>
      <c r="C149" s="9" t="n">
        <v>11700000</v>
      </c>
      <c r="D149" s="9" t="n">
        <v>14000000</v>
      </c>
      <c r="E149" s="8" t="inlineStr">
        <is>
          <t>DS-140</t>
        </is>
      </c>
      <c r="F149" s="8" t="inlineStr">
        <is>
          <t>USGS DS-140 valor unitario consumo aparente</t>
        </is>
      </c>
      <c r="G149" s="9" t="n"/>
    </row>
    <row r="150">
      <c r="A150" s="6" t="inlineStr">
        <is>
          <t>Oro</t>
        </is>
      </c>
      <c r="B150" s="6" t="n">
        <v>1992</v>
      </c>
      <c r="C150" s="6" t="n">
        <v>11100000</v>
      </c>
      <c r="D150" s="6" t="n">
        <v>12900000</v>
      </c>
      <c r="E150" s="5" t="inlineStr">
        <is>
          <t>DS-140</t>
        </is>
      </c>
      <c r="F150" s="5" t="inlineStr">
        <is>
          <t>USGS DS-140 valor unitario consumo aparente</t>
        </is>
      </c>
      <c r="G150" s="6" t="n"/>
    </row>
    <row r="151">
      <c r="A151" s="9" t="inlineStr">
        <is>
          <t>Oro</t>
        </is>
      </c>
      <c r="B151" s="9" t="n">
        <v>1993</v>
      </c>
      <c r="C151" s="9" t="n">
        <v>11600000</v>
      </c>
      <c r="D151" s="9" t="n">
        <v>13100000</v>
      </c>
      <c r="E151" s="8" t="inlineStr">
        <is>
          <t>DS-140</t>
        </is>
      </c>
      <c r="F151" s="8" t="inlineStr">
        <is>
          <t>USGS DS-140 valor unitario consumo aparente</t>
        </is>
      </c>
      <c r="G151" s="9" t="n"/>
    </row>
    <row r="152">
      <c r="A152" s="6" t="inlineStr">
        <is>
          <t>Oro</t>
        </is>
      </c>
      <c r="B152" s="6" t="n">
        <v>1994</v>
      </c>
      <c r="C152" s="6" t="n">
        <v>12400000</v>
      </c>
      <c r="D152" s="6" t="n">
        <v>13600000</v>
      </c>
      <c r="E152" s="5" t="inlineStr">
        <is>
          <t>DS-140</t>
        </is>
      </c>
      <c r="F152" s="5" t="inlineStr">
        <is>
          <t>USGS DS-140 valor unitario consumo aparente</t>
        </is>
      </c>
      <c r="G152" s="6" t="n"/>
    </row>
    <row r="153">
      <c r="A153" s="9" t="inlineStr">
        <is>
          <t>Oro</t>
        </is>
      </c>
      <c r="B153" s="9" t="n">
        <v>1995</v>
      </c>
      <c r="C153" s="9" t="n">
        <v>12400000</v>
      </c>
      <c r="D153" s="9" t="n">
        <v>13300000</v>
      </c>
      <c r="E153" s="8" t="inlineStr">
        <is>
          <t>DS-140</t>
        </is>
      </c>
      <c r="F153" s="8" t="inlineStr">
        <is>
          <t>USGS DS-140 valor unitario consumo aparente</t>
        </is>
      </c>
      <c r="G153" s="9" t="n"/>
    </row>
    <row r="154">
      <c r="A154" s="6" t="inlineStr">
        <is>
          <t>Oro</t>
        </is>
      </c>
      <c r="B154" s="6" t="n">
        <v>1996</v>
      </c>
      <c r="C154" s="6" t="n">
        <v>12500000</v>
      </c>
      <c r="D154" s="6" t="n">
        <v>13000000</v>
      </c>
      <c r="E154" s="5" t="inlineStr">
        <is>
          <t>DS-140</t>
        </is>
      </c>
      <c r="F154" s="5" t="inlineStr">
        <is>
          <t>USGS DS-140 valor unitario consumo aparente</t>
        </is>
      </c>
      <c r="G154" s="6" t="n"/>
    </row>
    <row r="155">
      <c r="A155" s="9" t="inlineStr">
        <is>
          <t>Oro</t>
        </is>
      </c>
      <c r="B155" s="9" t="n">
        <v>1997</v>
      </c>
      <c r="C155" s="9" t="n">
        <v>10700000</v>
      </c>
      <c r="D155" s="9" t="n">
        <v>10900000</v>
      </c>
      <c r="E155" s="8" t="inlineStr">
        <is>
          <t>DS-140</t>
        </is>
      </c>
      <c r="F155" s="8" t="inlineStr">
        <is>
          <t>USGS DS-140 valor unitario consumo aparente</t>
        </is>
      </c>
      <c r="G155" s="9" t="n"/>
    </row>
    <row r="156">
      <c r="A156" s="6" t="inlineStr">
        <is>
          <t>Oro</t>
        </is>
      </c>
      <c r="B156" s="6" t="n">
        <v>1998</v>
      </c>
      <c r="C156" s="6" t="n">
        <v>9490000</v>
      </c>
      <c r="D156" s="6" t="n">
        <v>9490000</v>
      </c>
      <c r="E156" s="5" t="inlineStr">
        <is>
          <t>DS-140</t>
        </is>
      </c>
      <c r="F156" s="5" t="inlineStr">
        <is>
          <t>USGS DS-140 valor unitario consumo aparente</t>
        </is>
      </c>
      <c r="G156" s="6" t="n"/>
    </row>
    <row r="157">
      <c r="A157" s="9" t="inlineStr">
        <is>
          <t>Oro</t>
        </is>
      </c>
      <c r="B157" s="9" t="n">
        <v>1999</v>
      </c>
      <c r="C157" s="9" t="n">
        <v>9000000</v>
      </c>
      <c r="D157" s="9" t="n">
        <v>8810000</v>
      </c>
      <c r="E157" s="8" t="inlineStr">
        <is>
          <t>DS-140</t>
        </is>
      </c>
      <c r="F157" s="8" t="inlineStr">
        <is>
          <t>USGS DS-140 valor unitario consumo aparente</t>
        </is>
      </c>
      <c r="G157" s="9" t="n"/>
    </row>
    <row r="158">
      <c r="A158" s="6" t="inlineStr">
        <is>
          <t>Oro</t>
        </is>
      </c>
      <c r="B158" s="6" t="n">
        <v>2000</v>
      </c>
      <c r="C158" s="6" t="n">
        <v>9010000</v>
      </c>
      <c r="D158" s="6" t="n">
        <v>8530000</v>
      </c>
      <c r="E158" s="5" t="inlineStr">
        <is>
          <t>DS-140</t>
        </is>
      </c>
      <c r="F158" s="5" t="inlineStr">
        <is>
          <t>USGS DS-140 valor unitario consumo aparente</t>
        </is>
      </c>
      <c r="G158" s="6" t="n"/>
    </row>
    <row r="159">
      <c r="A159" s="9" t="inlineStr">
        <is>
          <t>Oro</t>
        </is>
      </c>
      <c r="B159" s="9" t="n">
        <v>2001</v>
      </c>
      <c r="C159" s="9" t="n">
        <v>8750000</v>
      </c>
      <c r="D159" s="9" t="n">
        <v>8060000</v>
      </c>
      <c r="E159" s="8" t="inlineStr">
        <is>
          <t>DS-140</t>
        </is>
      </c>
      <c r="F159" s="8" t="inlineStr">
        <is>
          <t>USGS DS-140 valor unitario consumo aparente</t>
        </is>
      </c>
      <c r="G159" s="9" t="n"/>
    </row>
    <row r="160">
      <c r="A160" s="6" t="inlineStr">
        <is>
          <t>Oro</t>
        </is>
      </c>
      <c r="B160" s="6" t="n">
        <v>2002</v>
      </c>
      <c r="C160" s="6" t="n">
        <v>10000000</v>
      </c>
      <c r="D160" s="6" t="n">
        <v>9060000</v>
      </c>
      <c r="E160" s="5" t="inlineStr">
        <is>
          <t>DS-140</t>
        </is>
      </c>
      <c r="F160" s="5" t="inlineStr">
        <is>
          <t>USGS DS-140 valor unitario consumo aparente</t>
        </is>
      </c>
      <c r="G160" s="6" t="n"/>
    </row>
    <row r="161">
      <c r="A161" s="9" t="inlineStr">
        <is>
          <t>Oro</t>
        </is>
      </c>
      <c r="B161" s="9" t="n">
        <v>2003</v>
      </c>
      <c r="C161" s="9" t="n">
        <v>11700000</v>
      </c>
      <c r="D161" s="9" t="n">
        <v>10400000</v>
      </c>
      <c r="E161" s="8" t="inlineStr">
        <is>
          <t>DS-140</t>
        </is>
      </c>
      <c r="F161" s="8" t="inlineStr">
        <is>
          <t>USGS DS-140 valor unitario consumo aparente</t>
        </is>
      </c>
      <c r="G161" s="9" t="n"/>
    </row>
    <row r="162">
      <c r="A162" s="6" t="inlineStr">
        <is>
          <t>Oro</t>
        </is>
      </c>
      <c r="B162" s="6" t="n">
        <v>2004</v>
      </c>
      <c r="C162" s="6" t="n">
        <v>13200000</v>
      </c>
      <c r="D162" s="6" t="n">
        <v>11400000</v>
      </c>
      <c r="E162" s="5" t="inlineStr">
        <is>
          <t>DS-140</t>
        </is>
      </c>
      <c r="F162" s="5" t="inlineStr">
        <is>
          <t>USGS DS-140 valor unitario consumo aparente</t>
        </is>
      </c>
      <c r="G162" s="6" t="n"/>
    </row>
    <row r="163">
      <c r="A163" s="9" t="inlineStr">
        <is>
          <t>Oro</t>
        </is>
      </c>
      <c r="B163" s="9" t="n">
        <v>2005</v>
      </c>
      <c r="C163" s="9" t="n">
        <v>14300000</v>
      </c>
      <c r="D163" s="9" t="n">
        <v>11900000</v>
      </c>
      <c r="E163" s="8" t="inlineStr">
        <is>
          <t>DS-140</t>
        </is>
      </c>
      <c r="F163" s="8" t="inlineStr">
        <is>
          <t>USGS DS-140 valor unitario consumo aparente</t>
        </is>
      </c>
      <c r="G163" s="9" t="n"/>
    </row>
    <row r="164">
      <c r="A164" s="6" t="inlineStr">
        <is>
          <t>Oro</t>
        </is>
      </c>
      <c r="B164" s="6" t="n">
        <v>2006</v>
      </c>
      <c r="C164" s="6" t="n">
        <v>19500000</v>
      </c>
      <c r="D164" s="6" t="n">
        <v>15800000</v>
      </c>
      <c r="E164" s="5" t="inlineStr">
        <is>
          <t>DS-140</t>
        </is>
      </c>
      <c r="F164" s="5" t="inlineStr">
        <is>
          <t>USGS DS-140 valor unitario consumo aparente</t>
        </is>
      </c>
      <c r="G164" s="6" t="n"/>
    </row>
    <row r="165">
      <c r="A165" s="9" t="inlineStr">
        <is>
          <t>Oro</t>
        </is>
      </c>
      <c r="B165" s="9" t="n">
        <v>2007</v>
      </c>
      <c r="C165" s="9" t="n">
        <v>22500000</v>
      </c>
      <c r="D165" s="9" t="n">
        <v>17700000</v>
      </c>
      <c r="E165" s="8" t="inlineStr">
        <is>
          <t>DS-140</t>
        </is>
      </c>
      <c r="F165" s="8" t="inlineStr">
        <is>
          <t>USGS DS-140 valor unitario consumo aparente</t>
        </is>
      </c>
      <c r="G165" s="9" t="n"/>
    </row>
    <row r="166">
      <c r="A166" s="6" t="inlineStr">
        <is>
          <t>Oro</t>
        </is>
      </c>
      <c r="B166" s="6" t="n">
        <v>2008</v>
      </c>
      <c r="C166" s="6" t="n">
        <v>28100000</v>
      </c>
      <c r="D166" s="6" t="n">
        <v>21300000</v>
      </c>
      <c r="E166" s="5" t="inlineStr">
        <is>
          <t>DS-140</t>
        </is>
      </c>
      <c r="F166" s="5" t="inlineStr">
        <is>
          <t>USGS DS-140 valor unitario consumo aparente</t>
        </is>
      </c>
      <c r="G166" s="6" t="n"/>
    </row>
    <row r="167">
      <c r="A167" s="9" t="inlineStr">
        <is>
          <t>Oro</t>
        </is>
      </c>
      <c r="B167" s="9" t="n">
        <v>2009</v>
      </c>
      <c r="C167" s="9" t="n">
        <v>31300000</v>
      </c>
      <c r="D167" s="9" t="n">
        <v>23800000</v>
      </c>
      <c r="E167" s="8" t="inlineStr">
        <is>
          <t>DS-140</t>
        </is>
      </c>
      <c r="F167" s="8" t="inlineStr">
        <is>
          <t>USGS DS-140 valor unitario consumo aparente</t>
        </is>
      </c>
      <c r="G167" s="9" t="n"/>
    </row>
    <row r="168">
      <c r="A168" s="6" t="inlineStr">
        <is>
          <t>Oro</t>
        </is>
      </c>
      <c r="B168" s="6" t="n">
        <v>2010</v>
      </c>
      <c r="C168" s="6" t="n">
        <v>39500000</v>
      </c>
      <c r="D168" s="6" t="n">
        <v>29500000</v>
      </c>
      <c r="E168" s="5" t="inlineStr">
        <is>
          <t>DS-140</t>
        </is>
      </c>
      <c r="F168" s="5" t="inlineStr">
        <is>
          <t>USGS DS-140 valor unitario consumo aparente</t>
        </is>
      </c>
      <c r="G168" s="6" t="n"/>
    </row>
    <row r="169">
      <c r="A169" s="9" t="inlineStr">
        <is>
          <t>Oro</t>
        </is>
      </c>
      <c r="B169" s="9" t="n">
        <v>2011</v>
      </c>
      <c r="C169" s="9" t="n">
        <v>50600000</v>
      </c>
      <c r="D169" s="9" t="n">
        <v>36600000</v>
      </c>
      <c r="E169" s="8" t="inlineStr">
        <is>
          <t>DS-140</t>
        </is>
      </c>
      <c r="F169" s="8" t="inlineStr">
        <is>
          <t>USGS DS-140 valor unitario consumo aparente</t>
        </is>
      </c>
      <c r="G169" s="9" t="n"/>
    </row>
    <row r="170">
      <c r="A170" s="6" t="inlineStr">
        <is>
          <t>Oro</t>
        </is>
      </c>
      <c r="B170" s="6" t="n">
        <v>2012</v>
      </c>
      <c r="C170" s="6" t="n">
        <v>53800000</v>
      </c>
      <c r="D170" s="6" t="n">
        <v>38200000</v>
      </c>
      <c r="E170" s="5" t="inlineStr">
        <is>
          <t>DS-140</t>
        </is>
      </c>
      <c r="F170" s="5" t="inlineStr">
        <is>
          <t>USGS DS-140 valor unitario consumo aparente</t>
        </is>
      </c>
      <c r="G170" s="6" t="n"/>
    </row>
    <row r="171">
      <c r="A171" s="9" t="inlineStr">
        <is>
          <t>Oro</t>
        </is>
      </c>
      <c r="B171" s="9" t="n">
        <v>2013</v>
      </c>
      <c r="C171" s="9" t="n">
        <v>45500000</v>
      </c>
      <c r="D171" s="9" t="n">
        <v>31800000</v>
      </c>
      <c r="E171" s="8" t="inlineStr">
        <is>
          <t>DS-140</t>
        </is>
      </c>
      <c r="F171" s="8" t="inlineStr">
        <is>
          <t>USGS DS-140 valor unitario consumo aparente</t>
        </is>
      </c>
      <c r="G171" s="9" t="n"/>
    </row>
    <row r="172">
      <c r="A172" s="6" t="inlineStr">
        <is>
          <t>Oro</t>
        </is>
      </c>
      <c r="B172" s="6" t="n">
        <v>2014</v>
      </c>
      <c r="C172" s="6" t="n">
        <v>40800000</v>
      </c>
      <c r="D172" s="6" t="n">
        <v>28100000</v>
      </c>
      <c r="E172" s="5" t="inlineStr">
        <is>
          <t>DS-140</t>
        </is>
      </c>
      <c r="F172" s="5" t="inlineStr">
        <is>
          <t>USGS DS-140 valor unitario consumo aparente</t>
        </is>
      </c>
      <c r="G172" s="6" t="n"/>
    </row>
    <row r="173">
      <c r="A173" s="9" t="inlineStr">
        <is>
          <t>Oro</t>
        </is>
      </c>
      <c r="B173" s="9" t="n">
        <v>2015</v>
      </c>
      <c r="C173" s="9" t="n">
        <v>37400000</v>
      </c>
      <c r="D173" s="9" t="n">
        <v>25700000</v>
      </c>
      <c r="E173" s="8" t="inlineStr">
        <is>
          <t>DS-140</t>
        </is>
      </c>
      <c r="F173" s="8" t="inlineStr">
        <is>
          <t>USGS DS-140 valor unitario consumo aparente</t>
        </is>
      </c>
      <c r="G173" s="9" t="n"/>
    </row>
    <row r="174">
      <c r="A174" s="6" t="inlineStr">
        <is>
          <t>Oro</t>
        </is>
      </c>
      <c r="B174" s="6" t="n">
        <v>2016</v>
      </c>
      <c r="C174" s="6" t="n">
        <v>40300000</v>
      </c>
      <c r="D174" s="6" t="n">
        <v>27300000</v>
      </c>
      <c r="E174" s="5" t="inlineStr">
        <is>
          <t>DS-140</t>
        </is>
      </c>
      <c r="F174" s="5" t="inlineStr">
        <is>
          <t>USGS DS-140 valor unitario consumo aparente</t>
        </is>
      </c>
      <c r="G174" s="6" t="n"/>
    </row>
    <row r="175">
      <c r="A175" s="9" t="inlineStr">
        <is>
          <t>Oro</t>
        </is>
      </c>
      <c r="B175" s="9" t="n">
        <v>2017</v>
      </c>
      <c r="C175" s="9" t="n">
        <v>40500000</v>
      </c>
      <c r="D175" s="9" t="n">
        <v>27000000</v>
      </c>
      <c r="E175" s="8" t="inlineStr">
        <is>
          <t>DS-140</t>
        </is>
      </c>
      <c r="F175" s="8" t="inlineStr">
        <is>
          <t>USGS DS-140 valor unitario consumo aparente</t>
        </is>
      </c>
      <c r="G175" s="9" t="n"/>
    </row>
    <row r="176">
      <c r="A176" s="6" t="inlineStr">
        <is>
          <t>Oro</t>
        </is>
      </c>
      <c r="B176" s="6" t="n">
        <v>2018</v>
      </c>
      <c r="C176" s="6" t="n">
        <v>40900000</v>
      </c>
      <c r="D176" s="6" t="n">
        <v>26500000</v>
      </c>
      <c r="E176" s="5" t="inlineStr">
        <is>
          <t>DS-140</t>
        </is>
      </c>
      <c r="F176" s="5" t="inlineStr">
        <is>
          <t>USGS DS-140 valor unitario consumo aparente</t>
        </is>
      </c>
      <c r="G176" s="6" t="n"/>
    </row>
    <row r="177">
      <c r="A177" s="9" t="inlineStr">
        <is>
          <t>Oro</t>
        </is>
      </c>
      <c r="B177" s="9" t="n">
        <v>2019</v>
      </c>
      <c r="C177" s="9" t="n">
        <v>44900000</v>
      </c>
      <c r="D177" s="9" t="n">
        <v>28600000</v>
      </c>
      <c r="E177" s="8" t="inlineStr">
        <is>
          <t>DS-140</t>
        </is>
      </c>
      <c r="F177" s="8" t="inlineStr">
        <is>
          <t>USGS DS-140 valor unitario consumo aparente</t>
        </is>
      </c>
      <c r="G177" s="9" t="n"/>
    </row>
    <row r="178">
      <c r="A178" s="6" t="inlineStr">
        <is>
          <t>Oro</t>
        </is>
      </c>
      <c r="B178" s="6" t="n">
        <v>2020</v>
      </c>
      <c r="C178" s="6" t="n">
        <v>57000000</v>
      </c>
      <c r="D178" s="6" t="n">
        <v>35900000</v>
      </c>
      <c r="E178" s="5" t="inlineStr">
        <is>
          <t>DS-140</t>
        </is>
      </c>
      <c r="F178" s="5" t="inlineStr">
        <is>
          <t>USGS DS-140 valor unitario consumo aparente</t>
        </is>
      </c>
      <c r="G178" s="6" t="n"/>
    </row>
    <row r="179">
      <c r="A179" s="9" t="inlineStr">
        <is>
          <t>Oro</t>
        </is>
      </c>
      <c r="B179" s="9" t="n">
        <v>2021</v>
      </c>
      <c r="C179" s="9" t="n">
        <v>57900000</v>
      </c>
      <c r="D179" s="9" t="n">
        <v>34800000</v>
      </c>
      <c r="E179" s="8" t="inlineStr">
        <is>
          <t>DS-140</t>
        </is>
      </c>
      <c r="F179" s="8" t="inlineStr">
        <is>
          <t>USGS DS-140 valor unitario consumo aparente</t>
        </is>
      </c>
      <c r="G179" s="9" t="n"/>
    </row>
    <row r="180">
      <c r="A180" s="6" t="inlineStr">
        <is>
          <t>Oro</t>
        </is>
      </c>
      <c r="B180" s="6" t="n">
        <v>2022</v>
      </c>
      <c r="C180" s="6" t="n">
        <v>57900000</v>
      </c>
      <c r="D180" s="6" t="n">
        <v>32300000</v>
      </c>
      <c r="E180" s="5" t="inlineStr">
        <is>
          <t>DS-140</t>
        </is>
      </c>
      <c r="F180" s="5" t="inlineStr">
        <is>
          <t>USGS DS-140 valor unitario consumo aparente</t>
        </is>
      </c>
      <c r="G180" s="6" t="n"/>
    </row>
    <row r="181">
      <c r="A181" s="9" t="inlineStr">
        <is>
          <t>Plata</t>
        </is>
      </c>
      <c r="B181" s="9" t="n">
        <v>1990</v>
      </c>
      <c r="C181" s="9" t="n">
        <v>155000</v>
      </c>
      <c r="D181" s="9" t="n">
        <v>193300</v>
      </c>
      <c r="E181" s="8" t="inlineStr">
        <is>
          <t>DS-140</t>
        </is>
      </c>
      <c r="F181" s="8" t="inlineStr">
        <is>
          <t>USGS DS-140 valor unitario consumo aparente</t>
        </is>
      </c>
      <c r="G181" s="9" t="n"/>
    </row>
    <row r="182">
      <c r="A182" s="6" t="inlineStr">
        <is>
          <t>Plata</t>
        </is>
      </c>
      <c r="B182" s="6" t="n">
        <v>1991</v>
      </c>
      <c r="C182" s="6" t="n">
        <v>130000</v>
      </c>
      <c r="D182" s="6" t="n">
        <v>155400</v>
      </c>
      <c r="E182" s="5" t="inlineStr">
        <is>
          <t>DS-140</t>
        </is>
      </c>
      <c r="F182" s="5" t="inlineStr">
        <is>
          <t>USGS DS-140 valor unitario consumo aparente</t>
        </is>
      </c>
      <c r="G182" s="6" t="n"/>
    </row>
    <row r="183">
      <c r="A183" s="9" t="inlineStr">
        <is>
          <t>Plata</t>
        </is>
      </c>
      <c r="B183" s="9" t="n">
        <v>1992</v>
      </c>
      <c r="C183" s="9" t="n">
        <v>127000</v>
      </c>
      <c r="D183" s="9" t="n">
        <v>147200</v>
      </c>
      <c r="E183" s="8" t="inlineStr">
        <is>
          <t>DS-140</t>
        </is>
      </c>
      <c r="F183" s="8" t="inlineStr">
        <is>
          <t>USGS DS-140 valor unitario consumo aparente</t>
        </is>
      </c>
      <c r="G183" s="9" t="n"/>
    </row>
    <row r="184">
      <c r="A184" s="6" t="inlineStr">
        <is>
          <t>Plata</t>
        </is>
      </c>
      <c r="B184" s="6" t="n">
        <v>1993</v>
      </c>
      <c r="C184" s="6" t="n">
        <v>138000</v>
      </c>
      <c r="D184" s="6" t="n">
        <v>156000</v>
      </c>
      <c r="E184" s="5" t="inlineStr">
        <is>
          <t>DS-140</t>
        </is>
      </c>
      <c r="F184" s="5" t="inlineStr">
        <is>
          <t>USGS DS-140 valor unitario consumo aparente</t>
        </is>
      </c>
      <c r="G184" s="6" t="n"/>
    </row>
    <row r="185">
      <c r="A185" s="9" t="inlineStr">
        <is>
          <t>Plata</t>
        </is>
      </c>
      <c r="B185" s="9" t="n">
        <v>1994</v>
      </c>
      <c r="C185" s="9" t="n">
        <v>170000</v>
      </c>
      <c r="D185" s="9" t="n">
        <v>187000</v>
      </c>
      <c r="E185" s="8" t="inlineStr">
        <is>
          <t>DS-140</t>
        </is>
      </c>
      <c r="F185" s="8" t="inlineStr">
        <is>
          <t>USGS DS-140 valor unitario consumo aparente</t>
        </is>
      </c>
      <c r="G185" s="9" t="n"/>
    </row>
    <row r="186">
      <c r="A186" s="6" t="inlineStr">
        <is>
          <t>Plata</t>
        </is>
      </c>
      <c r="B186" s="6" t="n">
        <v>1995</v>
      </c>
      <c r="C186" s="6" t="n">
        <v>166000</v>
      </c>
      <c r="D186" s="6" t="n">
        <v>177100</v>
      </c>
      <c r="E186" s="5" t="inlineStr">
        <is>
          <t>DS-140</t>
        </is>
      </c>
      <c r="F186" s="5" t="inlineStr">
        <is>
          <t>USGS DS-140 valor unitario consumo aparente</t>
        </is>
      </c>
      <c r="G186" s="6" t="n"/>
    </row>
    <row r="187">
      <c r="A187" s="9" t="inlineStr">
        <is>
          <t>Plata</t>
        </is>
      </c>
      <c r="B187" s="9" t="n">
        <v>1996</v>
      </c>
      <c r="C187" s="9" t="n">
        <v>167000</v>
      </c>
      <c r="D187" s="9" t="n">
        <v>173400</v>
      </c>
      <c r="E187" s="8" t="inlineStr">
        <is>
          <t>DS-140</t>
        </is>
      </c>
      <c r="F187" s="8" t="inlineStr">
        <is>
          <t>USGS DS-140 valor unitario consumo aparente</t>
        </is>
      </c>
      <c r="G187" s="9" t="n"/>
    </row>
    <row r="188">
      <c r="A188" s="6" t="inlineStr">
        <is>
          <t>Plata</t>
        </is>
      </c>
      <c r="B188" s="6" t="n">
        <v>1997</v>
      </c>
      <c r="C188" s="6" t="n">
        <v>157000</v>
      </c>
      <c r="D188" s="6" t="n">
        <v>159700</v>
      </c>
      <c r="E188" s="5" t="inlineStr">
        <is>
          <t>DS-140</t>
        </is>
      </c>
      <c r="F188" s="5" t="inlineStr">
        <is>
          <t>USGS DS-140 valor unitario consumo aparente</t>
        </is>
      </c>
      <c r="G188" s="6" t="n"/>
    </row>
    <row r="189">
      <c r="A189" s="9" t="inlineStr">
        <is>
          <t>Plata</t>
        </is>
      </c>
      <c r="B189" s="9" t="n">
        <v>1998</v>
      </c>
      <c r="C189" s="9" t="n">
        <v>178000</v>
      </c>
      <c r="D189" s="9" t="n">
        <v>178000</v>
      </c>
      <c r="E189" s="8" t="inlineStr">
        <is>
          <t>DS-140</t>
        </is>
      </c>
      <c r="F189" s="8" t="inlineStr">
        <is>
          <t>USGS DS-140 valor unitario consumo aparente</t>
        </is>
      </c>
      <c r="G189" s="9" t="n"/>
    </row>
    <row r="190">
      <c r="A190" s="6" t="inlineStr">
        <is>
          <t>Plata</t>
        </is>
      </c>
      <c r="B190" s="6" t="n">
        <v>1999</v>
      </c>
      <c r="C190" s="6" t="n">
        <v>169000</v>
      </c>
      <c r="D190" s="6" t="n">
        <v>165000</v>
      </c>
      <c r="E190" s="5" t="inlineStr">
        <is>
          <t>DS-140</t>
        </is>
      </c>
      <c r="F190" s="5" t="inlineStr">
        <is>
          <t>USGS DS-140 valor unitario consumo aparente</t>
        </is>
      </c>
      <c r="G190" s="6" t="n"/>
    </row>
    <row r="191">
      <c r="A191" s="9" t="inlineStr">
        <is>
          <t>Plata</t>
        </is>
      </c>
      <c r="B191" s="9" t="n">
        <v>2000</v>
      </c>
      <c r="C191" s="9" t="n">
        <v>161000</v>
      </c>
      <c r="D191" s="9" t="n">
        <v>152000</v>
      </c>
      <c r="E191" s="8" t="inlineStr">
        <is>
          <t>DS-140</t>
        </is>
      </c>
      <c r="F191" s="8" t="inlineStr">
        <is>
          <t>USGS DS-140 valor unitario consumo aparente</t>
        </is>
      </c>
      <c r="G191" s="9" t="n"/>
    </row>
    <row r="192">
      <c r="A192" s="6" t="inlineStr">
        <is>
          <t>Plata</t>
        </is>
      </c>
      <c r="B192" s="6" t="n">
        <v>2001</v>
      </c>
      <c r="C192" s="6" t="n">
        <v>141000</v>
      </c>
      <c r="D192" s="6" t="n">
        <v>130000</v>
      </c>
      <c r="E192" s="5" t="inlineStr">
        <is>
          <t>DS-140</t>
        </is>
      </c>
      <c r="F192" s="5" t="inlineStr">
        <is>
          <t>USGS DS-140 valor unitario consumo aparente</t>
        </is>
      </c>
      <c r="G192" s="6" t="n"/>
    </row>
    <row r="193">
      <c r="A193" s="9" t="inlineStr">
        <is>
          <t>Plata</t>
        </is>
      </c>
      <c r="B193" s="9" t="n">
        <v>2002</v>
      </c>
      <c r="C193" s="9" t="n">
        <v>149000</v>
      </c>
      <c r="D193" s="9" t="n">
        <v>135000</v>
      </c>
      <c r="E193" s="8" t="inlineStr">
        <is>
          <t>DS-140</t>
        </is>
      </c>
      <c r="F193" s="8" t="inlineStr">
        <is>
          <t>USGS DS-140 valor unitario consumo aparente</t>
        </is>
      </c>
      <c r="G193" s="9" t="n"/>
    </row>
    <row r="194">
      <c r="A194" s="6" t="inlineStr">
        <is>
          <t>Plata</t>
        </is>
      </c>
      <c r="B194" s="6" t="n">
        <v>2003</v>
      </c>
      <c r="C194" s="6" t="n">
        <v>158000</v>
      </c>
      <c r="D194" s="6" t="n">
        <v>140000</v>
      </c>
      <c r="E194" s="5" t="inlineStr">
        <is>
          <t>DS-140</t>
        </is>
      </c>
      <c r="F194" s="5" t="inlineStr">
        <is>
          <t>USGS DS-140 valor unitario consumo aparente</t>
        </is>
      </c>
      <c r="G194" s="6" t="n"/>
    </row>
    <row r="195">
      <c r="A195" s="9" t="inlineStr">
        <is>
          <t>Plata</t>
        </is>
      </c>
      <c r="B195" s="9" t="n">
        <v>2004</v>
      </c>
      <c r="C195" s="9" t="n">
        <v>215000</v>
      </c>
      <c r="D195" s="9" t="n">
        <v>186000</v>
      </c>
      <c r="E195" s="8" t="inlineStr">
        <is>
          <t>DS-140</t>
        </is>
      </c>
      <c r="F195" s="8" t="inlineStr">
        <is>
          <t>USGS DS-140 valor unitario consumo aparente</t>
        </is>
      </c>
      <c r="G195" s="9" t="n"/>
    </row>
    <row r="196">
      <c r="A196" s="6" t="inlineStr">
        <is>
          <t>Plata</t>
        </is>
      </c>
      <c r="B196" s="6" t="n">
        <v>2005</v>
      </c>
      <c r="C196" s="6" t="n">
        <v>236000</v>
      </c>
      <c r="D196" s="6" t="n">
        <v>197000</v>
      </c>
      <c r="E196" s="5" t="inlineStr">
        <is>
          <t>DS-140</t>
        </is>
      </c>
      <c r="F196" s="5" t="inlineStr">
        <is>
          <t>USGS DS-140 valor unitario consumo aparente</t>
        </is>
      </c>
      <c r="G196" s="6" t="n"/>
    </row>
    <row r="197">
      <c r="A197" s="9" t="inlineStr">
        <is>
          <t>Plata</t>
        </is>
      </c>
      <c r="B197" s="9" t="n">
        <v>2006</v>
      </c>
      <c r="C197" s="9" t="n">
        <v>373000</v>
      </c>
      <c r="D197" s="9" t="n">
        <v>302000</v>
      </c>
      <c r="E197" s="8" t="inlineStr">
        <is>
          <t>DS-140</t>
        </is>
      </c>
      <c r="F197" s="8" t="inlineStr">
        <is>
          <t>USGS DS-140 valor unitario consumo aparente</t>
        </is>
      </c>
      <c r="G197" s="9" t="n"/>
    </row>
    <row r="198">
      <c r="A198" s="6" t="inlineStr">
        <is>
          <t>Plata</t>
        </is>
      </c>
      <c r="B198" s="6" t="n">
        <v>2007</v>
      </c>
      <c r="C198" s="6" t="n">
        <v>431000</v>
      </c>
      <c r="D198" s="6" t="n">
        <v>339000</v>
      </c>
      <c r="E198" s="5" t="inlineStr">
        <is>
          <t>DS-140</t>
        </is>
      </c>
      <c r="F198" s="5" t="inlineStr">
        <is>
          <t>USGS DS-140 valor unitario consumo aparente</t>
        </is>
      </c>
      <c r="G198" s="6" t="n"/>
    </row>
    <row r="199">
      <c r="A199" s="9" t="inlineStr">
        <is>
          <t>Plata</t>
        </is>
      </c>
      <c r="B199" s="9" t="n">
        <v>2008</v>
      </c>
      <c r="C199" s="9" t="n">
        <v>482000</v>
      </c>
      <c r="D199" s="9" t="n">
        <v>365000</v>
      </c>
      <c r="E199" s="8" t="inlineStr">
        <is>
          <t>DS-140</t>
        </is>
      </c>
      <c r="F199" s="8" t="inlineStr">
        <is>
          <t>USGS DS-140 valor unitario consumo aparente</t>
        </is>
      </c>
      <c r="G199" s="9" t="n"/>
    </row>
    <row r="200">
      <c r="A200" s="6" t="inlineStr">
        <is>
          <t>Plata</t>
        </is>
      </c>
      <c r="B200" s="6" t="n">
        <v>2009</v>
      </c>
      <c r="C200" s="6" t="n">
        <v>472000</v>
      </c>
      <c r="D200" s="6" t="n">
        <v>359000</v>
      </c>
      <c r="E200" s="5" t="inlineStr">
        <is>
          <t>DS-140</t>
        </is>
      </c>
      <c r="F200" s="5" t="inlineStr">
        <is>
          <t>USGS DS-140 valor unitario consumo aparente</t>
        </is>
      </c>
      <c r="G200" s="6" t="n"/>
    </row>
    <row r="201">
      <c r="A201" s="9" t="inlineStr">
        <is>
          <t>Plata</t>
        </is>
      </c>
      <c r="B201" s="9" t="n">
        <v>2010</v>
      </c>
      <c r="C201" s="9" t="n">
        <v>644000</v>
      </c>
      <c r="D201" s="9" t="n">
        <v>481000</v>
      </c>
      <c r="E201" s="8" t="inlineStr">
        <is>
          <t>DS-140</t>
        </is>
      </c>
      <c r="F201" s="8" t="inlineStr">
        <is>
          <t>USGS DS-140 valor unitario consumo aparente</t>
        </is>
      </c>
      <c r="G201" s="9" t="n"/>
    </row>
    <row r="202">
      <c r="A202" s="6" t="inlineStr">
        <is>
          <t>Plata</t>
        </is>
      </c>
      <c r="B202" s="6" t="n">
        <v>2011</v>
      </c>
      <c r="C202" s="6" t="n">
        <v>1130000</v>
      </c>
      <c r="D202" s="6" t="n">
        <v>819000</v>
      </c>
      <c r="E202" s="5" t="inlineStr">
        <is>
          <t>DS-140</t>
        </is>
      </c>
      <c r="F202" s="5" t="inlineStr">
        <is>
          <t>USGS DS-140 valor unitario consumo aparente</t>
        </is>
      </c>
      <c r="G202" s="6" t="n"/>
    </row>
    <row r="203">
      <c r="A203" s="9" t="inlineStr">
        <is>
          <t>Plata</t>
        </is>
      </c>
      <c r="B203" s="9" t="n">
        <v>2012</v>
      </c>
      <c r="C203" s="9" t="n">
        <v>1000000</v>
      </c>
      <c r="D203" s="9" t="n">
        <v>710000</v>
      </c>
      <c r="E203" s="8" t="inlineStr">
        <is>
          <t>DS-140</t>
        </is>
      </c>
      <c r="F203" s="8" t="inlineStr">
        <is>
          <t>USGS DS-140 valor unitario consumo aparente</t>
        </is>
      </c>
      <c r="G203" s="9" t="n"/>
    </row>
    <row r="204">
      <c r="A204" s="6" t="inlineStr">
        <is>
          <t>Plata</t>
        </is>
      </c>
      <c r="B204" s="6" t="n">
        <v>2013</v>
      </c>
      <c r="C204" s="6" t="n">
        <v>767000</v>
      </c>
      <c r="D204" s="6" t="n">
        <v>537000</v>
      </c>
      <c r="E204" s="5" t="inlineStr">
        <is>
          <t>DS-140</t>
        </is>
      </c>
      <c r="F204" s="5" t="inlineStr">
        <is>
          <t>USGS DS-140 valor unitario consumo aparente</t>
        </is>
      </c>
      <c r="G204" s="6" t="n"/>
    </row>
    <row r="205">
      <c r="A205" s="9" t="inlineStr">
        <is>
          <t>Plata</t>
        </is>
      </c>
      <c r="B205" s="9" t="n">
        <v>2014</v>
      </c>
      <c r="C205" s="9" t="n">
        <v>614000</v>
      </c>
      <c r="D205" s="9" t="n">
        <v>423000</v>
      </c>
      <c r="E205" s="8" t="inlineStr">
        <is>
          <t>DS-140</t>
        </is>
      </c>
      <c r="F205" s="8" t="inlineStr">
        <is>
          <t>USGS DS-140 valor unitario consumo aparente</t>
        </is>
      </c>
      <c r="G205" s="9" t="n"/>
    </row>
    <row r="206">
      <c r="A206" s="6" t="inlineStr">
        <is>
          <t>Plata</t>
        </is>
      </c>
      <c r="B206" s="6" t="n">
        <v>2015</v>
      </c>
      <c r="C206" s="6" t="n">
        <v>505000</v>
      </c>
      <c r="D206" s="6" t="n">
        <v>348000</v>
      </c>
      <c r="E206" s="5" t="inlineStr">
        <is>
          <t>DS-140</t>
        </is>
      </c>
      <c r="F206" s="5" t="inlineStr">
        <is>
          <t>USGS DS-140 valor unitario consumo aparente</t>
        </is>
      </c>
      <c r="G206" s="6" t="n"/>
    </row>
    <row r="207">
      <c r="A207" s="9" t="inlineStr">
        <is>
          <t>Plata</t>
        </is>
      </c>
      <c r="B207" s="9" t="n">
        <v>2016</v>
      </c>
      <c r="C207" s="9" t="n">
        <v>551000</v>
      </c>
      <c r="D207" s="9" t="n">
        <v>374000</v>
      </c>
      <c r="E207" s="8" t="inlineStr">
        <is>
          <t>DS-140</t>
        </is>
      </c>
      <c r="F207" s="8" t="inlineStr">
        <is>
          <t>USGS DS-140 valor unitario consumo aparente</t>
        </is>
      </c>
      <c r="G207" s="9" t="n"/>
    </row>
    <row r="208">
      <c r="A208" s="6" t="inlineStr">
        <is>
          <t>Plata</t>
        </is>
      </c>
      <c r="B208" s="6" t="n">
        <v>2017</v>
      </c>
      <c r="C208" s="6" t="n">
        <v>549000</v>
      </c>
      <c r="D208" s="6" t="n">
        <v>365000</v>
      </c>
      <c r="E208" s="5" t="inlineStr">
        <is>
          <t>DS-140</t>
        </is>
      </c>
      <c r="F208" s="5" t="inlineStr">
        <is>
          <t>USGS DS-140 valor unitario consumo aparente</t>
        </is>
      </c>
      <c r="G208" s="6" t="n"/>
    </row>
    <row r="209">
      <c r="A209" s="9" t="inlineStr">
        <is>
          <t>Plata</t>
        </is>
      </c>
      <c r="B209" s="9" t="n">
        <v>2018</v>
      </c>
      <c r="C209" s="9" t="n">
        <v>506000</v>
      </c>
      <c r="D209" s="9" t="n">
        <v>328000</v>
      </c>
      <c r="E209" s="8" t="inlineStr">
        <is>
          <t>DS-140</t>
        </is>
      </c>
      <c r="F209" s="8" t="inlineStr">
        <is>
          <t>USGS DS-140 valor unitario consumo aparente</t>
        </is>
      </c>
      <c r="G209" s="9" t="n"/>
    </row>
    <row r="210">
      <c r="A210" s="6" t="inlineStr">
        <is>
          <t>Plata</t>
        </is>
      </c>
      <c r="B210" s="6" t="n">
        <v>2019</v>
      </c>
      <c r="C210" s="6" t="n">
        <v>512000</v>
      </c>
      <c r="D210" s="6" t="n">
        <v>326000</v>
      </c>
      <c r="E210" s="5" t="inlineStr">
        <is>
          <t>DS-140</t>
        </is>
      </c>
      <c r="F210" s="5" t="inlineStr">
        <is>
          <t>USGS DS-140 valor unitario consumo aparente</t>
        </is>
      </c>
      <c r="G210" s="6" t="n"/>
    </row>
    <row r="211">
      <c r="A211" s="9" t="inlineStr">
        <is>
          <t>Plata</t>
        </is>
      </c>
      <c r="B211" s="9" t="n">
        <v>2020</v>
      </c>
      <c r="C211" s="9" t="n">
        <v>661000</v>
      </c>
      <c r="D211" s="9" t="n">
        <v>416000</v>
      </c>
      <c r="E211" s="8" t="inlineStr">
        <is>
          <t>DS-140</t>
        </is>
      </c>
      <c r="F211" s="8" t="inlineStr">
        <is>
          <t>USGS DS-140 valor unitario consumo aparente</t>
        </is>
      </c>
      <c r="G211" s="9" t="n"/>
    </row>
    <row r="212">
      <c r="A212" s="6" t="inlineStr">
        <is>
          <t>Plata</t>
        </is>
      </c>
      <c r="B212" s="6" t="n">
        <v>2021</v>
      </c>
      <c r="C212" s="6" t="n">
        <v>811000</v>
      </c>
      <c r="D212" s="6" t="n">
        <v>488000</v>
      </c>
      <c r="E212" s="5" t="inlineStr">
        <is>
          <t>DS-140</t>
        </is>
      </c>
      <c r="F212" s="5" t="inlineStr">
        <is>
          <t>USGS DS-140 valor unitario consumo aparente</t>
        </is>
      </c>
      <c r="G212" s="6" t="n"/>
    </row>
    <row r="213">
      <c r="A213" s="9" t="inlineStr">
        <is>
          <t>Plomo</t>
        </is>
      </c>
      <c r="B213" s="9" t="n">
        <v>1990</v>
      </c>
      <c r="C213" s="9" t="n">
        <v>1010</v>
      </c>
      <c r="D213" s="9" t="n">
        <v>1260</v>
      </c>
      <c r="E213" s="8" t="inlineStr">
        <is>
          <t>DS-140</t>
        </is>
      </c>
      <c r="F213" s="8" t="inlineStr">
        <is>
          <t>USGS DS-140 valor unitario consumo aparente</t>
        </is>
      </c>
      <c r="G213" s="9" t="n"/>
    </row>
    <row r="214">
      <c r="A214" s="6" t="inlineStr">
        <is>
          <t>Plomo</t>
        </is>
      </c>
      <c r="B214" s="6" t="n">
        <v>1991</v>
      </c>
      <c r="C214" s="6" t="n">
        <v>739</v>
      </c>
      <c r="D214" s="6" t="n">
        <v>884</v>
      </c>
      <c r="E214" s="5" t="inlineStr">
        <is>
          <t>DS-140</t>
        </is>
      </c>
      <c r="F214" s="5" t="inlineStr">
        <is>
          <t>USGS DS-140 valor unitario consumo aparente</t>
        </is>
      </c>
      <c r="G214" s="6" t="n"/>
    </row>
    <row r="215">
      <c r="A215" s="9" t="inlineStr">
        <is>
          <t>Plomo</t>
        </is>
      </c>
      <c r="B215" s="9" t="n">
        <v>1992</v>
      </c>
      <c r="C215" s="9" t="n">
        <v>774</v>
      </c>
      <c r="D215" s="9" t="n">
        <v>899</v>
      </c>
      <c r="E215" s="8" t="inlineStr">
        <is>
          <t>DS-140</t>
        </is>
      </c>
      <c r="F215" s="8" t="inlineStr">
        <is>
          <t>USGS DS-140 valor unitario consumo aparente</t>
        </is>
      </c>
      <c r="G215" s="9" t="n"/>
    </row>
    <row r="216">
      <c r="A216" s="6" t="inlineStr">
        <is>
          <t>Plomo</t>
        </is>
      </c>
      <c r="B216" s="6" t="n">
        <v>1993</v>
      </c>
      <c r="C216" s="6" t="n">
        <v>699</v>
      </c>
      <c r="D216" s="6" t="n">
        <v>788</v>
      </c>
      <c r="E216" s="5" t="inlineStr">
        <is>
          <t>DS-140</t>
        </is>
      </c>
      <c r="F216" s="5" t="inlineStr">
        <is>
          <t>USGS DS-140 valor unitario consumo aparente</t>
        </is>
      </c>
      <c r="G216" s="6" t="n"/>
    </row>
    <row r="217">
      <c r="A217" s="9" t="inlineStr">
        <is>
          <t>Plomo</t>
        </is>
      </c>
      <c r="B217" s="9" t="n">
        <v>1994</v>
      </c>
      <c r="C217" s="9" t="n">
        <v>820</v>
      </c>
      <c r="D217" s="9" t="n">
        <v>902</v>
      </c>
      <c r="E217" s="8" t="inlineStr">
        <is>
          <t>DS-140</t>
        </is>
      </c>
      <c r="F217" s="8" t="inlineStr">
        <is>
          <t>USGS DS-140 valor unitario consumo aparente</t>
        </is>
      </c>
      <c r="G217" s="9" t="n"/>
    </row>
    <row r="218">
      <c r="A218" s="6" t="inlineStr">
        <is>
          <t>Plomo</t>
        </is>
      </c>
      <c r="B218" s="6" t="n">
        <v>1995</v>
      </c>
      <c r="C218" s="6" t="n">
        <v>933</v>
      </c>
      <c r="D218" s="6" t="n">
        <v>998</v>
      </c>
      <c r="E218" s="5" t="inlineStr">
        <is>
          <t>DS-140</t>
        </is>
      </c>
      <c r="F218" s="5" t="inlineStr">
        <is>
          <t>USGS DS-140 valor unitario consumo aparente</t>
        </is>
      </c>
      <c r="G218" s="6" t="n"/>
    </row>
    <row r="219">
      <c r="A219" s="9" t="inlineStr">
        <is>
          <t>Plomo</t>
        </is>
      </c>
      <c r="B219" s="9" t="n">
        <v>1996</v>
      </c>
      <c r="C219" s="9" t="n">
        <v>1080</v>
      </c>
      <c r="D219" s="9" t="n">
        <v>1120</v>
      </c>
      <c r="E219" s="8" t="inlineStr">
        <is>
          <t>DS-140</t>
        </is>
      </c>
      <c r="F219" s="8" t="inlineStr">
        <is>
          <t>USGS DS-140 valor unitario consumo aparente</t>
        </is>
      </c>
      <c r="G219" s="9" t="n"/>
    </row>
    <row r="220">
      <c r="A220" s="6" t="inlineStr">
        <is>
          <t>Plomo</t>
        </is>
      </c>
      <c r="B220" s="6" t="n">
        <v>1997</v>
      </c>
      <c r="C220" s="6" t="n">
        <v>1030</v>
      </c>
      <c r="D220" s="6" t="n">
        <v>1050</v>
      </c>
      <c r="E220" s="5" t="inlineStr">
        <is>
          <t>DS-140</t>
        </is>
      </c>
      <c r="F220" s="5" t="inlineStr">
        <is>
          <t>USGS DS-140 valor unitario consumo aparente</t>
        </is>
      </c>
      <c r="G220" s="6" t="n"/>
    </row>
    <row r="221">
      <c r="A221" s="9" t="inlineStr">
        <is>
          <t>Plomo</t>
        </is>
      </c>
      <c r="B221" s="9" t="n">
        <v>1998</v>
      </c>
      <c r="C221" s="9" t="n">
        <v>999</v>
      </c>
      <c r="D221" s="9" t="n">
        <v>999</v>
      </c>
      <c r="E221" s="8" t="inlineStr">
        <is>
          <t>DS-140</t>
        </is>
      </c>
      <c r="F221" s="8" t="inlineStr">
        <is>
          <t>USGS DS-140 valor unitario consumo aparente</t>
        </is>
      </c>
      <c r="G221" s="9" t="n"/>
    </row>
    <row r="222">
      <c r="A222" s="6" t="inlineStr">
        <is>
          <t>Plomo</t>
        </is>
      </c>
      <c r="B222" s="6" t="n">
        <v>1999</v>
      </c>
      <c r="C222" s="6" t="n">
        <v>963</v>
      </c>
      <c r="D222" s="6" t="n">
        <v>942</v>
      </c>
      <c r="E222" s="5" t="inlineStr">
        <is>
          <t>DS-140</t>
        </is>
      </c>
      <c r="F222" s="5" t="inlineStr">
        <is>
          <t>USGS DS-140 valor unitario consumo aparente</t>
        </is>
      </c>
      <c r="G222" s="6" t="n"/>
    </row>
    <row r="223">
      <c r="A223" s="9" t="inlineStr">
        <is>
          <t>Plomo</t>
        </is>
      </c>
      <c r="B223" s="9" t="n">
        <v>2000</v>
      </c>
      <c r="C223" s="9" t="n">
        <v>961</v>
      </c>
      <c r="D223" s="9" t="n">
        <v>910</v>
      </c>
      <c r="E223" s="8" t="inlineStr">
        <is>
          <t>DS-140</t>
        </is>
      </c>
      <c r="F223" s="8" t="inlineStr">
        <is>
          <t>USGS DS-140 valor unitario consumo aparente</t>
        </is>
      </c>
      <c r="G223" s="9" t="n"/>
    </row>
    <row r="224">
      <c r="A224" s="6" t="inlineStr">
        <is>
          <t>Plomo</t>
        </is>
      </c>
      <c r="B224" s="6" t="n">
        <v>2001</v>
      </c>
      <c r="C224" s="6" t="n">
        <v>962</v>
      </c>
      <c r="D224" s="6" t="n">
        <v>886</v>
      </c>
      <c r="E224" s="5" t="inlineStr">
        <is>
          <t>DS-140</t>
        </is>
      </c>
      <c r="F224" s="5" t="inlineStr">
        <is>
          <t>USGS DS-140 valor unitario consumo aparente</t>
        </is>
      </c>
      <c r="G224" s="6" t="n"/>
    </row>
    <row r="225">
      <c r="A225" s="9" t="inlineStr">
        <is>
          <t>Plomo</t>
        </is>
      </c>
      <c r="B225" s="9" t="n">
        <v>2002</v>
      </c>
      <c r="C225" s="9" t="n">
        <v>961</v>
      </c>
      <c r="D225" s="9" t="n">
        <v>871</v>
      </c>
      <c r="E225" s="8" t="inlineStr">
        <is>
          <t>DS-140</t>
        </is>
      </c>
      <c r="F225" s="8" t="inlineStr">
        <is>
          <t>USGS DS-140 valor unitario consumo aparente</t>
        </is>
      </c>
      <c r="G225" s="9" t="n"/>
    </row>
    <row r="226">
      <c r="A226" s="6" t="inlineStr">
        <is>
          <t>Plomo</t>
        </is>
      </c>
      <c r="B226" s="6" t="n">
        <v>2003</v>
      </c>
      <c r="C226" s="6" t="n">
        <v>965</v>
      </c>
      <c r="D226" s="6" t="n">
        <v>855</v>
      </c>
      <c r="E226" s="5" t="inlineStr">
        <is>
          <t>DS-140</t>
        </is>
      </c>
      <c r="F226" s="5" t="inlineStr">
        <is>
          <t>USGS DS-140 valor unitario consumo aparente</t>
        </is>
      </c>
      <c r="G226" s="6" t="n"/>
    </row>
    <row r="227">
      <c r="A227" s="9" t="inlineStr">
        <is>
          <t>Plomo</t>
        </is>
      </c>
      <c r="B227" s="9" t="n">
        <v>2004</v>
      </c>
      <c r="C227" s="9" t="n">
        <v>1220</v>
      </c>
      <c r="D227" s="9" t="n">
        <v>1050</v>
      </c>
      <c r="E227" s="8" t="inlineStr">
        <is>
          <t>DS-140</t>
        </is>
      </c>
      <c r="F227" s="8" t="inlineStr">
        <is>
          <t>USGS DS-140 valor unitario consumo aparente</t>
        </is>
      </c>
      <c r="G227" s="9" t="n"/>
    </row>
    <row r="228">
      <c r="A228" s="6" t="inlineStr">
        <is>
          <t>Plomo</t>
        </is>
      </c>
      <c r="B228" s="6" t="n">
        <v>2005</v>
      </c>
      <c r="C228" s="6" t="n">
        <v>1350</v>
      </c>
      <c r="D228" s="6" t="n">
        <v>1130</v>
      </c>
      <c r="E228" s="5" t="inlineStr">
        <is>
          <t>DS-140</t>
        </is>
      </c>
      <c r="F228" s="5" t="inlineStr">
        <is>
          <t>USGS DS-140 valor unitario consumo aparente</t>
        </is>
      </c>
      <c r="G228" s="6" t="n"/>
    </row>
    <row r="229">
      <c r="A229" s="9" t="inlineStr">
        <is>
          <t>Plomo</t>
        </is>
      </c>
      <c r="B229" s="9" t="n">
        <v>2006</v>
      </c>
      <c r="C229" s="9" t="n">
        <v>1710</v>
      </c>
      <c r="D229" s="9" t="n">
        <v>1380</v>
      </c>
      <c r="E229" s="8" t="inlineStr">
        <is>
          <t>DS-140</t>
        </is>
      </c>
      <c r="F229" s="8" t="inlineStr">
        <is>
          <t>USGS DS-140 valor unitario consumo aparente</t>
        </is>
      </c>
      <c r="G229" s="9" t="n"/>
    </row>
    <row r="230">
      <c r="A230" s="6" t="inlineStr">
        <is>
          <t>Plomo</t>
        </is>
      </c>
      <c r="B230" s="6" t="n">
        <v>2007</v>
      </c>
      <c r="C230" s="6" t="n">
        <v>2730</v>
      </c>
      <c r="D230" s="6" t="n">
        <v>2150</v>
      </c>
      <c r="E230" s="5" t="inlineStr">
        <is>
          <t>DS-140</t>
        </is>
      </c>
      <c r="F230" s="5" t="inlineStr">
        <is>
          <t>USGS DS-140 valor unitario consumo aparente</t>
        </is>
      </c>
      <c r="G230" s="6" t="n"/>
    </row>
    <row r="231">
      <c r="A231" s="9" t="inlineStr">
        <is>
          <t>Plomo</t>
        </is>
      </c>
      <c r="B231" s="9" t="n">
        <v>2008</v>
      </c>
      <c r="C231" s="9" t="n">
        <v>2650</v>
      </c>
      <c r="D231" s="9" t="n">
        <v>2010</v>
      </c>
      <c r="E231" s="8" t="inlineStr">
        <is>
          <t>DS-140</t>
        </is>
      </c>
      <c r="F231" s="8" t="inlineStr">
        <is>
          <t>USGS DS-140 valor unitario consumo aparente</t>
        </is>
      </c>
      <c r="G231" s="9" t="n"/>
    </row>
    <row r="232">
      <c r="A232" s="6" t="inlineStr">
        <is>
          <t>Plomo</t>
        </is>
      </c>
      <c r="B232" s="6" t="n">
        <v>2009</v>
      </c>
      <c r="C232" s="6" t="n">
        <v>1920</v>
      </c>
      <c r="D232" s="6" t="n">
        <v>1460</v>
      </c>
      <c r="E232" s="5" t="inlineStr">
        <is>
          <t>DS-140</t>
        </is>
      </c>
      <c r="F232" s="5" t="inlineStr">
        <is>
          <t>USGS DS-140 valor unitario consumo aparente</t>
        </is>
      </c>
      <c r="G232" s="6" t="n"/>
    </row>
    <row r="233">
      <c r="A233" s="9" t="inlineStr">
        <is>
          <t>Plomo</t>
        </is>
      </c>
      <c r="B233" s="9" t="n">
        <v>2010</v>
      </c>
      <c r="C233" s="9" t="n">
        <v>2400</v>
      </c>
      <c r="D233" s="9" t="n">
        <v>1790</v>
      </c>
      <c r="E233" s="8" t="inlineStr">
        <is>
          <t>DS-140</t>
        </is>
      </c>
      <c r="F233" s="8" t="inlineStr">
        <is>
          <t>USGS DS-140 valor unitario consumo aparente</t>
        </is>
      </c>
      <c r="G233" s="9" t="n"/>
    </row>
    <row r="234">
      <c r="A234" s="6" t="inlineStr">
        <is>
          <t>Plomo</t>
        </is>
      </c>
      <c r="B234" s="6" t="n">
        <v>2011</v>
      </c>
      <c r="C234" s="6" t="n">
        <v>2690</v>
      </c>
      <c r="D234" s="6" t="n">
        <v>1950</v>
      </c>
      <c r="E234" s="5" t="inlineStr">
        <is>
          <t>DS-140</t>
        </is>
      </c>
      <c r="F234" s="5" t="inlineStr">
        <is>
          <t>USGS DS-140 valor unitario consumo aparente</t>
        </is>
      </c>
      <c r="G234" s="6" t="n"/>
    </row>
    <row r="235">
      <c r="A235" s="9" t="inlineStr">
        <is>
          <t>Plomo</t>
        </is>
      </c>
      <c r="B235" s="9" t="n">
        <v>2012</v>
      </c>
      <c r="C235" s="9" t="n">
        <v>2520</v>
      </c>
      <c r="D235" s="9" t="n">
        <v>1790</v>
      </c>
      <c r="E235" s="8" t="inlineStr">
        <is>
          <t>DS-140</t>
        </is>
      </c>
      <c r="F235" s="8" t="inlineStr">
        <is>
          <t>USGS DS-140 valor unitario consumo aparente</t>
        </is>
      </c>
      <c r="G235" s="9" t="n"/>
    </row>
    <row r="236">
      <c r="A236" s="6" t="inlineStr">
        <is>
          <t>Plomo</t>
        </is>
      </c>
      <c r="B236" s="6" t="n">
        <v>2013</v>
      </c>
      <c r="C236" s="6" t="n">
        <v>2420</v>
      </c>
      <c r="D236" s="6" t="n">
        <v>1770</v>
      </c>
      <c r="E236" s="5" t="inlineStr">
        <is>
          <t>DS-140</t>
        </is>
      </c>
      <c r="F236" s="5" t="inlineStr">
        <is>
          <t>USGS DS-140 valor unitario consumo aparente</t>
        </is>
      </c>
      <c r="G236" s="6" t="n"/>
    </row>
    <row r="237">
      <c r="A237" s="9" t="inlineStr">
        <is>
          <t>Plomo</t>
        </is>
      </c>
      <c r="B237" s="9" t="n">
        <v>2014</v>
      </c>
      <c r="C237" s="9" t="n">
        <v>2340</v>
      </c>
      <c r="D237" s="9" t="n">
        <v>1610</v>
      </c>
      <c r="E237" s="8" t="inlineStr">
        <is>
          <t>DS-140</t>
        </is>
      </c>
      <c r="F237" s="8" t="inlineStr">
        <is>
          <t>USGS DS-140 valor unitario consumo aparente</t>
        </is>
      </c>
      <c r="G237" s="9" t="n"/>
    </row>
    <row r="238">
      <c r="A238" s="6" t="inlineStr">
        <is>
          <t>Plomo</t>
        </is>
      </c>
      <c r="B238" s="6" t="n">
        <v>2015</v>
      </c>
      <c r="C238" s="6" t="n">
        <v>2010</v>
      </c>
      <c r="D238" s="6" t="n">
        <v>1380</v>
      </c>
      <c r="E238" s="5" t="inlineStr">
        <is>
          <t>DS-140</t>
        </is>
      </c>
      <c r="F238" s="5" t="inlineStr">
        <is>
          <t>USGS DS-140 valor unitario consumo aparente</t>
        </is>
      </c>
      <c r="G238" s="6" t="n"/>
    </row>
    <row r="239">
      <c r="A239" s="9" t="inlineStr">
        <is>
          <t>Plomo</t>
        </is>
      </c>
      <c r="B239" s="9" t="n">
        <v>2016</v>
      </c>
      <c r="C239" s="9" t="n">
        <v>2080</v>
      </c>
      <c r="D239" s="9" t="n">
        <v>1410</v>
      </c>
      <c r="E239" s="8" t="inlineStr">
        <is>
          <t>DS-140</t>
        </is>
      </c>
      <c r="F239" s="8" t="inlineStr">
        <is>
          <t>USGS DS-140 valor unitario consumo aparente</t>
        </is>
      </c>
      <c r="G239" s="9" t="n"/>
    </row>
    <row r="240">
      <c r="A240" s="6" t="inlineStr">
        <is>
          <t>Plomo</t>
        </is>
      </c>
      <c r="B240" s="6" t="n">
        <v>2017</v>
      </c>
      <c r="C240" s="6" t="n">
        <v>2520</v>
      </c>
      <c r="D240" s="6" t="n">
        <v>1680</v>
      </c>
      <c r="E240" s="5" t="inlineStr">
        <is>
          <t>DS-140</t>
        </is>
      </c>
      <c r="F240" s="5" t="inlineStr">
        <is>
          <t>USGS DS-140 valor unitario consumo aparente</t>
        </is>
      </c>
      <c r="G240" s="6" t="n"/>
    </row>
    <row r="241">
      <c r="A241" s="9" t="inlineStr">
        <is>
          <t>Plomo</t>
        </is>
      </c>
      <c r="B241" s="9" t="n">
        <v>2018</v>
      </c>
      <c r="C241" s="9" t="n">
        <v>2450</v>
      </c>
      <c r="D241" s="9" t="n">
        <v>1590</v>
      </c>
      <c r="E241" s="8" t="inlineStr">
        <is>
          <t>DS-140</t>
        </is>
      </c>
      <c r="F241" s="8" t="inlineStr">
        <is>
          <t>USGS DS-140 valor unitario consumo aparente</t>
        </is>
      </c>
      <c r="G241" s="9" t="n"/>
    </row>
    <row r="242">
      <c r="A242" s="6" t="inlineStr">
        <is>
          <t>Plomo</t>
        </is>
      </c>
      <c r="B242" s="6" t="n">
        <v>2019</v>
      </c>
      <c r="C242" s="6" t="n">
        <v>2200</v>
      </c>
      <c r="D242" s="6" t="n">
        <v>1400</v>
      </c>
      <c r="E242" s="5" t="inlineStr">
        <is>
          <t>DS-140</t>
        </is>
      </c>
      <c r="F242" s="5" t="inlineStr">
        <is>
          <t>USGS DS-140 valor unitario consumo aparente</t>
        </is>
      </c>
      <c r="G242" s="6" t="n"/>
    </row>
    <row r="243">
      <c r="A243" s="9" t="inlineStr">
        <is>
          <t>Plomo</t>
        </is>
      </c>
      <c r="B243" s="9" t="n">
        <v>2020</v>
      </c>
      <c r="C243" s="9" t="n">
        <v>2010</v>
      </c>
      <c r="D243" s="9" t="n">
        <v>1270</v>
      </c>
      <c r="E243" s="8" t="inlineStr">
        <is>
          <t>DS-140</t>
        </is>
      </c>
      <c r="F243" s="8" t="inlineStr">
        <is>
          <t>USGS DS-140 valor unitario consumo aparente</t>
        </is>
      </c>
      <c r="G243" s="9" t="n"/>
    </row>
    <row r="244">
      <c r="A244" s="6" t="inlineStr">
        <is>
          <t>Plomo</t>
        </is>
      </c>
      <c r="B244" s="6" t="n">
        <v>2021</v>
      </c>
      <c r="C244" s="6" t="n">
        <v>2490</v>
      </c>
      <c r="D244" s="6" t="n">
        <v>1500</v>
      </c>
      <c r="E244" s="5" t="inlineStr">
        <is>
          <t>DS-140</t>
        </is>
      </c>
      <c r="F244" s="5" t="inlineStr">
        <is>
          <t>USGS DS-140 valor unitario consumo aparente</t>
        </is>
      </c>
      <c r="G244" s="6" t="n"/>
    </row>
    <row r="245">
      <c r="A245" s="9" t="inlineStr">
        <is>
          <t>Silice</t>
        </is>
      </c>
      <c r="B245" s="9" t="n">
        <v>1990</v>
      </c>
      <c r="C245" s="9" t="n">
        <v>14.3</v>
      </c>
      <c r="D245" s="9" t="n">
        <v>17.9</v>
      </c>
      <c r="E245" s="8" t="inlineStr">
        <is>
          <t>DS-140</t>
        </is>
      </c>
      <c r="F245" s="8" t="inlineStr">
        <is>
          <t>USGS DS-140 valor unitario consumo aparente</t>
        </is>
      </c>
      <c r="G245" s="9" t="n"/>
    </row>
    <row r="246">
      <c r="A246" s="6" t="inlineStr">
        <is>
          <t>Silice</t>
        </is>
      </c>
      <c r="B246" s="6" t="n">
        <v>1991</v>
      </c>
      <c r="C246" s="6" t="n">
        <v>13.1</v>
      </c>
      <c r="D246" s="6" t="n">
        <v>15.6</v>
      </c>
      <c r="E246" s="5" t="inlineStr">
        <is>
          <t>DS-140</t>
        </is>
      </c>
      <c r="F246" s="5" t="inlineStr">
        <is>
          <t>USGS DS-140 valor unitario consumo aparente</t>
        </is>
      </c>
      <c r="G246" s="6" t="n"/>
    </row>
    <row r="247">
      <c r="A247" s="9" t="inlineStr">
        <is>
          <t>Silice</t>
        </is>
      </c>
      <c r="B247" s="9" t="n">
        <v>1992</v>
      </c>
      <c r="C247" s="9" t="n">
        <v>14</v>
      </c>
      <c r="D247" s="9" t="n">
        <v>16.3</v>
      </c>
      <c r="E247" s="8" t="inlineStr">
        <is>
          <t>DS-140</t>
        </is>
      </c>
      <c r="F247" s="8" t="inlineStr">
        <is>
          <t>USGS DS-140 valor unitario consumo aparente</t>
        </is>
      </c>
      <c r="G247" s="9" t="n"/>
    </row>
    <row r="248">
      <c r="A248" s="6" t="inlineStr">
        <is>
          <t>Silice</t>
        </is>
      </c>
      <c r="B248" s="6" t="n">
        <v>1993</v>
      </c>
      <c r="C248" s="6" t="n">
        <v>14.1</v>
      </c>
      <c r="D248" s="6" t="n">
        <v>15.9</v>
      </c>
      <c r="E248" s="5" t="inlineStr">
        <is>
          <t>DS-140</t>
        </is>
      </c>
      <c r="F248" s="5" t="inlineStr">
        <is>
          <t>USGS DS-140 valor unitario consumo aparente</t>
        </is>
      </c>
      <c r="G248" s="6" t="n"/>
    </row>
    <row r="249">
      <c r="A249" s="9" t="inlineStr">
        <is>
          <t>Silice</t>
        </is>
      </c>
      <c r="B249" s="9" t="n">
        <v>1994</v>
      </c>
      <c r="C249" s="9" t="n">
        <v>13.8</v>
      </c>
      <c r="D249" s="9" t="n">
        <v>15.1</v>
      </c>
      <c r="E249" s="8" t="inlineStr">
        <is>
          <t>DS-140</t>
        </is>
      </c>
      <c r="F249" s="8" t="inlineStr">
        <is>
          <t>USGS DS-140 valor unitario consumo aparente</t>
        </is>
      </c>
      <c r="G249" s="9" t="n"/>
    </row>
    <row r="250">
      <c r="A250" s="6" t="inlineStr">
        <is>
          <t>Silice</t>
        </is>
      </c>
      <c r="B250" s="6" t="n">
        <v>1995</v>
      </c>
      <c r="C250" s="6" t="n">
        <v>13.9</v>
      </c>
      <c r="D250" s="6" t="n">
        <v>14.9</v>
      </c>
      <c r="E250" s="5" t="inlineStr">
        <is>
          <t>DS-140</t>
        </is>
      </c>
      <c r="F250" s="5" t="inlineStr">
        <is>
          <t>USGS DS-140 valor unitario consumo aparente</t>
        </is>
      </c>
      <c r="G250" s="6" t="n"/>
    </row>
    <row r="251">
      <c r="A251" s="9" t="inlineStr">
        <is>
          <t>Silice</t>
        </is>
      </c>
      <c r="B251" s="9" t="n">
        <v>1996</v>
      </c>
      <c r="C251" s="9" t="n">
        <v>13.3</v>
      </c>
      <c r="D251" s="9" t="n">
        <v>13.8</v>
      </c>
      <c r="E251" s="8" t="inlineStr">
        <is>
          <t>DS-140</t>
        </is>
      </c>
      <c r="F251" s="8" t="inlineStr">
        <is>
          <t>USGS DS-140 valor unitario consumo aparente</t>
        </is>
      </c>
      <c r="G251" s="9" t="n"/>
    </row>
    <row r="252">
      <c r="A252" s="6" t="inlineStr">
        <is>
          <t>Silice</t>
        </is>
      </c>
      <c r="B252" s="6" t="n">
        <v>1997</v>
      </c>
      <c r="C252" s="6" t="n">
        <v>12.4</v>
      </c>
      <c r="D252" s="6" t="n">
        <v>12.6</v>
      </c>
      <c r="E252" s="5" t="inlineStr">
        <is>
          <t>DS-140</t>
        </is>
      </c>
      <c r="F252" s="5" t="inlineStr">
        <is>
          <t>USGS DS-140 valor unitario consumo aparente</t>
        </is>
      </c>
      <c r="G252" s="6" t="n"/>
    </row>
    <row r="253">
      <c r="A253" s="9" t="inlineStr">
        <is>
          <t>Silice</t>
        </is>
      </c>
      <c r="B253" s="9" t="n">
        <v>1998</v>
      </c>
      <c r="C253" s="9" t="n">
        <v>14.2</v>
      </c>
      <c r="D253" s="9" t="n">
        <v>14.2</v>
      </c>
      <c r="E253" s="8" t="inlineStr">
        <is>
          <t>DS-140</t>
        </is>
      </c>
      <c r="F253" s="8" t="inlineStr">
        <is>
          <t>USGS DS-140 valor unitario consumo aparente</t>
        </is>
      </c>
      <c r="G253" s="9" t="n"/>
    </row>
    <row r="254">
      <c r="A254" s="6" t="inlineStr">
        <is>
          <t>Silice</t>
        </is>
      </c>
      <c r="B254" s="6" t="n">
        <v>1999</v>
      </c>
      <c r="C254" s="6" t="n">
        <v>15</v>
      </c>
      <c r="D254" s="6" t="n">
        <v>14.6</v>
      </c>
      <c r="E254" s="5" t="inlineStr">
        <is>
          <t>DS-140</t>
        </is>
      </c>
      <c r="F254" s="5" t="inlineStr">
        <is>
          <t>USGS DS-140 valor unitario consumo aparente</t>
        </is>
      </c>
      <c r="G254" s="6" t="n"/>
    </row>
    <row r="255">
      <c r="A255" s="9" t="inlineStr">
        <is>
          <t>Silice</t>
        </is>
      </c>
      <c r="B255" s="9" t="n">
        <v>2000</v>
      </c>
      <c r="C255" s="9" t="n">
        <v>14.4</v>
      </c>
      <c r="D255" s="9" t="n">
        <v>13.6</v>
      </c>
      <c r="E255" s="8" t="inlineStr">
        <is>
          <t>DS-140</t>
        </is>
      </c>
      <c r="F255" s="8" t="inlineStr">
        <is>
          <t>USGS DS-140 valor unitario consumo aparente</t>
        </is>
      </c>
      <c r="G255" s="9" t="n"/>
    </row>
    <row r="256">
      <c r="A256" s="6" t="inlineStr">
        <is>
          <t>Silice</t>
        </is>
      </c>
      <c r="B256" s="6" t="n">
        <v>2001</v>
      </c>
      <c r="C256" s="6" t="n">
        <v>16</v>
      </c>
      <c r="D256" s="6" t="n">
        <v>14.7</v>
      </c>
      <c r="E256" s="5" t="inlineStr">
        <is>
          <t>DS-140</t>
        </is>
      </c>
      <c r="F256" s="5" t="inlineStr">
        <is>
          <t>USGS DS-140 valor unitario consumo aparente</t>
        </is>
      </c>
      <c r="G256" s="6" t="n"/>
    </row>
    <row r="257">
      <c r="A257" s="9" t="inlineStr">
        <is>
          <t>Silice</t>
        </is>
      </c>
      <c r="B257" s="9" t="n">
        <v>2002</v>
      </c>
      <c r="C257" s="9" t="n">
        <v>16.7</v>
      </c>
      <c r="D257" s="9" t="n">
        <v>15.1</v>
      </c>
      <c r="E257" s="8" t="inlineStr">
        <is>
          <t>DS-140</t>
        </is>
      </c>
      <c r="F257" s="8" t="inlineStr">
        <is>
          <t>USGS DS-140 valor unitario consumo aparente</t>
        </is>
      </c>
      <c r="G257" s="9" t="n"/>
    </row>
    <row r="258">
      <c r="A258" s="6" t="inlineStr">
        <is>
          <t>Silice</t>
        </is>
      </c>
      <c r="B258" s="6" t="n">
        <v>2003</v>
      </c>
      <c r="C258" s="6" t="n">
        <v>18.3</v>
      </c>
      <c r="D258" s="6" t="n">
        <v>16.2</v>
      </c>
      <c r="E258" s="5" t="inlineStr">
        <is>
          <t>DS-140</t>
        </is>
      </c>
      <c r="F258" s="5" t="inlineStr">
        <is>
          <t>USGS DS-140 valor unitario consumo aparente</t>
        </is>
      </c>
      <c r="G258" s="6" t="n"/>
    </row>
    <row r="259">
      <c r="A259" s="9" t="inlineStr">
        <is>
          <t>Silice</t>
        </is>
      </c>
      <c r="B259" s="9" t="n">
        <v>2004</v>
      </c>
      <c r="C259" s="9" t="n">
        <v>23.1</v>
      </c>
      <c r="D259" s="9" t="n">
        <v>19.9</v>
      </c>
      <c r="E259" s="8" t="inlineStr">
        <is>
          <t>DS-140</t>
        </is>
      </c>
      <c r="F259" s="8" t="inlineStr">
        <is>
          <t>USGS DS-140 valor unitario consumo aparente</t>
        </is>
      </c>
      <c r="G259" s="9" t="n"/>
    </row>
    <row r="260">
      <c r="A260" s="6" t="inlineStr">
        <is>
          <t>Silice</t>
        </is>
      </c>
      <c r="B260" s="6" t="n">
        <v>2005</v>
      </c>
      <c r="C260" s="6" t="n">
        <v>24.6</v>
      </c>
      <c r="D260" s="6" t="n">
        <v>20.5</v>
      </c>
      <c r="E260" s="5" t="inlineStr">
        <is>
          <t>DS-140</t>
        </is>
      </c>
      <c r="F260" s="5" t="inlineStr">
        <is>
          <t>USGS DS-140 valor unitario consumo aparente</t>
        </is>
      </c>
      <c r="G260" s="6" t="n"/>
    </row>
    <row r="261">
      <c r="A261" s="9" t="inlineStr">
        <is>
          <t>Silice</t>
        </is>
      </c>
      <c r="B261" s="9" t="n">
        <v>2006</v>
      </c>
      <c r="C261" s="9" t="n">
        <v>26.3</v>
      </c>
      <c r="D261" s="9" t="n">
        <v>21.3</v>
      </c>
      <c r="E261" s="8" t="inlineStr">
        <is>
          <t>DS-140</t>
        </is>
      </c>
      <c r="F261" s="8" t="inlineStr">
        <is>
          <t>USGS DS-140 valor unitario consumo aparente</t>
        </is>
      </c>
      <c r="G261" s="9" t="n"/>
    </row>
    <row r="262">
      <c r="A262" s="6" t="inlineStr">
        <is>
          <t>Silice</t>
        </is>
      </c>
      <c r="B262" s="6" t="n">
        <v>2007</v>
      </c>
      <c r="C262" s="6" t="n">
        <v>27.6</v>
      </c>
      <c r="D262" s="6" t="n">
        <v>21.7</v>
      </c>
      <c r="E262" s="5" t="inlineStr">
        <is>
          <t>DS-140</t>
        </is>
      </c>
      <c r="F262" s="5" t="inlineStr">
        <is>
          <t>USGS DS-140 valor unitario consumo aparente</t>
        </is>
      </c>
      <c r="G262" s="6" t="n"/>
    </row>
    <row r="263">
      <c r="A263" s="9" t="inlineStr">
        <is>
          <t>Silice</t>
        </is>
      </c>
      <c r="B263" s="9" t="n">
        <v>2008</v>
      </c>
      <c r="C263" s="9" t="n">
        <v>30.8</v>
      </c>
      <c r="D263" s="9" t="n">
        <v>23.3</v>
      </c>
      <c r="E263" s="8" t="inlineStr">
        <is>
          <t>DS-140</t>
        </is>
      </c>
      <c r="F263" s="8" t="inlineStr">
        <is>
          <t>USGS DS-140 valor unitario consumo aparente</t>
        </is>
      </c>
      <c r="G263" s="9" t="n"/>
    </row>
    <row r="264">
      <c r="A264" s="6" t="inlineStr">
        <is>
          <t>Silice</t>
        </is>
      </c>
      <c r="B264" s="6" t="n">
        <v>2009</v>
      </c>
      <c r="C264" s="6" t="n">
        <v>34.3</v>
      </c>
      <c r="D264" s="6" t="n">
        <v>26</v>
      </c>
      <c r="E264" s="5" t="inlineStr">
        <is>
          <t>DS-140</t>
        </is>
      </c>
      <c r="F264" s="5" t="inlineStr">
        <is>
          <t>USGS DS-140 valor unitario consumo aparente</t>
        </is>
      </c>
      <c r="G264" s="6" t="n"/>
    </row>
    <row r="265">
      <c r="A265" s="9" t="inlineStr">
        <is>
          <t>Silice</t>
        </is>
      </c>
      <c r="B265" s="9" t="n">
        <v>2010</v>
      </c>
      <c r="C265" s="9" t="n">
        <v>35.6</v>
      </c>
      <c r="D265" s="9" t="n">
        <v>26.6</v>
      </c>
      <c r="E265" s="8" t="inlineStr">
        <is>
          <t>DS-140</t>
        </is>
      </c>
      <c r="F265" s="8" t="inlineStr">
        <is>
          <t>USGS DS-140 valor unitario consumo aparente</t>
        </is>
      </c>
      <c r="G265" s="9" t="n"/>
    </row>
    <row r="266">
      <c r="A266" s="6" t="inlineStr">
        <is>
          <t>Silice</t>
        </is>
      </c>
      <c r="B266" s="6" t="n">
        <v>2011</v>
      </c>
      <c r="C266" s="6" t="n">
        <v>45.7</v>
      </c>
      <c r="D266" s="6" t="n">
        <v>33.1</v>
      </c>
      <c r="E266" s="5" t="inlineStr">
        <is>
          <t>DS-140</t>
        </is>
      </c>
      <c r="F266" s="5" t="inlineStr">
        <is>
          <t>USGS DS-140 valor unitario consumo aparente</t>
        </is>
      </c>
      <c r="G266" s="6" t="n"/>
    </row>
    <row r="267">
      <c r="A267" s="9" t="inlineStr">
        <is>
          <t>Silice</t>
        </is>
      </c>
      <c r="B267" s="9" t="n">
        <v>2012</v>
      </c>
      <c r="C267" s="9" t="n">
        <v>52.8</v>
      </c>
      <c r="D267" s="9" t="n">
        <v>37.5</v>
      </c>
      <c r="E267" s="8" t="inlineStr">
        <is>
          <t>DS-140</t>
        </is>
      </c>
      <c r="F267" s="8" t="inlineStr">
        <is>
          <t>USGS DS-140 valor unitario consumo aparente</t>
        </is>
      </c>
      <c r="G267" s="9" t="n"/>
    </row>
    <row r="268">
      <c r="A268" s="6" t="inlineStr">
        <is>
          <t>Silice</t>
        </is>
      </c>
      <c r="B268" s="6" t="n">
        <v>2013</v>
      </c>
      <c r="C268" s="6" t="n">
        <v>55.8</v>
      </c>
      <c r="D268" s="6" t="n">
        <v>39</v>
      </c>
      <c r="E268" s="5" t="inlineStr">
        <is>
          <t>DS-140</t>
        </is>
      </c>
      <c r="F268" s="5" t="inlineStr">
        <is>
          <t>USGS DS-140 valor unitario consumo aparente</t>
        </is>
      </c>
      <c r="G268" s="6" t="n"/>
    </row>
    <row r="269">
      <c r="A269" s="9" t="inlineStr">
        <is>
          <t>Silice</t>
        </is>
      </c>
      <c r="B269" s="9" t="n">
        <v>2014</v>
      </c>
      <c r="C269" s="9" t="n">
        <v>74.8</v>
      </c>
      <c r="D269" s="9" t="n">
        <v>51.5</v>
      </c>
      <c r="E269" s="8" t="inlineStr">
        <is>
          <t>DS-140</t>
        </is>
      </c>
      <c r="F269" s="8" t="inlineStr">
        <is>
          <t>USGS DS-140 valor unitario consumo aparente</t>
        </is>
      </c>
      <c r="G269" s="9" t="n"/>
    </row>
    <row r="270">
      <c r="A270" s="6" t="inlineStr">
        <is>
          <t>Silice</t>
        </is>
      </c>
      <c r="B270" s="6" t="n">
        <v>2015</v>
      </c>
      <c r="C270" s="6" t="n">
        <v>47.3</v>
      </c>
      <c r="D270" s="6" t="n">
        <v>32.5</v>
      </c>
      <c r="E270" s="5" t="inlineStr">
        <is>
          <t>DS-140</t>
        </is>
      </c>
      <c r="F270" s="5" t="inlineStr">
        <is>
          <t>USGS DS-140 valor unitario consumo aparente</t>
        </is>
      </c>
      <c r="G270" s="6" t="n"/>
    </row>
    <row r="271">
      <c r="A271" s="9" t="inlineStr">
        <is>
          <t>Silice</t>
        </is>
      </c>
      <c r="B271" s="9" t="n">
        <v>2016</v>
      </c>
      <c r="C271" s="9" t="n">
        <v>35.8</v>
      </c>
      <c r="D271" s="9" t="n">
        <v>24.3</v>
      </c>
      <c r="E271" s="8" t="inlineStr">
        <is>
          <t>DS-140</t>
        </is>
      </c>
      <c r="F271" s="8" t="inlineStr">
        <is>
          <t>USGS DS-140 valor unitario consumo aparente</t>
        </is>
      </c>
      <c r="G271" s="9" t="n"/>
    </row>
    <row r="272">
      <c r="A272" s="6" t="inlineStr">
        <is>
          <t>Silice</t>
        </is>
      </c>
      <c r="B272" s="6" t="n">
        <v>2017</v>
      </c>
      <c r="C272" s="6" t="n">
        <v>52.1</v>
      </c>
      <c r="D272" s="6" t="n">
        <v>34.7</v>
      </c>
      <c r="E272" s="5" t="inlineStr">
        <is>
          <t>DS-140</t>
        </is>
      </c>
      <c r="F272" s="5" t="inlineStr">
        <is>
          <t>USGS DS-140 valor unitario consumo aparente</t>
        </is>
      </c>
      <c r="G272" s="6" t="n"/>
    </row>
    <row r="273">
      <c r="A273" s="9" t="inlineStr">
        <is>
          <t>Silice</t>
        </is>
      </c>
      <c r="B273" s="9" t="n">
        <v>2018</v>
      </c>
      <c r="C273" s="9" t="n">
        <v>56.1</v>
      </c>
      <c r="D273" s="9" t="n">
        <v>36.4</v>
      </c>
      <c r="E273" s="8" t="inlineStr">
        <is>
          <t>DS-140</t>
        </is>
      </c>
      <c r="F273" s="8" t="inlineStr">
        <is>
          <t>USGS DS-140 valor unitario consumo aparente</t>
        </is>
      </c>
      <c r="G273" s="9" t="n"/>
    </row>
    <row r="274">
      <c r="A274" s="6" t="inlineStr">
        <is>
          <t>Silice</t>
        </is>
      </c>
      <c r="B274" s="6" t="n">
        <v>2019</v>
      </c>
      <c r="C274" s="6" t="n">
        <v>46</v>
      </c>
      <c r="D274" s="6" t="n">
        <v>29.3</v>
      </c>
      <c r="E274" s="5" t="inlineStr">
        <is>
          <t>DS-140</t>
        </is>
      </c>
      <c r="F274" s="5" t="inlineStr">
        <is>
          <t>USGS DS-140 valor unitario consumo aparente</t>
        </is>
      </c>
      <c r="G274" s="6" t="n"/>
    </row>
    <row r="275">
      <c r="A275" s="9" t="inlineStr">
        <is>
          <t>Silice</t>
        </is>
      </c>
      <c r="B275" s="9" t="n">
        <v>2020</v>
      </c>
      <c r="C275" s="9" t="n">
        <v>29.5</v>
      </c>
      <c r="D275" s="9" t="n">
        <v>18.6</v>
      </c>
      <c r="E275" s="8" t="inlineStr">
        <is>
          <t>DS-140</t>
        </is>
      </c>
      <c r="F275" s="8" t="inlineStr">
        <is>
          <t>USGS DS-140 valor unitario consumo aparente</t>
        </is>
      </c>
      <c r="G275" s="9" t="n"/>
    </row>
    <row r="276">
      <c r="A276" s="6" t="inlineStr">
        <is>
          <t>Silice</t>
        </is>
      </c>
      <c r="B276" s="6" t="n">
        <v>2021</v>
      </c>
      <c r="C276" s="6" t="n">
        <v>40.8</v>
      </c>
      <c r="D276" s="6" t="n">
        <v>24.5</v>
      </c>
      <c r="E276" s="5" t="inlineStr">
        <is>
          <t>DS-140</t>
        </is>
      </c>
      <c r="F276" s="5" t="inlineStr">
        <is>
          <t>USGS DS-140 valor unitario consumo aparente</t>
        </is>
      </c>
      <c r="G276" s="6" t="n"/>
    </row>
    <row r="277">
      <c r="A277" s="9" t="inlineStr">
        <is>
          <t>Silice</t>
        </is>
      </c>
      <c r="B277" s="9" t="n">
        <v>2022</v>
      </c>
      <c r="C277" s="9" t="n">
        <v>45.3</v>
      </c>
      <c r="D277" s="9" t="n">
        <v>25.23</v>
      </c>
      <c r="E277" s="8" t="inlineStr">
        <is>
          <t>DS-140</t>
        </is>
      </c>
      <c r="F277" s="8" t="inlineStr">
        <is>
          <t>USGS DS-140 valor unitario consumo aparente</t>
        </is>
      </c>
      <c r="G277" s="9" t="n"/>
    </row>
    <row r="278">
      <c r="A278" s="6" t="inlineStr">
        <is>
          <t>Zinc</t>
        </is>
      </c>
      <c r="B278" s="6" t="n">
        <v>1990</v>
      </c>
      <c r="C278" s="6" t="n">
        <v>1640</v>
      </c>
      <c r="D278" s="6" t="n">
        <v>2050</v>
      </c>
      <c r="E278" s="5" t="inlineStr">
        <is>
          <t>DS-140</t>
        </is>
      </c>
      <c r="F278" s="5" t="inlineStr">
        <is>
          <t>USGS DS-140 valor unitario consumo aparente</t>
        </is>
      </c>
      <c r="G278" s="6" t="n"/>
    </row>
    <row r="279">
      <c r="A279" s="9" t="inlineStr">
        <is>
          <t>Zinc</t>
        </is>
      </c>
      <c r="B279" s="9" t="n">
        <v>1991</v>
      </c>
      <c r="C279" s="9" t="n">
        <v>1160</v>
      </c>
      <c r="D279" s="9" t="n">
        <v>1390</v>
      </c>
      <c r="E279" s="8" t="inlineStr">
        <is>
          <t>DS-140</t>
        </is>
      </c>
      <c r="F279" s="8" t="inlineStr">
        <is>
          <t>USGS DS-140 valor unitario consumo aparente</t>
        </is>
      </c>
      <c r="G279" s="9" t="n"/>
    </row>
    <row r="280">
      <c r="A280" s="6" t="inlineStr">
        <is>
          <t>Zinc</t>
        </is>
      </c>
      <c r="B280" s="6" t="n">
        <v>1992</v>
      </c>
      <c r="C280" s="6" t="n">
        <v>1290</v>
      </c>
      <c r="D280" s="6" t="n">
        <v>1500</v>
      </c>
      <c r="E280" s="5" t="inlineStr">
        <is>
          <t>DS-140</t>
        </is>
      </c>
      <c r="F280" s="5" t="inlineStr">
        <is>
          <t>USGS DS-140 valor unitario consumo aparente</t>
        </is>
      </c>
      <c r="G280" s="6" t="n"/>
    </row>
    <row r="281">
      <c r="A281" s="9" t="inlineStr">
        <is>
          <t>Zinc</t>
        </is>
      </c>
      <c r="B281" s="9" t="n">
        <v>1993</v>
      </c>
      <c r="C281" s="9" t="n">
        <v>1020</v>
      </c>
      <c r="D281" s="9" t="n">
        <v>1150</v>
      </c>
      <c r="E281" s="8" t="inlineStr">
        <is>
          <t>DS-140</t>
        </is>
      </c>
      <c r="F281" s="8" t="inlineStr">
        <is>
          <t>USGS DS-140 valor unitario consumo aparente</t>
        </is>
      </c>
      <c r="G281" s="9" t="n"/>
    </row>
    <row r="282">
      <c r="A282" s="6" t="inlineStr">
        <is>
          <t>Zinc</t>
        </is>
      </c>
      <c r="B282" s="6" t="n">
        <v>1994</v>
      </c>
      <c r="C282" s="6" t="n">
        <v>1090</v>
      </c>
      <c r="D282" s="6" t="n">
        <v>1200</v>
      </c>
      <c r="E282" s="5" t="inlineStr">
        <is>
          <t>DS-140</t>
        </is>
      </c>
      <c r="F282" s="5" t="inlineStr">
        <is>
          <t>USGS DS-140 valor unitario consumo aparente</t>
        </is>
      </c>
      <c r="G282" s="6" t="n"/>
    </row>
    <row r="283">
      <c r="A283" s="9" t="inlineStr">
        <is>
          <t>Zinc</t>
        </is>
      </c>
      <c r="B283" s="9" t="n">
        <v>1995</v>
      </c>
      <c r="C283" s="9" t="n">
        <v>1230</v>
      </c>
      <c r="D283" s="9" t="n">
        <v>1320</v>
      </c>
      <c r="E283" s="8" t="inlineStr">
        <is>
          <t>DS-140</t>
        </is>
      </c>
      <c r="F283" s="8" t="inlineStr">
        <is>
          <t>USGS DS-140 valor unitario consumo aparente</t>
        </is>
      </c>
      <c r="G283" s="9" t="n"/>
    </row>
    <row r="284">
      <c r="A284" s="6" t="inlineStr">
        <is>
          <t>Zinc</t>
        </is>
      </c>
      <c r="B284" s="6" t="n">
        <v>1996</v>
      </c>
      <c r="C284" s="6" t="n">
        <v>1130</v>
      </c>
      <c r="D284" s="6" t="n">
        <v>1170</v>
      </c>
      <c r="E284" s="5" t="inlineStr">
        <is>
          <t>DS-140</t>
        </is>
      </c>
      <c r="F284" s="5" t="inlineStr">
        <is>
          <t>USGS DS-140 valor unitario consumo aparente</t>
        </is>
      </c>
      <c r="G284" s="6" t="n"/>
    </row>
    <row r="285">
      <c r="A285" s="9" t="inlineStr">
        <is>
          <t>Zinc</t>
        </is>
      </c>
      <c r="B285" s="9" t="n">
        <v>1997</v>
      </c>
      <c r="C285" s="9" t="n">
        <v>1420</v>
      </c>
      <c r="D285" s="9" t="n">
        <v>1440</v>
      </c>
      <c r="E285" s="8" t="inlineStr">
        <is>
          <t>DS-140</t>
        </is>
      </c>
      <c r="F285" s="8" t="inlineStr">
        <is>
          <t>USGS DS-140 valor unitario consumo aparente</t>
        </is>
      </c>
      <c r="G285" s="9" t="n"/>
    </row>
    <row r="286">
      <c r="A286" s="6" t="inlineStr">
        <is>
          <t>Zinc</t>
        </is>
      </c>
      <c r="B286" s="6" t="n">
        <v>1998</v>
      </c>
      <c r="C286" s="6" t="n">
        <v>1130</v>
      </c>
      <c r="D286" s="6" t="n">
        <v>1130</v>
      </c>
      <c r="E286" s="5" t="inlineStr">
        <is>
          <t>DS-140</t>
        </is>
      </c>
      <c r="F286" s="5" t="inlineStr">
        <is>
          <t>USGS DS-140 valor unitario consumo aparente</t>
        </is>
      </c>
      <c r="G286" s="6" t="n"/>
    </row>
    <row r="287">
      <c r="A287" s="9" t="inlineStr">
        <is>
          <t>Zinc</t>
        </is>
      </c>
      <c r="B287" s="9" t="n">
        <v>1999</v>
      </c>
      <c r="C287" s="9" t="n">
        <v>1180</v>
      </c>
      <c r="D287" s="9" t="n">
        <v>1150</v>
      </c>
      <c r="E287" s="8" t="inlineStr">
        <is>
          <t>DS-140</t>
        </is>
      </c>
      <c r="F287" s="8" t="inlineStr">
        <is>
          <t>USGS DS-140 valor unitario consumo aparente</t>
        </is>
      </c>
      <c r="G287" s="9" t="n"/>
    </row>
    <row r="288">
      <c r="A288" s="6" t="inlineStr">
        <is>
          <t>Zinc</t>
        </is>
      </c>
      <c r="B288" s="6" t="n">
        <v>2000</v>
      </c>
      <c r="C288" s="6" t="n">
        <v>1230</v>
      </c>
      <c r="D288" s="6" t="n">
        <v>1160</v>
      </c>
      <c r="E288" s="5" t="inlineStr">
        <is>
          <t>DS-140</t>
        </is>
      </c>
      <c r="F288" s="5" t="inlineStr">
        <is>
          <t>USGS DS-140 valor unitario consumo aparente</t>
        </is>
      </c>
      <c r="G288" s="6" t="n"/>
    </row>
    <row r="289">
      <c r="A289" s="9" t="inlineStr">
        <is>
          <t>Zinc</t>
        </is>
      </c>
      <c r="B289" s="9" t="n">
        <v>2001</v>
      </c>
      <c r="C289" s="9" t="n">
        <v>969</v>
      </c>
      <c r="D289" s="9" t="n">
        <v>892</v>
      </c>
      <c r="E289" s="8" t="inlineStr">
        <is>
          <t>DS-140</t>
        </is>
      </c>
      <c r="F289" s="8" t="inlineStr">
        <is>
          <t>USGS DS-140 valor unitario consumo aparente</t>
        </is>
      </c>
      <c r="G289" s="9" t="n"/>
    </row>
    <row r="290">
      <c r="A290" s="6" t="inlineStr">
        <is>
          <t>Zinc</t>
        </is>
      </c>
      <c r="B290" s="6" t="n">
        <v>2002</v>
      </c>
      <c r="C290" s="6" t="n">
        <v>852</v>
      </c>
      <c r="D290" s="6" t="n">
        <v>772</v>
      </c>
      <c r="E290" s="5" t="inlineStr">
        <is>
          <t>DS-140</t>
        </is>
      </c>
      <c r="F290" s="5" t="inlineStr">
        <is>
          <t>USGS DS-140 valor unitario consumo aparente</t>
        </is>
      </c>
      <c r="G290" s="6" t="n"/>
    </row>
    <row r="291">
      <c r="A291" s="9" t="inlineStr">
        <is>
          <t>Zinc</t>
        </is>
      </c>
      <c r="B291" s="9" t="n">
        <v>2003</v>
      </c>
      <c r="C291" s="9" t="n">
        <v>895.74</v>
      </c>
      <c r="D291" s="9" t="n">
        <v>793</v>
      </c>
      <c r="E291" s="8" t="inlineStr">
        <is>
          <t>DS-140</t>
        </is>
      </c>
      <c r="F291" s="8" t="inlineStr">
        <is>
          <t>USGS DS-140 valor unitario consumo aparente</t>
        </is>
      </c>
      <c r="G291" s="9" t="n"/>
    </row>
    <row r="292">
      <c r="A292" s="6" t="inlineStr">
        <is>
          <t>Zinc</t>
        </is>
      </c>
      <c r="B292" s="6" t="n">
        <v>2004</v>
      </c>
      <c r="C292" s="6" t="n">
        <v>1160</v>
      </c>
      <c r="D292" s="6" t="n">
        <v>999</v>
      </c>
      <c r="E292" s="5" t="inlineStr">
        <is>
          <t>DS-140</t>
        </is>
      </c>
      <c r="F292" s="5" t="inlineStr">
        <is>
          <t>USGS DS-140 valor unitario consumo aparente</t>
        </is>
      </c>
      <c r="G292" s="6" t="n"/>
    </row>
    <row r="293">
      <c r="A293" s="9" t="inlineStr">
        <is>
          <t>Zinc</t>
        </is>
      </c>
      <c r="B293" s="9" t="n">
        <v>2005</v>
      </c>
      <c r="C293" s="9" t="n">
        <v>1480</v>
      </c>
      <c r="D293" s="9" t="n">
        <v>1240</v>
      </c>
      <c r="E293" s="8" t="inlineStr">
        <is>
          <t>DS-140</t>
        </is>
      </c>
      <c r="F293" s="8" t="inlineStr">
        <is>
          <t>USGS DS-140 valor unitario consumo aparente</t>
        </is>
      </c>
      <c r="G293" s="9" t="n"/>
    </row>
    <row r="294">
      <c r="A294" s="6" t="inlineStr">
        <is>
          <t>Zinc</t>
        </is>
      </c>
      <c r="B294" s="6" t="n">
        <v>2006</v>
      </c>
      <c r="C294" s="6" t="n">
        <v>3500</v>
      </c>
      <c r="D294" s="6" t="n">
        <v>2830</v>
      </c>
      <c r="E294" s="5" t="inlineStr">
        <is>
          <t>DS-140</t>
        </is>
      </c>
      <c r="F294" s="5" t="inlineStr">
        <is>
          <t>USGS DS-140 valor unitario consumo aparente</t>
        </is>
      </c>
      <c r="G294" s="6" t="n"/>
    </row>
    <row r="295">
      <c r="A295" s="9" t="inlineStr">
        <is>
          <t>Zinc</t>
        </is>
      </c>
      <c r="B295" s="9" t="n">
        <v>2007</v>
      </c>
      <c r="C295" s="9" t="n">
        <v>3400</v>
      </c>
      <c r="D295" s="9" t="n">
        <v>2670</v>
      </c>
      <c r="E295" s="8" t="inlineStr">
        <is>
          <t>DS-140</t>
        </is>
      </c>
      <c r="F295" s="8" t="inlineStr">
        <is>
          <t>USGS DS-140 valor unitario consumo aparente</t>
        </is>
      </c>
      <c r="G295" s="9" t="n"/>
    </row>
    <row r="296">
      <c r="A296" s="6" t="inlineStr">
        <is>
          <t>Zinc</t>
        </is>
      </c>
      <c r="B296" s="6" t="n">
        <v>2008</v>
      </c>
      <c r="C296" s="6" t="n">
        <v>1960</v>
      </c>
      <c r="D296" s="6" t="n">
        <v>1480</v>
      </c>
      <c r="E296" s="5" t="inlineStr">
        <is>
          <t>DS-140</t>
        </is>
      </c>
      <c r="F296" s="5" t="inlineStr">
        <is>
          <t>USGS DS-140 valor unitario consumo aparente</t>
        </is>
      </c>
      <c r="G296" s="6" t="n"/>
    </row>
    <row r="297">
      <c r="A297" s="9" t="inlineStr">
        <is>
          <t>Zinc</t>
        </is>
      </c>
      <c r="B297" s="9" t="n">
        <v>2009</v>
      </c>
      <c r="C297" s="9" t="n">
        <v>1720</v>
      </c>
      <c r="D297" s="9" t="n">
        <v>1310</v>
      </c>
      <c r="E297" s="8" t="inlineStr">
        <is>
          <t>DS-140</t>
        </is>
      </c>
      <c r="F297" s="8" t="inlineStr">
        <is>
          <t>USGS DS-140 valor unitario consumo aparente</t>
        </is>
      </c>
      <c r="G297" s="9" t="n"/>
    </row>
    <row r="298">
      <c r="A298" s="6" t="inlineStr">
        <is>
          <t>Zinc</t>
        </is>
      </c>
      <c r="B298" s="6" t="n">
        <v>2010</v>
      </c>
      <c r="C298" s="6" t="n">
        <v>2250</v>
      </c>
      <c r="D298" s="6" t="n">
        <v>1680</v>
      </c>
      <c r="E298" s="5" t="inlineStr">
        <is>
          <t>DS-140</t>
        </is>
      </c>
      <c r="F298" s="5" t="inlineStr">
        <is>
          <t>USGS DS-140 valor unitario consumo aparente</t>
        </is>
      </c>
      <c r="G298" s="6" t="n"/>
    </row>
    <row r="299">
      <c r="A299" s="9" t="inlineStr">
        <is>
          <t>Zinc</t>
        </is>
      </c>
      <c r="B299" s="9" t="n">
        <v>2011</v>
      </c>
      <c r="C299" s="9" t="n">
        <v>2340</v>
      </c>
      <c r="D299" s="9" t="n">
        <v>1700</v>
      </c>
      <c r="E299" s="8" t="inlineStr">
        <is>
          <t>DS-140</t>
        </is>
      </c>
      <c r="F299" s="8" t="inlineStr">
        <is>
          <t>USGS DS-140 valor unitario consumo aparente</t>
        </is>
      </c>
      <c r="G299" s="9" t="n"/>
    </row>
    <row r="300">
      <c r="A300" s="6" t="inlineStr">
        <is>
          <t>Zinc</t>
        </is>
      </c>
      <c r="B300" s="6" t="n">
        <v>2012</v>
      </c>
      <c r="C300" s="6" t="n">
        <v>2110</v>
      </c>
      <c r="D300" s="6" t="n">
        <v>1500</v>
      </c>
      <c r="E300" s="5" t="inlineStr">
        <is>
          <t>DS-140</t>
        </is>
      </c>
      <c r="F300" s="5" t="inlineStr">
        <is>
          <t>USGS DS-140 valor unitario consumo aparente</t>
        </is>
      </c>
      <c r="G300" s="6" t="n"/>
    </row>
    <row r="301">
      <c r="A301" s="9" t="inlineStr">
        <is>
          <t>Zinc</t>
        </is>
      </c>
      <c r="B301" s="9" t="n">
        <v>2013</v>
      </c>
      <c r="C301" s="9" t="n">
        <v>2110</v>
      </c>
      <c r="D301" s="9" t="n">
        <v>1480</v>
      </c>
      <c r="E301" s="8" t="inlineStr">
        <is>
          <t>DS-140</t>
        </is>
      </c>
      <c r="F301" s="8" t="inlineStr">
        <is>
          <t>USGS DS-140 valor unitario consumo aparente</t>
        </is>
      </c>
      <c r="G301" s="9" t="n"/>
    </row>
    <row r="302">
      <c r="A302" s="6" t="inlineStr">
        <is>
          <t>Zinc</t>
        </is>
      </c>
      <c r="B302" s="6" t="n">
        <v>2014</v>
      </c>
      <c r="C302" s="6" t="n">
        <v>2360</v>
      </c>
      <c r="D302" s="6" t="n">
        <v>1630</v>
      </c>
      <c r="E302" s="5" t="inlineStr">
        <is>
          <t>DS-140</t>
        </is>
      </c>
      <c r="F302" s="5" t="inlineStr">
        <is>
          <t>USGS DS-140 valor unitario consumo aparente</t>
        </is>
      </c>
      <c r="G302" s="6" t="n"/>
    </row>
    <row r="303">
      <c r="A303" s="9" t="inlineStr">
        <is>
          <t>Zinc</t>
        </is>
      </c>
      <c r="B303" s="9" t="n">
        <v>2015</v>
      </c>
      <c r="C303" s="9" t="n">
        <v>2110</v>
      </c>
      <c r="D303" s="9" t="n">
        <v>1450</v>
      </c>
      <c r="E303" s="8" t="inlineStr">
        <is>
          <t>DS-140</t>
        </is>
      </c>
      <c r="F303" s="8" t="inlineStr">
        <is>
          <t>USGS DS-140 valor unitario consumo aparente</t>
        </is>
      </c>
      <c r="G303" s="9" t="n"/>
    </row>
    <row r="304">
      <c r="A304" s="6" t="inlineStr">
        <is>
          <t>Zinc</t>
        </is>
      </c>
      <c r="B304" s="6" t="n">
        <v>2016</v>
      </c>
      <c r="C304" s="6" t="n">
        <v>2240</v>
      </c>
      <c r="D304" s="6" t="n">
        <v>1520</v>
      </c>
      <c r="E304" s="5" t="inlineStr">
        <is>
          <t>DS-140</t>
        </is>
      </c>
      <c r="F304" s="5" t="inlineStr">
        <is>
          <t>USGS DS-140 valor unitario consumo aparente</t>
        </is>
      </c>
      <c r="G304" s="6" t="n"/>
    </row>
    <row r="305">
      <c r="A305" s="9" t="inlineStr">
        <is>
          <t>Zinc</t>
        </is>
      </c>
      <c r="B305" s="9" t="n">
        <v>2017</v>
      </c>
      <c r="C305" s="9" t="n">
        <v>3070</v>
      </c>
      <c r="D305" s="9" t="n">
        <v>2040</v>
      </c>
      <c r="E305" s="8" t="inlineStr">
        <is>
          <t>DS-140</t>
        </is>
      </c>
      <c r="F305" s="8" t="inlineStr">
        <is>
          <t>USGS DS-140 valor unitario consumo aparente</t>
        </is>
      </c>
      <c r="G305" s="9" t="n"/>
    </row>
    <row r="306">
      <c r="A306" s="6" t="inlineStr">
        <is>
          <t>Zinc</t>
        </is>
      </c>
      <c r="B306" s="6" t="n">
        <v>2018</v>
      </c>
      <c r="C306" s="6" t="n">
        <v>3110</v>
      </c>
      <c r="D306" s="6" t="n">
        <v>2020</v>
      </c>
      <c r="E306" s="5" t="inlineStr">
        <is>
          <t>DS-140</t>
        </is>
      </c>
      <c r="F306" s="5" t="inlineStr">
        <is>
          <t>USGS DS-140 valor unitario consumo aparente</t>
        </is>
      </c>
      <c r="G306" s="6" t="n"/>
    </row>
    <row r="307">
      <c r="A307" s="9" t="inlineStr">
        <is>
          <t>Zinc</t>
        </is>
      </c>
      <c r="B307" s="9" t="n">
        <v>2019</v>
      </c>
      <c r="C307" s="9" t="n">
        <v>2740</v>
      </c>
      <c r="D307" s="9" t="n">
        <v>1750</v>
      </c>
      <c r="E307" s="8" t="inlineStr">
        <is>
          <t>DS-140</t>
        </is>
      </c>
      <c r="F307" s="8" t="inlineStr">
        <is>
          <t>USGS DS-140 valor unitario consumo aparente</t>
        </is>
      </c>
      <c r="G307" s="9" t="n"/>
    </row>
    <row r="308">
      <c r="A308" s="6" t="inlineStr">
        <is>
          <t>Zinc</t>
        </is>
      </c>
      <c r="B308" s="6" t="n">
        <v>2020</v>
      </c>
      <c r="C308" s="6" t="n">
        <v>2440</v>
      </c>
      <c r="D308" s="6" t="n">
        <v>1540</v>
      </c>
      <c r="E308" s="5" t="inlineStr">
        <is>
          <t>DS-140</t>
        </is>
      </c>
      <c r="F308" s="5" t="inlineStr">
        <is>
          <t>USGS DS-140 valor unitario consumo aparente</t>
        </is>
      </c>
      <c r="G308" s="6" t="n"/>
    </row>
    <row r="309">
      <c r="A309" s="9" t="inlineStr">
        <is>
          <t>Zinc</t>
        </is>
      </c>
      <c r="B309" s="9" t="n">
        <v>2021</v>
      </c>
      <c r="C309" s="9" t="n">
        <v>3220</v>
      </c>
      <c r="D309" s="9" t="n">
        <v>1940</v>
      </c>
      <c r="E309" s="8" t="inlineStr">
        <is>
          <t>DS-140</t>
        </is>
      </c>
      <c r="F309" s="8" t="inlineStr">
        <is>
          <t>USGS DS-140 valor unitario consumo aparente</t>
        </is>
      </c>
      <c r="G309" s="9" t="n"/>
    </row>
    <row r="310">
      <c r="A310" s="6" t="inlineStr">
        <is>
          <t>Zinc</t>
        </is>
      </c>
      <c r="B310" s="6" t="n">
        <v>2022</v>
      </c>
      <c r="C310" s="6" t="n">
        <v>4190</v>
      </c>
      <c r="D310" s="6" t="n">
        <v>2330</v>
      </c>
      <c r="E310" s="5" t="inlineStr">
        <is>
          <t>DS-140</t>
        </is>
      </c>
      <c r="F310" s="5" t="inlineStr">
        <is>
          <t>USGS DS-140 valor unitario consumo aparente</t>
        </is>
      </c>
      <c r="G310" s="6" t="n"/>
    </row>
    <row r="311">
      <c r="A311" s="9" t="inlineStr">
        <is>
          <t>Oro</t>
        </is>
      </c>
      <c r="B311" s="9" t="n">
        <v>2023</v>
      </c>
      <c r="C311" s="9" t="n">
        <v>62454119.22</v>
      </c>
      <c r="D311" s="9" t="n">
        <v>33409762.43</v>
      </c>
      <c r="E311" s="8" t="inlineStr">
        <is>
          <t>empalme</t>
        </is>
      </c>
      <c r="F311" s="8" t="inlineStr">
        <is>
          <t>Cochilco London Fix AM anual (enc. 2022)</t>
        </is>
      </c>
      <c r="G311" s="9" t="n">
        <v>32139.229</v>
      </c>
    </row>
    <row r="312">
      <c r="A312" s="6" t="inlineStr">
        <is>
          <t>Oro</t>
        </is>
      </c>
      <c r="B312" s="6" t="n">
        <v>2024</v>
      </c>
      <c r="C312" s="6" t="n">
        <v>76727947.89</v>
      </c>
      <c r="D312" s="6" t="n">
        <v>39869601.76</v>
      </c>
      <c r="E312" s="5" t="inlineStr">
        <is>
          <t>empalme</t>
        </is>
      </c>
      <c r="F312" s="5" t="inlineStr">
        <is>
          <t>Cochilco London Fix AM anual (enc. 2022)</t>
        </is>
      </c>
      <c r="G312" s="6" t="n">
        <v>32139.229</v>
      </c>
    </row>
    <row r="313">
      <c r="A313" s="9" t="inlineStr">
        <is>
          <t>Oro</t>
        </is>
      </c>
      <c r="B313" s="9" t="n">
        <v>2025</v>
      </c>
      <c r="C313" s="9" t="n">
        <v>106059456.6</v>
      </c>
      <c r="D313" s="9" t="n">
        <v>53605244.76</v>
      </c>
      <c r="E313" s="8" t="inlineStr">
        <is>
          <t>empalme</t>
        </is>
      </c>
      <c r="F313" s="8" t="inlineStr">
        <is>
          <t>MCS 2026 Engelhard 2025e (enc. 2022)</t>
        </is>
      </c>
      <c r="G313" s="9" t="n">
        <v>32139.229</v>
      </c>
    </row>
    <row r="314">
      <c r="A314" s="6" t="inlineStr">
        <is>
          <t>Plata</t>
        </is>
      </c>
      <c r="B314" s="6" t="n">
        <v>2022</v>
      </c>
      <c r="C314" s="6" t="n">
        <v>701028.1189</v>
      </c>
      <c r="D314" s="6" t="n">
        <v>390451.4988</v>
      </c>
      <c r="E314" s="5" t="inlineStr">
        <is>
          <t>empalme</t>
        </is>
      </c>
      <c r="F314" s="5" t="inlineStr">
        <is>
          <t>Cochilco London Fix anual (enc. 2021)</t>
        </is>
      </c>
      <c r="G314" s="6" t="n">
        <v>32226.924</v>
      </c>
    </row>
    <row r="315">
      <c r="A315" s="9" t="inlineStr">
        <is>
          <t>Plata</t>
        </is>
      </c>
      <c r="B315" s="9" t="n">
        <v>2023</v>
      </c>
      <c r="C315" s="9" t="n">
        <v>753678.9537</v>
      </c>
      <c r="D315" s="9" t="n">
        <v>403179.7279</v>
      </c>
      <c r="E315" s="8" t="inlineStr">
        <is>
          <t>empalme</t>
        </is>
      </c>
      <c r="F315" s="8" t="inlineStr">
        <is>
          <t>Cochilco London Fix anual (enc. 2021)</t>
        </is>
      </c>
      <c r="G315" s="9" t="n">
        <v>32226.924</v>
      </c>
    </row>
    <row r="316">
      <c r="A316" s="6" t="inlineStr">
        <is>
          <t>Plata</t>
        </is>
      </c>
      <c r="B316" s="6" t="n">
        <v>2024</v>
      </c>
      <c r="C316" s="6" t="n">
        <v>910220.0622</v>
      </c>
      <c r="D316" s="6" t="n">
        <v>472971.2235</v>
      </c>
      <c r="E316" s="5" t="inlineStr">
        <is>
          <t>empalme</t>
        </is>
      </c>
      <c r="F316" s="5" t="inlineStr">
        <is>
          <t>Cochilco London Fix anual (enc. 2021)</t>
        </is>
      </c>
      <c r="G316" s="6" t="n">
        <v>32226.924</v>
      </c>
    </row>
    <row r="317">
      <c r="A317" s="9" t="inlineStr">
        <is>
          <t>Plata</t>
        </is>
      </c>
      <c r="B317" s="9" t="n">
        <v>2025</v>
      </c>
      <c r="C317" s="9" t="n">
        <v>1224623.119</v>
      </c>
      <c r="D317" s="9" t="n">
        <v>618956.801</v>
      </c>
      <c r="E317" s="8" t="inlineStr">
        <is>
          <t>empalme</t>
        </is>
      </c>
      <c r="F317" s="8" t="inlineStr">
        <is>
          <t>MCS 2026 precio bullion 2025e (enc. 2021)</t>
        </is>
      </c>
      <c r="G317" s="9" t="n">
        <v>32226.924</v>
      </c>
    </row>
    <row r="318">
      <c r="A318" s="6" t="inlineStr">
        <is>
          <t>Cobre</t>
        </is>
      </c>
      <c r="B318" s="6" t="n">
        <v>2021</v>
      </c>
      <c r="C318" s="6" t="n">
        <v>9543.368802999999</v>
      </c>
      <c r="D318" s="6" t="n">
        <v>5740.742941</v>
      </c>
      <c r="E318" s="5" t="inlineStr">
        <is>
          <t>empalme</t>
        </is>
      </c>
      <c r="F318" s="5" t="inlineStr">
        <is>
          <t>Cochilco BML anual (enc. 2020)</t>
        </is>
      </c>
      <c r="G318" s="6" t="n">
        <v>22.587347</v>
      </c>
    </row>
    <row r="319">
      <c r="A319" s="9" t="inlineStr">
        <is>
          <t>Cobre</t>
        </is>
      </c>
      <c r="B319" s="9" t="n">
        <v>2022</v>
      </c>
      <c r="C319" s="9" t="n">
        <v>9030.984241</v>
      </c>
      <c r="D319" s="9" t="n">
        <v>5029.985585</v>
      </c>
      <c r="E319" s="8" t="inlineStr">
        <is>
          <t>empalme</t>
        </is>
      </c>
      <c r="F319" s="8" t="inlineStr">
        <is>
          <t>Cochilco BML anual (enc. 2020)</t>
        </is>
      </c>
      <c r="G319" s="9" t="n">
        <v>22.587347</v>
      </c>
    </row>
    <row r="320">
      <c r="A320" s="6" t="inlineStr">
        <is>
          <t>Cobre</t>
        </is>
      </c>
      <c r="B320" s="6" t="n">
        <v>2023</v>
      </c>
      <c r="C320" s="6" t="n">
        <v>8693.056821</v>
      </c>
      <c r="D320" s="6" t="n">
        <v>4650.341192</v>
      </c>
      <c r="E320" s="5" t="inlineStr">
        <is>
          <t>empalme</t>
        </is>
      </c>
      <c r="F320" s="5" t="inlineStr">
        <is>
          <t>Cochilco BML anual (enc. 2020)</t>
        </is>
      </c>
      <c r="G320" s="6" t="n">
        <v>22.587347</v>
      </c>
    </row>
    <row r="321">
      <c r="A321" s="9" t="inlineStr">
        <is>
          <t>Cobre</t>
        </is>
      </c>
      <c r="B321" s="9" t="n">
        <v>2024</v>
      </c>
      <c r="C321" s="9" t="n">
        <v>9368.533323</v>
      </c>
      <c r="D321" s="9" t="n">
        <v>4868.104816</v>
      </c>
      <c r="E321" s="8" t="inlineStr">
        <is>
          <t>empalme</t>
        </is>
      </c>
      <c r="F321" s="8" t="inlineStr">
        <is>
          <t>Cochilco BML anual (enc. 2020)</t>
        </is>
      </c>
      <c r="G321" s="9" t="n">
        <v>22.587347</v>
      </c>
    </row>
    <row r="322">
      <c r="A322" s="6" t="inlineStr">
        <is>
          <t>Cobre</t>
        </is>
      </c>
      <c r="B322" s="6" t="n">
        <v>2025</v>
      </c>
      <c r="C322" s="6" t="n">
        <v>9938.4328</v>
      </c>
      <c r="D322" s="6" t="n">
        <v>5023.14588</v>
      </c>
      <c r="E322" s="5" t="inlineStr">
        <is>
          <t>empalme</t>
        </is>
      </c>
      <c r="F322" s="5" t="inlineStr">
        <is>
          <t>MCS 2026 LME cash 2025e (enc. 2020)</t>
        </is>
      </c>
      <c r="G322" s="6" t="n">
        <v>22.587347</v>
      </c>
    </row>
    <row r="323">
      <c r="A323" s="9" t="inlineStr">
        <is>
          <t>Plomo</t>
        </is>
      </c>
      <c r="B323" s="9" t="n">
        <v>2022</v>
      </c>
      <c r="C323" s="9" t="n">
        <v>2431.907974</v>
      </c>
      <c r="D323" s="9" t="n">
        <v>1354.499325</v>
      </c>
      <c r="E323" s="8" t="inlineStr">
        <is>
          <t>empalme</t>
        </is>
      </c>
      <c r="F323" s="8" t="inlineStr">
        <is>
          <t>Cochilco BML anual (enc. 2021)</t>
        </is>
      </c>
      <c r="G323" s="9" t="n">
        <v>24.898361</v>
      </c>
    </row>
    <row r="324">
      <c r="A324" s="6" t="inlineStr">
        <is>
          <t>Plomo</t>
        </is>
      </c>
      <c r="B324" s="6" t="n">
        <v>2023</v>
      </c>
      <c r="C324" s="6" t="n">
        <v>2413.669625</v>
      </c>
      <c r="D324" s="6" t="n">
        <v>1291.189913</v>
      </c>
      <c r="E324" s="5" t="inlineStr">
        <is>
          <t>empalme</t>
        </is>
      </c>
      <c r="F324" s="5" t="inlineStr">
        <is>
          <t>Cochilco BML anual (enc. 2021)</t>
        </is>
      </c>
      <c r="G324" s="6" t="n">
        <v>24.898361</v>
      </c>
    </row>
    <row r="325">
      <c r="A325" s="9" t="inlineStr">
        <is>
          <t>Plomo</t>
        </is>
      </c>
      <c r="B325" s="9" t="n">
        <v>2024</v>
      </c>
      <c r="C325" s="9" t="n">
        <v>2340.615333</v>
      </c>
      <c r="D325" s="9" t="n">
        <v>1216.237417</v>
      </c>
      <c r="E325" s="8" t="inlineStr">
        <is>
          <t>empalme</t>
        </is>
      </c>
      <c r="F325" s="8" t="inlineStr">
        <is>
          <t>Cochilco BML anual (enc. 2021)</t>
        </is>
      </c>
      <c r="G325" s="9" t="n">
        <v>24.898361</v>
      </c>
    </row>
    <row r="326">
      <c r="A326" s="6" t="inlineStr">
        <is>
          <t>Plomo</t>
        </is>
      </c>
      <c r="B326" s="6" t="n">
        <v>2025</v>
      </c>
      <c r="C326" s="6" t="n">
        <v>2280.378909</v>
      </c>
      <c r="D326" s="6" t="n">
        <v>1152.563604</v>
      </c>
      <c r="E326" s="5" t="inlineStr">
        <is>
          <t>empalme</t>
        </is>
      </c>
      <c r="F326" s="5" t="inlineStr">
        <is>
          <t>Transferencia crecimiento precio NA MCS 2026 (enc. 2021)</t>
        </is>
      </c>
      <c r="G326" s="6" t="n">
        <v>24.898361</v>
      </c>
    </row>
    <row r="327">
      <c r="A327" s="9" t="inlineStr">
        <is>
          <t>Zinc</t>
        </is>
      </c>
      <c r="B327" s="9" t="n">
        <v>2023</v>
      </c>
      <c r="C327" s="9" t="n">
        <v>3184.841756</v>
      </c>
      <c r="D327" s="9" t="n">
        <v>1703.727597</v>
      </c>
      <c r="E327" s="8" t="inlineStr">
        <is>
          <t>empalme</t>
        </is>
      </c>
      <c r="F327" s="8" t="inlineStr">
        <is>
          <t>Cochilco BML anual (enc. 2022)</t>
        </is>
      </c>
      <c r="G327" s="9" t="n">
        <v>26.505357</v>
      </c>
    </row>
    <row r="328">
      <c r="A328" s="6" t="inlineStr">
        <is>
          <t>Zinc</t>
        </is>
      </c>
      <c r="B328" s="6" t="n">
        <v>2024</v>
      </c>
      <c r="C328" s="6" t="n">
        <v>3339.598536</v>
      </c>
      <c r="D328" s="6" t="n">
        <v>1735.332005</v>
      </c>
      <c r="E328" s="5" t="inlineStr">
        <is>
          <t>empalme</t>
        </is>
      </c>
      <c r="F328" s="5" t="inlineStr">
        <is>
          <t>Cochilco BML anual (enc. 2022)</t>
        </is>
      </c>
      <c r="G328" s="6" t="n">
        <v>26.505357</v>
      </c>
    </row>
    <row r="329">
      <c r="A329" s="9" t="inlineStr">
        <is>
          <t>Zinc</t>
        </is>
      </c>
      <c r="B329" s="9" t="n">
        <v>2025</v>
      </c>
      <c r="C329" s="9" t="n">
        <v>3445.696438</v>
      </c>
      <c r="D329" s="9" t="n">
        <v>1741.545796</v>
      </c>
      <c r="E329" s="8" t="inlineStr">
        <is>
          <t>empalme</t>
        </is>
      </c>
      <c r="F329" s="8" t="inlineStr">
        <is>
          <t>MCS 2026 LME cash 2025e (enc. 2022)</t>
        </is>
      </c>
      <c r="G329" s="9" t="n">
        <v>26.505357</v>
      </c>
    </row>
    <row r="330">
      <c r="A330" s="6" t="inlineStr">
        <is>
          <t>Barita</t>
        </is>
      </c>
      <c r="B330" s="6" t="n">
        <v>2020</v>
      </c>
      <c r="C330" s="6" t="n">
        <v>115.5251397</v>
      </c>
      <c r="D330" s="6" t="n">
        <v>72.75810443</v>
      </c>
      <c r="E330" s="5" t="inlineStr">
        <is>
          <t>empalme</t>
        </is>
      </c>
      <c r="F330" s="5" t="inlineStr">
        <is>
          <t>MCS 2024/2026 valor unitario molida ex-works (enc. 2019)</t>
        </is>
      </c>
      <c r="G330" s="6" t="n">
        <v>0.63128492</v>
      </c>
    </row>
    <row r="331">
      <c r="A331" s="9" t="inlineStr">
        <is>
          <t>Barita</t>
        </is>
      </c>
      <c r="B331" s="9" t="n">
        <v>2021</v>
      </c>
      <c r="C331" s="9" t="n">
        <v>105.424581</v>
      </c>
      <c r="D331" s="9" t="n">
        <v>63.41737721</v>
      </c>
      <c r="E331" s="8" t="inlineStr">
        <is>
          <t>empalme</t>
        </is>
      </c>
      <c r="F331" s="8" t="inlineStr">
        <is>
          <t>MCS 2024/2026 valor unitario molida ex-works (enc. 2019)</t>
        </is>
      </c>
      <c r="G331" s="9" t="n">
        <v>0.63128492</v>
      </c>
    </row>
    <row r="332">
      <c r="A332" s="6" t="inlineStr">
        <is>
          <t>Barita</t>
        </is>
      </c>
      <c r="B332" s="6" t="n">
        <v>2022</v>
      </c>
      <c r="C332" s="6" t="n">
        <v>91.53631285</v>
      </c>
      <c r="D332" s="6" t="n">
        <v>50.98296286</v>
      </c>
      <c r="E332" s="5" t="inlineStr">
        <is>
          <t>empalme</t>
        </is>
      </c>
      <c r="F332" s="5" t="inlineStr">
        <is>
          <t>MCS 2024/2026 valor unitario molida ex-works (enc. 2019)</t>
        </is>
      </c>
      <c r="G332" s="6" t="n">
        <v>0.63128492</v>
      </c>
    </row>
    <row r="333">
      <c r="A333" s="9" t="inlineStr">
        <is>
          <t>Barita</t>
        </is>
      </c>
      <c r="B333" s="9" t="n">
        <v>2023</v>
      </c>
      <c r="C333" s="9" t="n">
        <v>137.6201117</v>
      </c>
      <c r="D333" s="9" t="n">
        <v>73.61972751</v>
      </c>
      <c r="E333" s="8" t="inlineStr">
        <is>
          <t>empalme</t>
        </is>
      </c>
      <c r="F333" s="8" t="inlineStr">
        <is>
          <t>MCS 2024/2026 valor unitario molida ex-works (enc. 2019)</t>
        </is>
      </c>
      <c r="G333" s="9" t="n">
        <v>0.63128492</v>
      </c>
    </row>
    <row r="334">
      <c r="A334" s="6" t="inlineStr">
        <is>
          <t>Barita</t>
        </is>
      </c>
      <c r="B334" s="6" t="n">
        <v>2024</v>
      </c>
      <c r="C334" s="6" t="n">
        <v>132.5698324</v>
      </c>
      <c r="D334" s="6" t="n">
        <v>68.88632588999999</v>
      </c>
      <c r="E334" s="5" t="inlineStr">
        <is>
          <t>empalme</t>
        </is>
      </c>
      <c r="F334" s="5" t="inlineStr">
        <is>
          <t>MCS 2024/2026 valor unitario molida ex-works (enc. 2019)</t>
        </is>
      </c>
      <c r="G334" s="6" t="n">
        <v>0.63128492</v>
      </c>
    </row>
    <row r="335">
      <c r="A335" s="9" t="inlineStr">
        <is>
          <t>Barita</t>
        </is>
      </c>
      <c r="B335" s="9" t="n">
        <v>2025</v>
      </c>
      <c r="C335" s="9" t="n">
        <v>132.5698324</v>
      </c>
      <c r="D335" s="9" t="n">
        <v>67.00428737999999</v>
      </c>
      <c r="E335" s="8" t="inlineStr">
        <is>
          <t>empalme</t>
        </is>
      </c>
      <c r="F335" s="8" t="inlineStr">
        <is>
          <t>MCS 2024/2026 valor unitario molida ex-works (enc. 2019)</t>
        </is>
      </c>
      <c r="G335" s="9" t="n">
        <v>0.63128492</v>
      </c>
    </row>
    <row r="336">
      <c r="A336" s="6" t="inlineStr">
        <is>
          <t>Grafito</t>
        </is>
      </c>
      <c r="B336" s="6" t="n">
        <v>2023</v>
      </c>
      <c r="C336" s="6" t="n">
        <v>1881</v>
      </c>
      <c r="D336" s="6" t="n">
        <v>1006.238883</v>
      </c>
      <c r="E336" s="5" t="inlineStr">
        <is>
          <t>empalme</t>
        </is>
      </c>
      <c r="F336" s="5" t="inlineStr">
        <is>
          <t>MCS 2026 valor unitario imports flake (enc. 2022)</t>
        </is>
      </c>
      <c r="G336" s="6" t="n">
        <v>1.7416667</v>
      </c>
    </row>
    <row r="337">
      <c r="A337" s="9" t="inlineStr">
        <is>
          <t>Grafito</t>
        </is>
      </c>
      <c r="B337" s="9" t="n">
        <v>2024</v>
      </c>
      <c r="C337" s="9" t="n">
        <v>1828.75</v>
      </c>
      <c r="D337" s="9" t="n">
        <v>950.260449</v>
      </c>
      <c r="E337" s="8" t="inlineStr">
        <is>
          <t>empalme</t>
        </is>
      </c>
      <c r="F337" s="8" t="inlineStr">
        <is>
          <t>MCS 2026 valor unitario imports flake (enc. 2022)</t>
        </is>
      </c>
      <c r="G337" s="9" t="n">
        <v>1.7416667</v>
      </c>
    </row>
    <row r="338">
      <c r="A338" s="6" t="inlineStr">
        <is>
          <t>Grafito</t>
        </is>
      </c>
      <c r="B338" s="6" t="n">
        <v>2025</v>
      </c>
      <c r="C338" s="6" t="n">
        <v>1741.666667</v>
      </c>
      <c r="D338" s="6" t="n">
        <v>880.2842376999999</v>
      </c>
      <c r="E338" s="5" t="inlineStr">
        <is>
          <t>empalme</t>
        </is>
      </c>
      <c r="F338" s="5" t="inlineStr">
        <is>
          <t>MCS 2026 valor unitario imports flake (enc. 2022)</t>
        </is>
      </c>
      <c r="G338" s="6" t="n">
        <v>1.7416667</v>
      </c>
    </row>
    <row r="339">
      <c r="A339" s="9" t="inlineStr">
        <is>
          <t>Manganeso</t>
        </is>
      </c>
      <c r="B339" s="9" t="n">
        <v>2023</v>
      </c>
      <c r="C339" s="9" t="n">
        <v>1608.040201</v>
      </c>
      <c r="D339" s="9" t="n">
        <v>860.2193381</v>
      </c>
      <c r="E339" s="8" t="inlineStr">
        <is>
          <t>empalme</t>
        </is>
      </c>
      <c r="F339" s="8" t="inlineStr">
        <is>
          <t>MCS 2026 precio CIF China USD/mtu (enc. 2022)</t>
        </is>
      </c>
      <c r="G339" s="9" t="n">
        <v>335.00838</v>
      </c>
    </row>
    <row r="340">
      <c r="A340" s="6" t="inlineStr">
        <is>
          <t>Manganeso</t>
        </is>
      </c>
      <c r="B340" s="6" t="n">
        <v>2024</v>
      </c>
      <c r="C340" s="6" t="n">
        <v>1852.596315</v>
      </c>
      <c r="D340" s="6" t="n">
        <v>962.6515413</v>
      </c>
      <c r="E340" s="5" t="inlineStr">
        <is>
          <t>empalme</t>
        </is>
      </c>
      <c r="F340" s="5" t="inlineStr">
        <is>
          <t>MCS 2026 precio CIF China USD/mtu (enc. 2022)</t>
        </is>
      </c>
      <c r="G340" s="6" t="n">
        <v>335.00838</v>
      </c>
    </row>
    <row r="341">
      <c r="A341" s="9" t="inlineStr">
        <is>
          <t>Manganeso</t>
        </is>
      </c>
      <c r="B341" s="9" t="n">
        <v>2025</v>
      </c>
      <c r="C341" s="9" t="n">
        <v>1507.537688</v>
      </c>
      <c r="D341" s="9" t="n">
        <v>761.9492813000001</v>
      </c>
      <c r="E341" s="8" t="inlineStr">
        <is>
          <t>empalme</t>
        </is>
      </c>
      <c r="F341" s="8" t="inlineStr">
        <is>
          <t>MCS 2026 precio CIF China USD/mtu (enc. 2022)</t>
        </is>
      </c>
      <c r="G341" s="9" t="n">
        <v>335.00838</v>
      </c>
    </row>
    <row r="342">
      <c r="A342" s="6" t="inlineStr">
        <is>
          <t>Silice</t>
        </is>
      </c>
      <c r="B342" s="6" t="n">
        <v>2023</v>
      </c>
      <c r="C342" s="6" t="n">
        <v>42.80550661</v>
      </c>
      <c r="D342" s="6" t="n">
        <v>22.89875871</v>
      </c>
      <c r="E342" s="5" t="inlineStr">
        <is>
          <t>empalme</t>
        </is>
      </c>
      <c r="F342" s="5" t="inlineStr">
        <is>
          <t>MCS 2026 valor promedio produccion (enc. 2022)</t>
        </is>
      </c>
      <c r="G342" s="6" t="n">
        <v>0.99779736</v>
      </c>
    </row>
    <row r="343">
      <c r="A343" s="9" t="inlineStr">
        <is>
          <t>Silice</t>
        </is>
      </c>
      <c r="B343" s="9" t="n">
        <v>2024</v>
      </c>
      <c r="C343" s="9" t="n">
        <v>40.80991189</v>
      </c>
      <c r="D343" s="9" t="n">
        <v>21.20576634</v>
      </c>
      <c r="E343" s="8" t="inlineStr">
        <is>
          <t>empalme</t>
        </is>
      </c>
      <c r="F343" s="8" t="inlineStr">
        <is>
          <t>MCS 2026 valor promedio produccion (enc. 2022)</t>
        </is>
      </c>
      <c r="G343" s="9" t="n">
        <v>0.99779736</v>
      </c>
    </row>
    <row r="344">
      <c r="A344" s="6" t="inlineStr">
        <is>
          <t>Silice</t>
        </is>
      </c>
      <c r="B344" s="6" t="n">
        <v>2025</v>
      </c>
      <c r="C344" s="6" t="n">
        <v>35.92070485</v>
      </c>
      <c r="D344" s="6" t="n">
        <v>18.15527098</v>
      </c>
      <c r="E344" s="5" t="inlineStr">
        <is>
          <t>empalme</t>
        </is>
      </c>
      <c r="F344" s="5" t="inlineStr">
        <is>
          <t>MCS 2026 valor promedio produccion (enc. 2022)</t>
        </is>
      </c>
      <c r="G344" s="6" t="n">
        <v>0.99779736</v>
      </c>
    </row>
    <row r="345">
      <c r="A345" s="9" t="inlineStr">
        <is>
          <t>Fluorita</t>
        </is>
      </c>
      <c r="B345" s="9" t="n">
        <v>2007</v>
      </c>
      <c r="C345" s="9" t="n">
        <v>179.4462702</v>
      </c>
      <c r="D345" s="9" t="n">
        <v>141.0700294</v>
      </c>
      <c r="E345" s="8" t="inlineStr">
        <is>
          <t>empalme</t>
        </is>
      </c>
      <c r="F345" s="8" t="inlineStr">
        <is>
          <t>MYB T1 valor unitario total imports CIF (enc. 2006)</t>
        </is>
      </c>
      <c r="G345" s="9" t="n">
        <v>1.0023125</v>
      </c>
    </row>
    <row r="346">
      <c r="A346" s="6" t="inlineStr">
        <is>
          <t>Fluorita</t>
        </is>
      </c>
      <c r="B346" s="6" t="n">
        <v>2008</v>
      </c>
      <c r="C346" s="6" t="n">
        <v>233.0551792</v>
      </c>
      <c r="D346" s="6" t="n">
        <v>176.4396883</v>
      </c>
      <c r="E346" s="5" t="inlineStr">
        <is>
          <t>empalme</t>
        </is>
      </c>
      <c r="F346" s="5" t="inlineStr">
        <is>
          <t>MYB T1 valor unitario total imports CIF (enc. 2006)</t>
        </is>
      </c>
      <c r="G346" s="6" t="n">
        <v>1.0023125</v>
      </c>
    </row>
    <row r="347">
      <c r="A347" s="9" t="inlineStr">
        <is>
          <t>Fluorita</t>
        </is>
      </c>
      <c r="B347" s="9" t="n">
        <v>2009</v>
      </c>
      <c r="C347" s="9" t="n">
        <v>221.5638158</v>
      </c>
      <c r="D347" s="9" t="n">
        <v>168.3388039</v>
      </c>
      <c r="E347" s="8" t="inlineStr">
        <is>
          <t>empalme</t>
        </is>
      </c>
      <c r="F347" s="8" t="inlineStr">
        <is>
          <t>MYB T1 valor unitario total imports CIF (enc. 2006)</t>
        </is>
      </c>
      <c r="G347" s="9" t="n">
        <v>1.0023125</v>
      </c>
    </row>
    <row r="348">
      <c r="A348" s="6" t="inlineStr">
        <is>
          <t>Fluorita</t>
        </is>
      </c>
      <c r="B348" s="6" t="n">
        <v>2010</v>
      </c>
      <c r="C348" s="6" t="n">
        <v>191.536526</v>
      </c>
      <c r="D348" s="6" t="n">
        <v>143.1763113</v>
      </c>
      <c r="E348" s="5" t="inlineStr">
        <is>
          <t>empalme</t>
        </is>
      </c>
      <c r="F348" s="5" t="inlineStr">
        <is>
          <t>MYB T1 valor unitario total imports CIF (enc. 2006)</t>
        </is>
      </c>
      <c r="G348" s="6" t="n">
        <v>1.0023125</v>
      </c>
    </row>
    <row r="349">
      <c r="A349" s="9" t="inlineStr">
        <is>
          <t>Fluorita</t>
        </is>
      </c>
      <c r="B349" s="9" t="n">
        <v>2011</v>
      </c>
      <c r="C349" s="9" t="n">
        <v>212.3192916</v>
      </c>
      <c r="D349" s="9" t="n">
        <v>153.8552431</v>
      </c>
      <c r="E349" s="8" t="inlineStr">
        <is>
          <t>empalme</t>
        </is>
      </c>
      <c r="F349" s="8" t="inlineStr">
        <is>
          <t>MYB T1 valor unitario total imports CIF (enc. 2006)</t>
        </is>
      </c>
      <c r="G349" s="9" t="n">
        <v>1.0023125</v>
      </c>
    </row>
    <row r="350">
      <c r="A350" s="6" t="inlineStr">
        <is>
          <t>Fluorita</t>
        </is>
      </c>
      <c r="B350" s="6" t="n">
        <v>2012</v>
      </c>
      <c r="C350" s="6" t="n">
        <v>253.8113911</v>
      </c>
      <c r="D350" s="6" t="n">
        <v>180.1931094</v>
      </c>
      <c r="E350" s="5" t="inlineStr">
        <is>
          <t>empalme</t>
        </is>
      </c>
      <c r="F350" s="5" t="inlineStr">
        <is>
          <t>MYB T1 valor unitario total imports CIF (enc. 2006)</t>
        </is>
      </c>
      <c r="G350" s="6" t="n">
        <v>1.0023125</v>
      </c>
    </row>
    <row r="351">
      <c r="A351" s="9" t="inlineStr">
        <is>
          <t>Fluorita</t>
        </is>
      </c>
      <c r="B351" s="9" t="n">
        <v>2013</v>
      </c>
      <c r="C351" s="9" t="n">
        <v>229.1445373</v>
      </c>
      <c r="D351" s="9" t="n">
        <v>160.3324201</v>
      </c>
      <c r="E351" s="8" t="inlineStr">
        <is>
          <t>empalme</t>
        </is>
      </c>
      <c r="F351" s="8" t="inlineStr">
        <is>
          <t>MYB T1 valor unitario total imports CIF (enc. 2006)</t>
        </is>
      </c>
      <c r="G351" s="9" t="n">
        <v>1.0023125</v>
      </c>
    </row>
    <row r="352">
      <c r="A352" s="6" t="inlineStr">
        <is>
          <t>Fluorita</t>
        </is>
      </c>
      <c r="B352" s="6" t="n">
        <v>2014</v>
      </c>
      <c r="C352" s="6" t="n">
        <v>254.209692</v>
      </c>
      <c r="D352" s="6" t="n">
        <v>175.0311731</v>
      </c>
      <c r="E352" s="5" t="inlineStr">
        <is>
          <t>empalme</t>
        </is>
      </c>
      <c r="F352" s="5" t="inlineStr">
        <is>
          <t>MYB T1 valor unitario total imports CIF (enc. 2006)</t>
        </is>
      </c>
      <c r="G352" s="6" t="n">
        <v>1.0023125</v>
      </c>
    </row>
    <row r="353">
      <c r="A353" s="9" t="inlineStr">
        <is>
          <t>Fluorita</t>
        </is>
      </c>
      <c r="B353" s="9" t="n">
        <v>2015</v>
      </c>
      <c r="C353" s="9" t="n">
        <v>285.2325465</v>
      </c>
      <c r="D353" s="9" t="n">
        <v>196.1585249</v>
      </c>
      <c r="E353" s="8" t="inlineStr">
        <is>
          <t>empalme</t>
        </is>
      </c>
      <c r="F353" s="8" t="inlineStr">
        <is>
          <t>MYB T1 valor unitario total imports CIF (enc. 2006)</t>
        </is>
      </c>
      <c r="G353" s="9" t="n">
        <v>1.0023125</v>
      </c>
    </row>
    <row r="354">
      <c r="A354" s="6" t="inlineStr">
        <is>
          <t>Fluorita</t>
        </is>
      </c>
      <c r="B354" s="6" t="n">
        <v>2016</v>
      </c>
      <c r="C354" s="6" t="n">
        <v>255.3870968</v>
      </c>
      <c r="D354" s="6" t="n">
        <v>173.4453444</v>
      </c>
      <c r="E354" s="5" t="inlineStr">
        <is>
          <t>empalme</t>
        </is>
      </c>
      <c r="F354" s="5" t="inlineStr">
        <is>
          <t>MCS valor unitario imports grado acido CIF (enc. 2006)</t>
        </is>
      </c>
      <c r="G354" s="6" t="n">
        <v>0.93548387</v>
      </c>
    </row>
    <row r="355">
      <c r="A355" s="9" t="inlineStr">
        <is>
          <t>Fluorita</t>
        </is>
      </c>
      <c r="B355" s="9" t="n">
        <v>2017</v>
      </c>
      <c r="C355" s="9" t="n">
        <v>249.7741935</v>
      </c>
      <c r="D355" s="9" t="n">
        <v>166.0949476</v>
      </c>
      <c r="E355" s="8" t="inlineStr">
        <is>
          <t>empalme</t>
        </is>
      </c>
      <c r="F355" s="8" t="inlineStr">
        <is>
          <t>MCS valor unitario imports grado acido CIF (enc. 2006)</t>
        </is>
      </c>
      <c r="G355" s="9" t="n">
        <v>0.93548387</v>
      </c>
    </row>
    <row r="356">
      <c r="A356" s="6" t="inlineStr">
        <is>
          <t>Fluorita</t>
        </is>
      </c>
      <c r="B356" s="6" t="n">
        <v>2018</v>
      </c>
      <c r="C356" s="6" t="n">
        <v>258.1935484</v>
      </c>
      <c r="D356" s="6" t="n">
        <v>167.6000605</v>
      </c>
      <c r="E356" s="5" t="inlineStr">
        <is>
          <t>empalme</t>
        </is>
      </c>
      <c r="F356" s="5" t="inlineStr">
        <is>
          <t>MCS valor unitario imports grado acido CIF (enc. 2006)</t>
        </is>
      </c>
      <c r="G356" s="6" t="n">
        <v>0.93548387</v>
      </c>
    </row>
    <row r="357">
      <c r="A357" s="9" t="inlineStr">
        <is>
          <t>Fluorita</t>
        </is>
      </c>
      <c r="B357" s="9" t="n">
        <v>2019</v>
      </c>
      <c r="C357" s="9" t="n">
        <v>303.0967742</v>
      </c>
      <c r="D357" s="9" t="n">
        <v>193.2463191</v>
      </c>
      <c r="E357" s="8" t="inlineStr">
        <is>
          <t>empalme</t>
        </is>
      </c>
      <c r="F357" s="8" t="inlineStr">
        <is>
          <t>MCS valor unitario imports grado acido CIF (enc. 2006)</t>
        </is>
      </c>
      <c r="G357" s="9" t="n">
        <v>0.93548387</v>
      </c>
    </row>
    <row r="358">
      <c r="A358" s="6" t="inlineStr">
        <is>
          <t>Fluorita</t>
        </is>
      </c>
      <c r="B358" s="6" t="n">
        <v>2020</v>
      </c>
      <c r="C358" s="6" t="n">
        <v>299.3548387</v>
      </c>
      <c r="D358" s="6" t="n">
        <v>188.53464</v>
      </c>
      <c r="E358" s="5" t="inlineStr">
        <is>
          <t>empalme</t>
        </is>
      </c>
      <c r="F358" s="5" t="inlineStr">
        <is>
          <t>MCS valor unitario imports grado acido CIF (enc. 2006)</t>
        </is>
      </c>
      <c r="G358" s="6" t="n">
        <v>0.93548387</v>
      </c>
    </row>
    <row r="359">
      <c r="A359" s="9" t="inlineStr">
        <is>
          <t>Fluorita</t>
        </is>
      </c>
      <c r="B359" s="9" t="n">
        <v>2021</v>
      </c>
      <c r="C359" s="9" t="n">
        <v>301.2258065</v>
      </c>
      <c r="D359" s="9" t="n">
        <v>181.2001567</v>
      </c>
      <c r="E359" s="8" t="inlineStr">
        <is>
          <t>empalme</t>
        </is>
      </c>
      <c r="F359" s="8" t="inlineStr">
        <is>
          <t>MCS valor unitario imports grado acido CIF (enc. 2006)</t>
        </is>
      </c>
      <c r="G359" s="9" t="n">
        <v>0.93548387</v>
      </c>
    </row>
    <row r="360">
      <c r="A360" s="6" t="inlineStr">
        <is>
          <t>Fluorita</t>
        </is>
      </c>
      <c r="B360" s="6" t="n">
        <v>2022</v>
      </c>
      <c r="C360" s="6" t="n">
        <v>362.0322581</v>
      </c>
      <c r="D360" s="6" t="n">
        <v>201.6410383</v>
      </c>
      <c r="E360" s="5" t="inlineStr">
        <is>
          <t>empalme</t>
        </is>
      </c>
      <c r="F360" s="5" t="inlineStr">
        <is>
          <t>MCS valor unitario imports grado acido CIF (enc. 2006)</t>
        </is>
      </c>
      <c r="G360" s="6" t="n">
        <v>0.93548387</v>
      </c>
    </row>
    <row r="361">
      <c r="A361" s="9" t="inlineStr">
        <is>
          <t>Fluorita</t>
        </is>
      </c>
      <c r="B361" s="9" t="n">
        <v>2023</v>
      </c>
      <c r="C361" s="9" t="n">
        <v>400.3870968</v>
      </c>
      <c r="D361" s="9" t="n">
        <v>214.1866374</v>
      </c>
      <c r="E361" s="8" t="inlineStr">
        <is>
          <t>empalme</t>
        </is>
      </c>
      <c r="F361" s="8" t="inlineStr">
        <is>
          <t>MCS valor unitario imports grado acido CIF (enc. 2006)</t>
        </is>
      </c>
      <c r="G361" s="9" t="n">
        <v>0.93548387</v>
      </c>
    </row>
    <row r="362">
      <c r="A362" s="6" t="inlineStr">
        <is>
          <t>Fluorita</t>
        </is>
      </c>
      <c r="B362" s="6" t="n">
        <v>2024</v>
      </c>
      <c r="C362" s="6" t="n">
        <v>434.0645161</v>
      </c>
      <c r="D362" s="6" t="n">
        <v>225.5498794</v>
      </c>
      <c r="E362" s="5" t="inlineStr">
        <is>
          <t>empalme</t>
        </is>
      </c>
      <c r="F362" s="5" t="inlineStr">
        <is>
          <t>MCS valor unitario imports grado acido CIF (enc. 2006)</t>
        </is>
      </c>
      <c r="G362" s="6" t="n">
        <v>0.93548387</v>
      </c>
    </row>
    <row r="363">
      <c r="A363" s="9" t="inlineStr">
        <is>
          <t>Fluorita</t>
        </is>
      </c>
      <c r="B363" s="9" t="n">
        <v>2025</v>
      </c>
      <c r="C363" s="9" t="n">
        <v>439.6774194</v>
      </c>
      <c r="D363" s="9" t="n">
        <v>222.2245561</v>
      </c>
      <c r="E363" s="8" t="inlineStr">
        <is>
          <t>empalme</t>
        </is>
      </c>
      <c r="F363" s="8" t="inlineStr">
        <is>
          <t>MCS valor unitario imports grado acido CIF (enc. 2006)</t>
        </is>
      </c>
      <c r="G363" s="9" t="n">
        <v>0.93548387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3" customWidth="1" min="4" max="4"/>
    <col width="16" customWidth="1" min="5" max="5"/>
    <col width="16" customWidth="1" min="6" max="6"/>
    <col width="13" customWidth="1" min="7" max="7"/>
  </cols>
  <sheetData>
    <row r="1" ht="24" customHeight="1">
      <c r="A1" s="1" t="inlineStr">
        <is>
          <t>Peso del bloque - valor de produccion (1992-2022)</t>
        </is>
      </c>
    </row>
    <row r="2" ht="40" customHeight="1">
      <c r="A2" s="2" t="inlineStr">
        <is>
          <t>valor_prod = vol_t x precio_usd_t. share_bloque = valor_prod / (suma del bloque ese anio) x 100. Columnas verdes recomputan ambas con formula de Excel (SUMIFS por anio) y su diferencia vs script. Nota: 'precio_usd_t' se muestra redondeado a 1 decimal, por lo que 'dif valor' puede mostrar diferencias &lt;0.02% (redondeo de despliegue, no error); el share cuadra exacto.</t>
        </is>
      </c>
    </row>
    <row r="3">
      <c r="A3" s="3" t="inlineStr">
        <is>
          <t>anio</t>
        </is>
      </c>
      <c r="B3" s="3" t="inlineStr">
        <is>
          <t>mineral</t>
        </is>
      </c>
      <c r="C3" s="3" t="inlineStr">
        <is>
          <t>vol_t</t>
        </is>
      </c>
      <c r="D3" s="3" t="inlineStr">
        <is>
          <t>precio_usd_t</t>
        </is>
      </c>
      <c r="E3" s="3" t="inlineStr">
        <is>
          <t>valor_prod_usd</t>
        </is>
      </c>
      <c r="F3" s="3" t="inlineStr">
        <is>
          <t>share_bloque_pct</t>
        </is>
      </c>
      <c r="G3" s="3" t="inlineStr">
        <is>
          <t>anio_completo</t>
        </is>
      </c>
      <c r="H3" s="10" t="inlineStr">
        <is>
          <t>valor_prod (=formula)</t>
        </is>
      </c>
      <c r="I3" s="10" t="inlineStr">
        <is>
          <t>dif valor</t>
        </is>
      </c>
      <c r="J3" s="10" t="inlineStr">
        <is>
          <t>share_bloque (=formula) %</t>
        </is>
      </c>
      <c r="K3" s="10" t="inlineStr">
        <is>
          <t>dif share</t>
        </is>
      </c>
    </row>
    <row r="4">
      <c r="A4" s="6" t="n">
        <v>1992</v>
      </c>
      <c r="B4" s="6" t="inlineStr">
        <is>
          <t>barita</t>
        </is>
      </c>
      <c r="C4" s="6" t="n">
        <v>188000</v>
      </c>
      <c r="D4" s="6" t="n">
        <v>51.8</v>
      </c>
      <c r="E4" s="6" t="n">
        <v>9738400</v>
      </c>
      <c r="F4" s="6" t="n">
        <v>0.5600000000000001</v>
      </c>
      <c r="G4" s="6" t="inlineStr">
        <is>
          <t>si</t>
        </is>
      </c>
      <c r="H4" s="11">
        <f>C4*D4</f>
        <v/>
      </c>
      <c r="I4" s="11">
        <f>ROUND(H4-E4,0)</f>
        <v/>
      </c>
      <c r="J4" s="11">
        <f>ROUND(E4/SUMIFS($E$4:$E$313,$A$4:$A$313,A4)*100,2)</f>
        <v/>
      </c>
      <c r="K4" s="11">
        <f>ROUND(J4-F4,2)</f>
        <v/>
      </c>
    </row>
    <row r="5">
      <c r="A5" s="9" t="n">
        <v>1993</v>
      </c>
      <c r="B5" s="9" t="inlineStr">
        <is>
          <t>barita</t>
        </is>
      </c>
      <c r="C5" s="9" t="n">
        <v>136000</v>
      </c>
      <c r="D5" s="9" t="n">
        <v>45.8</v>
      </c>
      <c r="E5" s="9" t="n">
        <v>6228800</v>
      </c>
      <c r="F5" s="9" t="n">
        <v>0.38</v>
      </c>
      <c r="G5" s="9" t="inlineStr">
        <is>
          <t>si</t>
        </is>
      </c>
      <c r="H5" s="11">
        <f>C5*D5</f>
        <v/>
      </c>
      <c r="I5" s="11">
        <f>ROUND(H5-E5,0)</f>
        <v/>
      </c>
      <c r="J5" s="11">
        <f>ROUND(E5/SUMIFS($E$4:$E$313,$A$4:$A$313,A5)*100,2)</f>
        <v/>
      </c>
      <c r="K5" s="11">
        <f>ROUND(J5-F5,2)</f>
        <v/>
      </c>
    </row>
    <row r="6">
      <c r="A6" s="6" t="n">
        <v>1994</v>
      </c>
      <c r="B6" s="6" t="inlineStr">
        <is>
          <t>barita</t>
        </is>
      </c>
      <c r="C6" s="6" t="n">
        <v>86605</v>
      </c>
      <c r="D6" s="6" t="n">
        <v>38.8</v>
      </c>
      <c r="E6" s="6" t="n">
        <v>3360274</v>
      </c>
      <c r="F6" s="6" t="n">
        <v>0.17</v>
      </c>
      <c r="G6" s="6" t="inlineStr">
        <is>
          <t>si</t>
        </is>
      </c>
      <c r="H6" s="11">
        <f>C6*D6</f>
        <v/>
      </c>
      <c r="I6" s="11">
        <f>ROUND(H6-E6,0)</f>
        <v/>
      </c>
      <c r="J6" s="11">
        <f>ROUND(E6/SUMIFS($E$4:$E$313,$A$4:$A$313,A6)*100,2)</f>
        <v/>
      </c>
      <c r="K6" s="11">
        <f>ROUND(J6-F6,2)</f>
        <v/>
      </c>
    </row>
    <row r="7">
      <c r="A7" s="9" t="n">
        <v>1995</v>
      </c>
      <c r="B7" s="9" t="inlineStr">
        <is>
          <t>barita</t>
        </is>
      </c>
      <c r="C7" s="9" t="n">
        <v>248367</v>
      </c>
      <c r="D7" s="9" t="n">
        <v>42.9</v>
      </c>
      <c r="E7" s="9" t="n">
        <v>10654944</v>
      </c>
      <c r="F7" s="9" t="n">
        <v>0.43</v>
      </c>
      <c r="G7" s="9" t="inlineStr">
        <is>
          <t>si</t>
        </is>
      </c>
      <c r="H7" s="11">
        <f>C7*D7</f>
        <v/>
      </c>
      <c r="I7" s="11">
        <f>ROUND(H7-E7,0)</f>
        <v/>
      </c>
      <c r="J7" s="11">
        <f>ROUND(E7/SUMIFS($E$4:$E$313,$A$4:$A$313,A7)*100,2)</f>
        <v/>
      </c>
      <c r="K7" s="11">
        <f>ROUND(J7-F7,2)</f>
        <v/>
      </c>
    </row>
    <row r="8">
      <c r="A8" s="6" t="n">
        <v>1996</v>
      </c>
      <c r="B8" s="6" t="inlineStr">
        <is>
          <t>barita</t>
        </is>
      </c>
      <c r="C8" s="6" t="n">
        <v>470028</v>
      </c>
      <c r="D8" s="6" t="n">
        <v>42.7</v>
      </c>
      <c r="E8" s="6" t="n">
        <v>20070196</v>
      </c>
      <c r="F8" s="6" t="n">
        <v>0.83</v>
      </c>
      <c r="G8" s="6" t="inlineStr">
        <is>
          <t>si</t>
        </is>
      </c>
      <c r="H8" s="11">
        <f>C8*D8</f>
        <v/>
      </c>
      <c r="I8" s="11">
        <f>ROUND(H8-E8,0)</f>
        <v/>
      </c>
      <c r="J8" s="11">
        <f>ROUND(E8/SUMIFS($E$4:$E$313,$A$4:$A$313,A8)*100,2)</f>
        <v/>
      </c>
      <c r="K8" s="11">
        <f>ROUND(J8-F8,2)</f>
        <v/>
      </c>
    </row>
    <row r="9">
      <c r="A9" s="9" t="n">
        <v>1997</v>
      </c>
      <c r="B9" s="9" t="inlineStr">
        <is>
          <t>barita</t>
        </is>
      </c>
      <c r="C9" s="9" t="n">
        <v>236606</v>
      </c>
      <c r="D9" s="9" t="n">
        <v>46.2</v>
      </c>
      <c r="E9" s="9" t="n">
        <v>10931197</v>
      </c>
      <c r="F9" s="9" t="n">
        <v>0.42</v>
      </c>
      <c r="G9" s="9" t="inlineStr">
        <is>
          <t>si</t>
        </is>
      </c>
      <c r="H9" s="11">
        <f>C9*D9</f>
        <v/>
      </c>
      <c r="I9" s="11">
        <f>ROUND(H9-E9,0)</f>
        <v/>
      </c>
      <c r="J9" s="11">
        <f>ROUND(E9/SUMIFS($E$4:$E$313,$A$4:$A$313,A9)*100,2)</f>
        <v/>
      </c>
      <c r="K9" s="11">
        <f>ROUND(J9-F9,2)</f>
        <v/>
      </c>
    </row>
    <row r="10">
      <c r="A10" s="6" t="n">
        <v>1998</v>
      </c>
      <c r="B10" s="6" t="inlineStr">
        <is>
          <t>barita</t>
        </is>
      </c>
      <c r="C10" s="6" t="n">
        <v>161555</v>
      </c>
      <c r="D10" s="6" t="n">
        <v>57.1</v>
      </c>
      <c r="E10" s="6" t="n">
        <v>9224790</v>
      </c>
      <c r="F10" s="6" t="n">
        <v>0.41</v>
      </c>
      <c r="G10" s="6" t="inlineStr">
        <is>
          <t>si</t>
        </is>
      </c>
      <c r="H10" s="11">
        <f>C10*D10</f>
        <v/>
      </c>
      <c r="I10" s="11">
        <f>ROUND(H10-E10,0)</f>
        <v/>
      </c>
      <c r="J10" s="11">
        <f>ROUND(E10/SUMIFS($E$4:$E$313,$A$4:$A$313,A10)*100,2)</f>
        <v/>
      </c>
      <c r="K10" s="11">
        <f>ROUND(J10-F10,2)</f>
        <v/>
      </c>
    </row>
    <row r="11">
      <c r="A11" s="9" t="n">
        <v>1999</v>
      </c>
      <c r="B11" s="9" t="inlineStr">
        <is>
          <t>barita</t>
        </is>
      </c>
      <c r="C11" s="9" t="n">
        <v>157953</v>
      </c>
      <c r="D11" s="9" t="n">
        <v>52.5</v>
      </c>
      <c r="E11" s="9" t="n">
        <v>8292532</v>
      </c>
      <c r="F11" s="9" t="n">
        <v>0.41</v>
      </c>
      <c r="G11" s="9" t="inlineStr">
        <is>
          <t>si</t>
        </is>
      </c>
      <c r="H11" s="11">
        <f>C11*D11</f>
        <v/>
      </c>
      <c r="I11" s="11">
        <f>ROUND(H11-E11,0)</f>
        <v/>
      </c>
      <c r="J11" s="11">
        <f>ROUND(E11/SUMIFS($E$4:$E$313,$A$4:$A$313,A11)*100,2)</f>
        <v/>
      </c>
      <c r="K11" s="11">
        <f>ROUND(J11-F11,2)</f>
        <v/>
      </c>
    </row>
    <row r="12">
      <c r="A12" s="6" t="n">
        <v>2000</v>
      </c>
      <c r="B12" s="6" t="inlineStr">
        <is>
          <t>barita</t>
        </is>
      </c>
      <c r="C12" s="6" t="n">
        <v>127420</v>
      </c>
      <c r="D12" s="6" t="n">
        <v>46.3</v>
      </c>
      <c r="E12" s="6" t="n">
        <v>5899546</v>
      </c>
      <c r="F12" s="6" t="n">
        <v>0.27</v>
      </c>
      <c r="G12" s="6" t="inlineStr">
        <is>
          <t>si</t>
        </is>
      </c>
      <c r="H12" s="11">
        <f>C12*D12</f>
        <v/>
      </c>
      <c r="I12" s="11">
        <f>ROUND(H12-E12,0)</f>
        <v/>
      </c>
      <c r="J12" s="11">
        <f>ROUND(E12/SUMIFS($E$4:$E$313,$A$4:$A$313,A12)*100,2)</f>
        <v/>
      </c>
      <c r="K12" s="11">
        <f>ROUND(J12-F12,2)</f>
        <v/>
      </c>
    </row>
    <row r="13">
      <c r="A13" s="9" t="n">
        <v>2001</v>
      </c>
      <c r="B13" s="9" t="inlineStr">
        <is>
          <t>barita</t>
        </is>
      </c>
      <c r="C13" s="9" t="n">
        <v>142017</v>
      </c>
      <c r="D13" s="9" t="n">
        <v>45.4</v>
      </c>
      <c r="E13" s="9" t="n">
        <v>6447572</v>
      </c>
      <c r="F13" s="9" t="n">
        <v>0.33</v>
      </c>
      <c r="G13" s="9" t="inlineStr">
        <is>
          <t>si</t>
        </is>
      </c>
      <c r="H13" s="11">
        <f>C13*D13</f>
        <v/>
      </c>
      <c r="I13" s="11">
        <f>ROUND(H13-E13,0)</f>
        <v/>
      </c>
      <c r="J13" s="11">
        <f>ROUND(E13/SUMIFS($E$4:$E$313,$A$4:$A$313,A13)*100,2)</f>
        <v/>
      </c>
      <c r="K13" s="11">
        <f>ROUND(J13-F13,2)</f>
        <v/>
      </c>
    </row>
    <row r="14">
      <c r="A14" s="6" t="n">
        <v>2002</v>
      </c>
      <c r="B14" s="6" t="inlineStr">
        <is>
          <t>barita</t>
        </is>
      </c>
      <c r="C14" s="6" t="n">
        <v>163620</v>
      </c>
      <c r="D14" s="6" t="n">
        <v>46.6</v>
      </c>
      <c r="E14" s="6" t="n">
        <v>7624692</v>
      </c>
      <c r="F14" s="6" t="n">
        <v>0.41</v>
      </c>
      <c r="G14" s="6" t="inlineStr">
        <is>
          <t>si</t>
        </is>
      </c>
      <c r="H14" s="11">
        <f>C14*D14</f>
        <v/>
      </c>
      <c r="I14" s="11">
        <f>ROUND(H14-E14,0)</f>
        <v/>
      </c>
      <c r="J14" s="11">
        <f>ROUND(E14/SUMIFS($E$4:$E$313,$A$4:$A$313,A14)*100,2)</f>
        <v/>
      </c>
      <c r="K14" s="11">
        <f>ROUND(J14-F14,2)</f>
        <v/>
      </c>
    </row>
    <row r="15">
      <c r="A15" s="9" t="n">
        <v>2003</v>
      </c>
      <c r="B15" s="9" t="inlineStr">
        <is>
          <t>barita</t>
        </is>
      </c>
      <c r="C15" s="9" t="n">
        <v>287451</v>
      </c>
      <c r="D15" s="9" t="n">
        <v>45.6</v>
      </c>
      <c r="E15" s="9" t="n">
        <v>13107766</v>
      </c>
      <c r="F15" s="9" t="n">
        <v>0.64</v>
      </c>
      <c r="G15" s="9" t="inlineStr">
        <is>
          <t>si</t>
        </is>
      </c>
      <c r="H15" s="11">
        <f>C15*D15</f>
        <v/>
      </c>
      <c r="I15" s="11">
        <f>ROUND(H15-E15,0)</f>
        <v/>
      </c>
      <c r="J15" s="11">
        <f>ROUND(E15/SUMIFS($E$4:$E$313,$A$4:$A$313,A15)*100,2)</f>
        <v/>
      </c>
      <c r="K15" s="11">
        <f>ROUND(J15-F15,2)</f>
        <v/>
      </c>
    </row>
    <row r="16">
      <c r="A16" s="6" t="n">
        <v>2004</v>
      </c>
      <c r="B16" s="6" t="inlineStr">
        <is>
          <t>barita</t>
        </is>
      </c>
      <c r="C16" s="6" t="n">
        <v>306668</v>
      </c>
      <c r="D16" s="6" t="n">
        <v>49.4</v>
      </c>
      <c r="E16" s="6" t="n">
        <v>15149399</v>
      </c>
      <c r="F16" s="6" t="n">
        <v>0.49</v>
      </c>
      <c r="G16" s="6" t="inlineStr">
        <is>
          <t>si</t>
        </is>
      </c>
      <c r="H16" s="11">
        <f>C16*D16</f>
        <v/>
      </c>
      <c r="I16" s="11">
        <f>ROUND(H16-E16,0)</f>
        <v/>
      </c>
      <c r="J16" s="11">
        <f>ROUND(E16/SUMIFS($E$4:$E$313,$A$4:$A$313,A16)*100,2)</f>
        <v/>
      </c>
      <c r="K16" s="11">
        <f>ROUND(J16-F16,2)</f>
        <v/>
      </c>
    </row>
    <row r="17">
      <c r="A17" s="9" t="n">
        <v>2005</v>
      </c>
      <c r="B17" s="9" t="inlineStr">
        <is>
          <t>barita</t>
        </is>
      </c>
      <c r="C17" s="9" t="n">
        <v>268657</v>
      </c>
      <c r="D17" s="9" t="n">
        <v>55</v>
      </c>
      <c r="E17" s="9" t="n">
        <v>14776135</v>
      </c>
      <c r="F17" s="9" t="n">
        <v>0.37</v>
      </c>
      <c r="G17" s="9" t="inlineStr">
        <is>
          <t>si</t>
        </is>
      </c>
      <c r="H17" s="11">
        <f>C17*D17</f>
        <v/>
      </c>
      <c r="I17" s="11">
        <f>ROUND(H17-E17,0)</f>
        <v/>
      </c>
      <c r="J17" s="11">
        <f>ROUND(E17/SUMIFS($E$4:$E$313,$A$4:$A$313,A17)*100,2)</f>
        <v/>
      </c>
      <c r="K17" s="11">
        <f>ROUND(J17-F17,2)</f>
        <v/>
      </c>
    </row>
    <row r="18">
      <c r="A18" s="6" t="n">
        <v>2006</v>
      </c>
      <c r="B18" s="6" t="inlineStr">
        <is>
          <t>barita</t>
        </is>
      </c>
      <c r="C18" s="6" t="n">
        <v>199605</v>
      </c>
      <c r="D18" s="6" t="n">
        <v>56</v>
      </c>
      <c r="E18" s="6" t="n">
        <v>11177880</v>
      </c>
      <c r="F18" s="6" t="n">
        <v>0.17</v>
      </c>
      <c r="G18" s="6" t="inlineStr">
        <is>
          <t>si</t>
        </is>
      </c>
      <c r="H18" s="11">
        <f>C18*D18</f>
        <v/>
      </c>
      <c r="I18" s="11">
        <f>ROUND(H18-E18,0)</f>
        <v/>
      </c>
      <c r="J18" s="11">
        <f>ROUND(E18/SUMIFS($E$4:$E$313,$A$4:$A$313,A18)*100,2)</f>
        <v/>
      </c>
      <c r="K18" s="11">
        <f>ROUND(J18-F18,2)</f>
        <v/>
      </c>
    </row>
    <row r="19">
      <c r="A19" s="9" t="n">
        <v>2007</v>
      </c>
      <c r="B19" s="9" t="inlineStr">
        <is>
          <t>barita</t>
        </is>
      </c>
      <c r="C19" s="9" t="n">
        <v>185921</v>
      </c>
      <c r="D19" s="9" t="n">
        <v>71.90000000000001</v>
      </c>
      <c r="E19" s="9" t="n">
        <v>13367720</v>
      </c>
      <c r="F19" s="9" t="n">
        <v>0.19</v>
      </c>
      <c r="G19" s="9" t="inlineStr">
        <is>
          <t>si</t>
        </is>
      </c>
      <c r="H19" s="11">
        <f>C19*D19</f>
        <v/>
      </c>
      <c r="I19" s="11">
        <f>ROUND(H19-E19,0)</f>
        <v/>
      </c>
      <c r="J19" s="11">
        <f>ROUND(E19/SUMIFS($E$4:$E$313,$A$4:$A$313,A19)*100,2)</f>
        <v/>
      </c>
      <c r="K19" s="11">
        <f>ROUND(J19-F19,2)</f>
        <v/>
      </c>
    </row>
    <row r="20">
      <c r="A20" s="6" t="n">
        <v>2008</v>
      </c>
      <c r="B20" s="6" t="inlineStr">
        <is>
          <t>barita</t>
        </is>
      </c>
      <c r="C20" s="6" t="n">
        <v>170051</v>
      </c>
      <c r="D20" s="6" t="n">
        <v>76.3</v>
      </c>
      <c r="E20" s="6" t="n">
        <v>12974891</v>
      </c>
      <c r="F20" s="6" t="n">
        <v>0.19</v>
      </c>
      <c r="G20" s="6" t="inlineStr">
        <is>
          <t>si</t>
        </is>
      </c>
      <c r="H20" s="11">
        <f>C20*D20</f>
        <v/>
      </c>
      <c r="I20" s="11">
        <f>ROUND(H20-E20,0)</f>
        <v/>
      </c>
      <c r="J20" s="11">
        <f>ROUND(E20/SUMIFS($E$4:$E$313,$A$4:$A$313,A20)*100,2)</f>
        <v/>
      </c>
      <c r="K20" s="11">
        <f>ROUND(J20-F20,2)</f>
        <v/>
      </c>
    </row>
    <row r="21">
      <c r="A21" s="9" t="n">
        <v>2009</v>
      </c>
      <c r="B21" s="9" t="inlineStr">
        <is>
          <t>barita</t>
        </is>
      </c>
      <c r="C21" s="9" t="n">
        <v>151791</v>
      </c>
      <c r="D21" s="9" t="n">
        <v>85.09999999999999</v>
      </c>
      <c r="E21" s="9" t="n">
        <v>12917414</v>
      </c>
      <c r="F21" s="9" t="n">
        <v>0.2</v>
      </c>
      <c r="G21" s="9" t="inlineStr">
        <is>
          <t>si</t>
        </is>
      </c>
      <c r="H21" s="11">
        <f>C21*D21</f>
        <v/>
      </c>
      <c r="I21" s="11">
        <f>ROUND(H21-E21,0)</f>
        <v/>
      </c>
      <c r="J21" s="11">
        <f>ROUND(E21/SUMIFS($E$4:$E$313,$A$4:$A$313,A21)*100,2)</f>
        <v/>
      </c>
      <c r="K21" s="11">
        <f>ROUND(J21-F21,2)</f>
        <v/>
      </c>
    </row>
    <row r="22">
      <c r="A22" s="6" t="n">
        <v>2010</v>
      </c>
      <c r="B22" s="6" t="inlineStr">
        <is>
          <t>barita</t>
        </is>
      </c>
      <c r="C22" s="6" t="n">
        <v>143225</v>
      </c>
      <c r="D22" s="6" t="n">
        <v>86.2</v>
      </c>
      <c r="E22" s="6" t="n">
        <v>12345995</v>
      </c>
      <c r="F22" s="6" t="n">
        <v>0.12</v>
      </c>
      <c r="G22" s="6" t="inlineStr">
        <is>
          <t>si</t>
        </is>
      </c>
      <c r="H22" s="11">
        <f>C22*D22</f>
        <v/>
      </c>
      <c r="I22" s="11">
        <f>ROUND(H22-E22,0)</f>
        <v/>
      </c>
      <c r="J22" s="11">
        <f>ROUND(E22/SUMIFS($E$4:$E$313,$A$4:$A$313,A22)*100,2)</f>
        <v/>
      </c>
      <c r="K22" s="11">
        <f>ROUND(J22-F22,2)</f>
        <v/>
      </c>
    </row>
    <row r="23">
      <c r="A23" s="9" t="n">
        <v>2011</v>
      </c>
      <c r="B23" s="9" t="inlineStr">
        <is>
          <t>barita</t>
        </is>
      </c>
      <c r="C23" s="9" t="n">
        <v>134727</v>
      </c>
      <c r="D23" s="9" t="n">
        <v>98.59999999999999</v>
      </c>
      <c r="E23" s="9" t="n">
        <v>13284082</v>
      </c>
      <c r="F23" s="9" t="n">
        <v>0.08</v>
      </c>
      <c r="G23" s="9" t="inlineStr">
        <is>
          <t>si</t>
        </is>
      </c>
      <c r="H23" s="11">
        <f>C23*D23</f>
        <v/>
      </c>
      <c r="I23" s="11">
        <f>ROUND(H23-E23,0)</f>
        <v/>
      </c>
      <c r="J23" s="11">
        <f>ROUND(E23/SUMIFS($E$4:$E$313,$A$4:$A$313,A23)*100,2)</f>
        <v/>
      </c>
      <c r="K23" s="11">
        <f>ROUND(J23-F23,2)</f>
        <v/>
      </c>
    </row>
    <row r="24">
      <c r="A24" s="6" t="n">
        <v>2012</v>
      </c>
      <c r="B24" s="6" t="inlineStr">
        <is>
          <t>barita</t>
        </is>
      </c>
      <c r="C24" s="6" t="n">
        <v>139997</v>
      </c>
      <c r="D24" s="6" t="n">
        <v>141</v>
      </c>
      <c r="E24" s="6" t="n">
        <v>19739577</v>
      </c>
      <c r="F24" s="6" t="n">
        <v>0.11</v>
      </c>
      <c r="G24" s="6" t="inlineStr">
        <is>
          <t>si</t>
        </is>
      </c>
      <c r="H24" s="11">
        <f>C24*D24</f>
        <v/>
      </c>
      <c r="I24" s="11">
        <f>ROUND(H24-E24,0)</f>
        <v/>
      </c>
      <c r="J24" s="11">
        <f>ROUND(E24/SUMIFS($E$4:$E$313,$A$4:$A$313,A24)*100,2)</f>
        <v/>
      </c>
      <c r="K24" s="11">
        <f>ROUND(J24-F24,2)</f>
        <v/>
      </c>
    </row>
    <row r="25">
      <c r="A25" s="9" t="n">
        <v>2013</v>
      </c>
      <c r="B25" s="9" t="inlineStr">
        <is>
          <t>barita</t>
        </is>
      </c>
      <c r="C25" s="9" t="n">
        <v>119402</v>
      </c>
      <c r="D25" s="9" t="n">
        <v>133</v>
      </c>
      <c r="E25" s="9" t="n">
        <v>15880466</v>
      </c>
      <c r="F25" s="9" t="n">
        <v>0.1</v>
      </c>
      <c r="G25" s="9" t="inlineStr">
        <is>
          <t>si</t>
        </is>
      </c>
      <c r="H25" s="11">
        <f>C25*D25</f>
        <v/>
      </c>
      <c r="I25" s="11">
        <f>ROUND(H25-E25,0)</f>
        <v/>
      </c>
      <c r="J25" s="11">
        <f>ROUND(E25/SUMIFS($E$4:$E$313,$A$4:$A$313,A25)*100,2)</f>
        <v/>
      </c>
      <c r="K25" s="11">
        <f>ROUND(J25-F25,2)</f>
        <v/>
      </c>
    </row>
    <row r="26">
      <c r="A26" s="6" t="n">
        <v>2014</v>
      </c>
      <c r="B26" s="6" t="inlineStr">
        <is>
          <t>barita</t>
        </is>
      </c>
      <c r="C26" s="6" t="n">
        <v>130914</v>
      </c>
      <c r="D26" s="6" t="n">
        <v>130</v>
      </c>
      <c r="E26" s="6" t="n">
        <v>17018820</v>
      </c>
      <c r="F26" s="6" t="n">
        <v>0.12</v>
      </c>
      <c r="G26" s="6" t="inlineStr">
        <is>
          <t>si</t>
        </is>
      </c>
      <c r="H26" s="11">
        <f>C26*D26</f>
        <v/>
      </c>
      <c r="I26" s="11">
        <f>ROUND(H26-E26,0)</f>
        <v/>
      </c>
      <c r="J26" s="11">
        <f>ROUND(E26/SUMIFS($E$4:$E$313,$A$4:$A$313,A26)*100,2)</f>
        <v/>
      </c>
      <c r="K26" s="11">
        <f>ROUND(J26-F26,2)</f>
        <v/>
      </c>
    </row>
    <row r="27">
      <c r="A27" s="9" t="n">
        <v>2015</v>
      </c>
      <c r="B27" s="9" t="inlineStr">
        <is>
          <t>barita</t>
        </is>
      </c>
      <c r="C27" s="9" t="n">
        <v>271697</v>
      </c>
      <c r="D27" s="9" t="n">
        <v>125</v>
      </c>
      <c r="E27" s="9" t="n">
        <v>33962125</v>
      </c>
      <c r="F27" s="9" t="n">
        <v>0.24</v>
      </c>
      <c r="G27" s="9" t="inlineStr">
        <is>
          <t>si</t>
        </is>
      </c>
      <c r="H27" s="11">
        <f>C27*D27</f>
        <v/>
      </c>
      <c r="I27" s="11">
        <f>ROUND(H27-E27,0)</f>
        <v/>
      </c>
      <c r="J27" s="11">
        <f>ROUND(E27/SUMIFS($E$4:$E$313,$A$4:$A$313,A27)*100,2)</f>
        <v/>
      </c>
      <c r="K27" s="11">
        <f>ROUND(J27-F27,2)</f>
        <v/>
      </c>
    </row>
    <row r="28">
      <c r="A28" s="6" t="n">
        <v>2016</v>
      </c>
      <c r="B28" s="6" t="inlineStr">
        <is>
          <t>barita</t>
        </is>
      </c>
      <c r="C28" s="6" t="n">
        <v>156854</v>
      </c>
      <c r="D28" s="6" t="n">
        <v>130</v>
      </c>
      <c r="E28" s="6" t="n">
        <v>20391020</v>
      </c>
      <c r="F28" s="6" t="n">
        <v>0.14</v>
      </c>
      <c r="G28" s="6" t="inlineStr">
        <is>
          <t>si</t>
        </is>
      </c>
      <c r="H28" s="11">
        <f>C28*D28</f>
        <v/>
      </c>
      <c r="I28" s="11">
        <f>ROUND(H28-E28,0)</f>
        <v/>
      </c>
      <c r="J28" s="11">
        <f>ROUND(E28/SUMIFS($E$4:$E$313,$A$4:$A$313,A28)*100,2)</f>
        <v/>
      </c>
      <c r="K28" s="11">
        <f>ROUND(J28-F28,2)</f>
        <v/>
      </c>
    </row>
    <row r="29">
      <c r="A29" s="9" t="n">
        <v>2017</v>
      </c>
      <c r="B29" s="9" t="inlineStr">
        <is>
          <t>barita</t>
        </is>
      </c>
      <c r="C29" s="9" t="n">
        <v>359912</v>
      </c>
      <c r="D29" s="9" t="n">
        <v>100</v>
      </c>
      <c r="E29" s="9" t="n">
        <v>35991200</v>
      </c>
      <c r="F29" s="9" t="n">
        <v>0.22</v>
      </c>
      <c r="G29" s="9" t="inlineStr">
        <is>
          <t>si</t>
        </is>
      </c>
      <c r="H29" s="11">
        <f>C29*D29</f>
        <v/>
      </c>
      <c r="I29" s="11">
        <f>ROUND(H29-E29,0)</f>
        <v/>
      </c>
      <c r="J29" s="11">
        <f>ROUND(E29/SUMIFS($E$4:$E$313,$A$4:$A$313,A29)*100,2)</f>
        <v/>
      </c>
      <c r="K29" s="11">
        <f>ROUND(J29-F29,2)</f>
        <v/>
      </c>
    </row>
    <row r="30">
      <c r="A30" s="6" t="n">
        <v>2018</v>
      </c>
      <c r="B30" s="6" t="inlineStr">
        <is>
          <t>barita</t>
        </is>
      </c>
      <c r="C30" s="6" t="n">
        <v>366234</v>
      </c>
      <c r="D30" s="6" t="n">
        <v>110</v>
      </c>
      <c r="E30" s="6" t="n">
        <v>40285740</v>
      </c>
      <c r="F30" s="6" t="n">
        <v>0.25</v>
      </c>
      <c r="G30" s="6" t="inlineStr">
        <is>
          <t>si</t>
        </is>
      </c>
      <c r="H30" s="11">
        <f>C30*D30</f>
        <v/>
      </c>
      <c r="I30" s="11">
        <f>ROUND(H30-E30,0)</f>
        <v/>
      </c>
      <c r="J30" s="11">
        <f>ROUND(E30/SUMIFS($E$4:$E$313,$A$4:$A$313,A30)*100,2)</f>
        <v/>
      </c>
      <c r="K30" s="11">
        <f>ROUND(J30-F30,2)</f>
        <v/>
      </c>
    </row>
    <row r="31">
      <c r="A31" s="9" t="n">
        <v>2019</v>
      </c>
      <c r="B31" s="9" t="inlineStr">
        <is>
          <t>barita</t>
        </is>
      </c>
      <c r="C31" s="9" t="n">
        <v>378295</v>
      </c>
      <c r="D31" s="9" t="n">
        <v>113</v>
      </c>
      <c r="E31" s="9" t="n">
        <v>42747335</v>
      </c>
      <c r="F31" s="9" t="n">
        <v>0.27</v>
      </c>
      <c r="G31" s="9" t="inlineStr">
        <is>
          <t>si</t>
        </is>
      </c>
      <c r="H31" s="11">
        <f>C31*D31</f>
        <v/>
      </c>
      <c r="I31" s="11">
        <f>ROUND(H31-E31,0)</f>
        <v/>
      </c>
      <c r="J31" s="11">
        <f>ROUND(E31/SUMIFS($E$4:$E$313,$A$4:$A$313,A31)*100,2)</f>
        <v/>
      </c>
      <c r="K31" s="11">
        <f>ROUND(J31-F31,2)</f>
        <v/>
      </c>
    </row>
    <row r="32">
      <c r="A32" s="6" t="n">
        <v>2020</v>
      </c>
      <c r="B32" s="6" t="inlineStr">
        <is>
          <t>barita</t>
        </is>
      </c>
      <c r="C32" s="6" t="n">
        <v>372262</v>
      </c>
      <c r="D32" s="6" t="n">
        <v>115.53</v>
      </c>
      <c r="E32" s="6" t="n">
        <v>43005620</v>
      </c>
      <c r="F32" s="6" t="n">
        <v>0.25</v>
      </c>
      <c r="G32" s="6" t="inlineStr">
        <is>
          <t>si</t>
        </is>
      </c>
      <c r="H32" s="11">
        <f>C32*D32</f>
        <v/>
      </c>
      <c r="I32" s="11">
        <f>ROUND(H32-E32,0)</f>
        <v/>
      </c>
      <c r="J32" s="11">
        <f>ROUND(E32/SUMIFS($E$4:$E$313,$A$4:$A$313,A32)*100,2)</f>
        <v/>
      </c>
      <c r="K32" s="11">
        <f>ROUND(J32-F32,2)</f>
        <v/>
      </c>
    </row>
    <row r="33">
      <c r="A33" s="9" t="n">
        <v>2021</v>
      </c>
      <c r="B33" s="9" t="inlineStr">
        <is>
          <t>barita</t>
        </is>
      </c>
      <c r="C33" s="9" t="n">
        <v>320642</v>
      </c>
      <c r="D33" s="9" t="n">
        <v>105.42</v>
      </c>
      <c r="E33" s="9" t="n">
        <v>33803549</v>
      </c>
      <c r="F33" s="9" t="n">
        <v>0.15</v>
      </c>
      <c r="G33" s="9" t="inlineStr">
        <is>
          <t>si</t>
        </is>
      </c>
      <c r="H33" s="11">
        <f>C33*D33</f>
        <v/>
      </c>
      <c r="I33" s="11">
        <f>ROUND(H33-E33,0)</f>
        <v/>
      </c>
      <c r="J33" s="11">
        <f>ROUND(E33/SUMIFS($E$4:$E$313,$A$4:$A$313,A33)*100,2)</f>
        <v/>
      </c>
      <c r="K33" s="11">
        <f>ROUND(J33-F33,2)</f>
        <v/>
      </c>
    </row>
    <row r="34">
      <c r="A34" s="6" t="n">
        <v>2022</v>
      </c>
      <c r="B34" s="6" t="inlineStr">
        <is>
          <t>barita</t>
        </is>
      </c>
      <c r="C34" s="6" t="n">
        <v>315736</v>
      </c>
      <c r="D34" s="6" t="n">
        <v>91.54000000000001</v>
      </c>
      <c r="E34" s="6" t="n">
        <v>28901309</v>
      </c>
      <c r="F34" s="6" t="n">
        <v>0.13</v>
      </c>
      <c r="G34" s="6" t="inlineStr">
        <is>
          <t>si</t>
        </is>
      </c>
      <c r="H34" s="11">
        <f>C34*D34</f>
        <v/>
      </c>
      <c r="I34" s="11">
        <f>ROUND(H34-E34,0)</f>
        <v/>
      </c>
      <c r="J34" s="11">
        <f>ROUND(E34/SUMIFS($E$4:$E$313,$A$4:$A$313,A34)*100,2)</f>
        <v/>
      </c>
      <c r="K34" s="11">
        <f>ROUND(J34-F34,2)</f>
        <v/>
      </c>
    </row>
    <row r="35">
      <c r="A35" s="9" t="n">
        <v>1992</v>
      </c>
      <c r="B35" s="9" t="inlineStr">
        <is>
          <t>cobre</t>
        </is>
      </c>
      <c r="C35" s="9" t="n">
        <v>279000</v>
      </c>
      <c r="D35" s="9" t="n">
        <v>2370</v>
      </c>
      <c r="E35" s="9" t="n">
        <v>661230000</v>
      </c>
      <c r="F35" s="9" t="n">
        <v>37.89</v>
      </c>
      <c r="G35" s="9" t="inlineStr">
        <is>
          <t>si</t>
        </is>
      </c>
      <c r="H35" s="11">
        <f>C35*D35</f>
        <v/>
      </c>
      <c r="I35" s="11">
        <f>ROUND(H35-E35,0)</f>
        <v/>
      </c>
      <c r="J35" s="11">
        <f>ROUND(E35/SUMIFS($E$4:$E$313,$A$4:$A$313,A35)*100,2)</f>
        <v/>
      </c>
      <c r="K35" s="11">
        <f>ROUND(J35-F35,2)</f>
        <v/>
      </c>
    </row>
    <row r="36">
      <c r="A36" s="6" t="n">
        <v>1993</v>
      </c>
      <c r="B36" s="6" t="inlineStr">
        <is>
          <t>cobre</t>
        </is>
      </c>
      <c r="C36" s="6" t="n">
        <v>301100</v>
      </c>
      <c r="D36" s="6" t="n">
        <v>2020</v>
      </c>
      <c r="E36" s="6" t="n">
        <v>608222000</v>
      </c>
      <c r="F36" s="6" t="n">
        <v>36.84</v>
      </c>
      <c r="G36" s="6" t="inlineStr">
        <is>
          <t>si</t>
        </is>
      </c>
      <c r="H36" s="11">
        <f>C36*D36</f>
        <v/>
      </c>
      <c r="I36" s="11">
        <f>ROUND(H36-E36,0)</f>
        <v/>
      </c>
      <c r="J36" s="11">
        <f>ROUND(E36/SUMIFS($E$4:$E$313,$A$4:$A$313,A36)*100,2)</f>
        <v/>
      </c>
      <c r="K36" s="11">
        <f>ROUND(J36-F36,2)</f>
        <v/>
      </c>
    </row>
    <row r="37">
      <c r="A37" s="9" t="n">
        <v>1994</v>
      </c>
      <c r="B37" s="9" t="inlineStr">
        <is>
          <t>cobre</t>
        </is>
      </c>
      <c r="C37" s="9" t="n">
        <v>294688</v>
      </c>
      <c r="D37" s="9" t="n">
        <v>2450</v>
      </c>
      <c r="E37" s="9" t="n">
        <v>721985600</v>
      </c>
      <c r="F37" s="9" t="n">
        <v>36.95</v>
      </c>
      <c r="G37" s="9" t="inlineStr">
        <is>
          <t>si</t>
        </is>
      </c>
      <c r="H37" s="11">
        <f>C37*D37</f>
        <v/>
      </c>
      <c r="I37" s="11">
        <f>ROUND(H37-E37,0)</f>
        <v/>
      </c>
      <c r="J37" s="11">
        <f>ROUND(E37/SUMIFS($E$4:$E$313,$A$4:$A$313,A37)*100,2)</f>
        <v/>
      </c>
      <c r="K37" s="11">
        <f>ROUND(J37-F37,2)</f>
        <v/>
      </c>
    </row>
    <row r="38">
      <c r="A38" s="6" t="n">
        <v>1995</v>
      </c>
      <c r="B38" s="6" t="inlineStr">
        <is>
          <t>cobre</t>
        </is>
      </c>
      <c r="C38" s="6" t="n">
        <v>333565</v>
      </c>
      <c r="D38" s="6" t="n">
        <v>3050</v>
      </c>
      <c r="E38" s="6" t="n">
        <v>1017373250</v>
      </c>
      <c r="F38" s="6" t="n">
        <v>41.22</v>
      </c>
      <c r="G38" s="6" t="inlineStr">
        <is>
          <t>si</t>
        </is>
      </c>
      <c r="H38" s="11">
        <f>C38*D38</f>
        <v/>
      </c>
      <c r="I38" s="11">
        <f>ROUND(H38-E38,0)</f>
        <v/>
      </c>
      <c r="J38" s="11">
        <f>ROUND(E38/SUMIFS($E$4:$E$313,$A$4:$A$313,A38)*100,2)</f>
        <v/>
      </c>
      <c r="K38" s="11">
        <f>ROUND(J38-F38,2)</f>
        <v/>
      </c>
    </row>
    <row r="39">
      <c r="A39" s="9" t="n">
        <v>1996</v>
      </c>
      <c r="B39" s="9" t="inlineStr">
        <is>
          <t>cobre</t>
        </is>
      </c>
      <c r="C39" s="9" t="n">
        <v>340710</v>
      </c>
      <c r="D39" s="9" t="n">
        <v>2400</v>
      </c>
      <c r="E39" s="9" t="n">
        <v>817704000</v>
      </c>
      <c r="F39" s="9" t="n">
        <v>34</v>
      </c>
      <c r="G39" s="9" t="inlineStr">
        <is>
          <t>si</t>
        </is>
      </c>
      <c r="H39" s="11">
        <f>C39*D39</f>
        <v/>
      </c>
      <c r="I39" s="11">
        <f>ROUND(H39-E39,0)</f>
        <v/>
      </c>
      <c r="J39" s="11">
        <f>ROUND(E39/SUMIFS($E$4:$E$313,$A$4:$A$313,A39)*100,2)</f>
        <v/>
      </c>
      <c r="K39" s="11">
        <f>ROUND(J39-F39,2)</f>
        <v/>
      </c>
    </row>
    <row r="40">
      <c r="A40" s="6" t="n">
        <v>1997</v>
      </c>
      <c r="B40" s="6" t="inlineStr">
        <is>
          <t>cobre</t>
        </is>
      </c>
      <c r="C40" s="6" t="n">
        <v>390536</v>
      </c>
      <c r="D40" s="6" t="n">
        <v>2360</v>
      </c>
      <c r="E40" s="6" t="n">
        <v>921664960</v>
      </c>
      <c r="F40" s="6" t="n">
        <v>35.6</v>
      </c>
      <c r="G40" s="6" t="inlineStr">
        <is>
          <t>si</t>
        </is>
      </c>
      <c r="H40" s="11">
        <f>C40*D40</f>
        <v/>
      </c>
      <c r="I40" s="11">
        <f>ROUND(H40-E40,0)</f>
        <v/>
      </c>
      <c r="J40" s="11">
        <f>ROUND(E40/SUMIFS($E$4:$E$313,$A$4:$A$313,A40)*100,2)</f>
        <v/>
      </c>
      <c r="K40" s="11">
        <f>ROUND(J40-F40,2)</f>
        <v/>
      </c>
    </row>
    <row r="41">
      <c r="A41" s="9" t="n">
        <v>1998</v>
      </c>
      <c r="B41" s="9" t="inlineStr">
        <is>
          <t>cobre</t>
        </is>
      </c>
      <c r="C41" s="9" t="n">
        <v>384641</v>
      </c>
      <c r="D41" s="9" t="n">
        <v>1730</v>
      </c>
      <c r="E41" s="9" t="n">
        <v>665428930</v>
      </c>
      <c r="F41" s="9" t="n">
        <v>29.7</v>
      </c>
      <c r="G41" s="9" t="inlineStr">
        <is>
          <t>si</t>
        </is>
      </c>
      <c r="H41" s="11">
        <f>C41*D41</f>
        <v/>
      </c>
      <c r="I41" s="11">
        <f>ROUND(H41-E41,0)</f>
        <v/>
      </c>
      <c r="J41" s="11">
        <f>ROUND(E41/SUMIFS($E$4:$E$313,$A$4:$A$313,A41)*100,2)</f>
        <v/>
      </c>
      <c r="K41" s="11">
        <f>ROUND(J41-F41,2)</f>
        <v/>
      </c>
    </row>
    <row r="42">
      <c r="A42" s="6" t="n">
        <v>1999</v>
      </c>
      <c r="B42" s="6" t="inlineStr">
        <is>
          <t>cobre</t>
        </is>
      </c>
      <c r="C42" s="6" t="n">
        <v>381184</v>
      </c>
      <c r="D42" s="6" t="n">
        <v>1670</v>
      </c>
      <c r="E42" s="6" t="n">
        <v>636577280</v>
      </c>
      <c r="F42" s="6" t="n">
        <v>31.44</v>
      </c>
      <c r="G42" s="6" t="inlineStr">
        <is>
          <t>si</t>
        </is>
      </c>
      <c r="H42" s="11">
        <f>C42*D42</f>
        <v/>
      </c>
      <c r="I42" s="11">
        <f>ROUND(H42-E42,0)</f>
        <v/>
      </c>
      <c r="J42" s="11">
        <f>ROUND(E42/SUMIFS($E$4:$E$313,$A$4:$A$313,A42)*100,2)</f>
        <v/>
      </c>
      <c r="K42" s="11">
        <f>ROUND(J42-F42,2)</f>
        <v/>
      </c>
    </row>
    <row r="43">
      <c r="A43" s="9" t="n">
        <v>2000</v>
      </c>
      <c r="B43" s="9" t="inlineStr">
        <is>
          <t>cobre</t>
        </is>
      </c>
      <c r="C43" s="9" t="n">
        <v>364566</v>
      </c>
      <c r="D43" s="9" t="n">
        <v>1940</v>
      </c>
      <c r="E43" s="9" t="n">
        <v>707258040</v>
      </c>
      <c r="F43" s="9" t="n">
        <v>32.14</v>
      </c>
      <c r="G43" s="9" t="inlineStr">
        <is>
          <t>si</t>
        </is>
      </c>
      <c r="H43" s="11">
        <f>C43*D43</f>
        <v/>
      </c>
      <c r="I43" s="11">
        <f>ROUND(H43-E43,0)</f>
        <v/>
      </c>
      <c r="J43" s="11">
        <f>ROUND(E43/SUMIFS($E$4:$E$313,$A$4:$A$313,A43)*100,2)</f>
        <v/>
      </c>
      <c r="K43" s="11">
        <f>ROUND(J43-F43,2)</f>
        <v/>
      </c>
    </row>
    <row r="44">
      <c r="A44" s="6" t="n">
        <v>2001</v>
      </c>
      <c r="B44" s="6" t="inlineStr">
        <is>
          <t>cobre</t>
        </is>
      </c>
      <c r="C44" s="6" t="n">
        <v>367279</v>
      </c>
      <c r="D44" s="6" t="n">
        <v>1690</v>
      </c>
      <c r="E44" s="6" t="n">
        <v>620701510</v>
      </c>
      <c r="F44" s="6" t="n">
        <v>31.99</v>
      </c>
      <c r="G44" s="6" t="inlineStr">
        <is>
          <t>si</t>
        </is>
      </c>
      <c r="H44" s="11">
        <f>C44*D44</f>
        <v/>
      </c>
      <c r="I44" s="11">
        <f>ROUND(H44-E44,0)</f>
        <v/>
      </c>
      <c r="J44" s="11">
        <f>ROUND(E44/SUMIFS($E$4:$E$313,$A$4:$A$313,A44)*100,2)</f>
        <v/>
      </c>
      <c r="K44" s="11">
        <f>ROUND(J44-F44,2)</f>
        <v/>
      </c>
    </row>
    <row r="45">
      <c r="A45" s="9" t="n">
        <v>2002</v>
      </c>
      <c r="B45" s="9" t="inlineStr">
        <is>
          <t>cobre</t>
        </is>
      </c>
      <c r="C45" s="9" t="n">
        <v>329874</v>
      </c>
      <c r="D45" s="9" t="n">
        <v>1670</v>
      </c>
      <c r="E45" s="9" t="n">
        <v>550889580</v>
      </c>
      <c r="F45" s="9" t="n">
        <v>29.77</v>
      </c>
      <c r="G45" s="9" t="inlineStr">
        <is>
          <t>si</t>
        </is>
      </c>
      <c r="H45" s="11">
        <f>C45*D45</f>
        <v/>
      </c>
      <c r="I45" s="11">
        <f>ROUND(H45-E45,0)</f>
        <v/>
      </c>
      <c r="J45" s="11">
        <f>ROUND(E45/SUMIFS($E$4:$E$313,$A$4:$A$313,A45)*100,2)</f>
        <v/>
      </c>
      <c r="K45" s="11">
        <f>ROUND(J45-F45,2)</f>
        <v/>
      </c>
    </row>
    <row r="46">
      <c r="A46" s="6" t="n">
        <v>2003</v>
      </c>
      <c r="B46" s="6" t="inlineStr">
        <is>
          <t>cobre</t>
        </is>
      </c>
      <c r="C46" s="6" t="n">
        <v>355653</v>
      </c>
      <c r="D46" s="6" t="n">
        <v>1880</v>
      </c>
      <c r="E46" s="6" t="n">
        <v>668627640</v>
      </c>
      <c r="F46" s="6" t="n">
        <v>32.83</v>
      </c>
      <c r="G46" s="6" t="inlineStr">
        <is>
          <t>si</t>
        </is>
      </c>
      <c r="H46" s="11">
        <f>C46*D46</f>
        <v/>
      </c>
      <c r="I46" s="11">
        <f>ROUND(H46-E46,0)</f>
        <v/>
      </c>
      <c r="J46" s="11">
        <f>ROUND(E46/SUMIFS($E$4:$E$313,$A$4:$A$313,A46)*100,2)</f>
        <v/>
      </c>
      <c r="K46" s="11">
        <f>ROUND(J46-F46,2)</f>
        <v/>
      </c>
    </row>
    <row r="47">
      <c r="A47" s="9" t="n">
        <v>2004</v>
      </c>
      <c r="B47" s="9" t="inlineStr">
        <is>
          <t>cobre</t>
        </is>
      </c>
      <c r="C47" s="9" t="n">
        <v>405540</v>
      </c>
      <c r="D47" s="9" t="n">
        <v>2950</v>
      </c>
      <c r="E47" s="9" t="n">
        <v>1196343000</v>
      </c>
      <c r="F47" s="9" t="n">
        <v>39.06</v>
      </c>
      <c r="G47" s="9" t="inlineStr">
        <is>
          <t>si</t>
        </is>
      </c>
      <c r="H47" s="11">
        <f>C47*D47</f>
        <v/>
      </c>
      <c r="I47" s="11">
        <f>ROUND(H47-E47,0)</f>
        <v/>
      </c>
      <c r="J47" s="11">
        <f>ROUND(E47/SUMIFS($E$4:$E$313,$A$4:$A$313,A47)*100,2)</f>
        <v/>
      </c>
      <c r="K47" s="11">
        <f>ROUND(J47-F47,2)</f>
        <v/>
      </c>
    </row>
    <row r="48">
      <c r="A48" s="6" t="n">
        <v>2005</v>
      </c>
      <c r="B48" s="6" t="inlineStr">
        <is>
          <t>cobre</t>
        </is>
      </c>
      <c r="C48" s="6" t="n">
        <v>428632</v>
      </c>
      <c r="D48" s="6" t="n">
        <v>3820</v>
      </c>
      <c r="E48" s="6" t="n">
        <v>1637374240</v>
      </c>
      <c r="F48" s="6" t="n">
        <v>41.29</v>
      </c>
      <c r="G48" s="6" t="inlineStr">
        <is>
          <t>si</t>
        </is>
      </c>
      <c r="H48" s="11">
        <f>C48*D48</f>
        <v/>
      </c>
      <c r="I48" s="11">
        <f>ROUND(H48-E48,0)</f>
        <v/>
      </c>
      <c r="J48" s="11">
        <f>ROUND(E48/SUMIFS($E$4:$E$313,$A$4:$A$313,A48)*100,2)</f>
        <v/>
      </c>
      <c r="K48" s="11">
        <f>ROUND(J48-F48,2)</f>
        <v/>
      </c>
    </row>
    <row r="49">
      <c r="A49" s="9" t="n">
        <v>2006</v>
      </c>
      <c r="B49" s="9" t="inlineStr">
        <is>
          <t>cobre</t>
        </is>
      </c>
      <c r="C49" s="9" t="n">
        <v>327536</v>
      </c>
      <c r="D49" s="9" t="n">
        <v>6940</v>
      </c>
      <c r="E49" s="9" t="n">
        <v>2273099840</v>
      </c>
      <c r="F49" s="9" t="n">
        <v>35.45</v>
      </c>
      <c r="G49" s="9" t="inlineStr">
        <is>
          <t>si</t>
        </is>
      </c>
      <c r="H49" s="11">
        <f>C49*D49</f>
        <v/>
      </c>
      <c r="I49" s="11">
        <f>ROUND(H49-E49,0)</f>
        <v/>
      </c>
      <c r="J49" s="11">
        <f>ROUND(E49/SUMIFS($E$4:$E$313,$A$4:$A$313,A49)*100,2)</f>
        <v/>
      </c>
      <c r="K49" s="11">
        <f>ROUND(J49-F49,2)</f>
        <v/>
      </c>
    </row>
    <row r="50">
      <c r="A50" s="6" t="n">
        <v>2007</v>
      </c>
      <c r="B50" s="6" t="inlineStr">
        <is>
          <t>cobre</t>
        </is>
      </c>
      <c r="C50" s="6" t="n">
        <v>335502</v>
      </c>
      <c r="D50" s="6" t="n">
        <v>7230</v>
      </c>
      <c r="E50" s="6" t="n">
        <v>2425679460</v>
      </c>
      <c r="F50" s="6" t="n">
        <v>34.49</v>
      </c>
      <c r="G50" s="6" t="inlineStr">
        <is>
          <t>si</t>
        </is>
      </c>
      <c r="H50" s="11">
        <f>C50*D50</f>
        <v/>
      </c>
      <c r="I50" s="11">
        <f>ROUND(H50-E50,0)</f>
        <v/>
      </c>
      <c r="J50" s="11">
        <f>ROUND(E50/SUMIFS($E$4:$E$313,$A$4:$A$313,A50)*100,2)</f>
        <v/>
      </c>
      <c r="K50" s="11">
        <f>ROUND(J50-F50,2)</f>
        <v/>
      </c>
    </row>
    <row r="51">
      <c r="A51" s="9" t="n">
        <v>2008</v>
      </c>
      <c r="B51" s="9" t="inlineStr">
        <is>
          <t>cobre</t>
        </is>
      </c>
      <c r="C51" s="9" t="n">
        <v>265996</v>
      </c>
      <c r="D51" s="9" t="n">
        <v>7040</v>
      </c>
      <c r="E51" s="9" t="n">
        <v>1872611840</v>
      </c>
      <c r="F51" s="9" t="n">
        <v>27.21</v>
      </c>
      <c r="G51" s="9" t="inlineStr">
        <is>
          <t>si</t>
        </is>
      </c>
      <c r="H51" s="11">
        <f>C51*D51</f>
        <v/>
      </c>
      <c r="I51" s="11">
        <f>ROUND(H51-E51,0)</f>
        <v/>
      </c>
      <c r="J51" s="11">
        <f>ROUND(E51/SUMIFS($E$4:$E$313,$A$4:$A$313,A51)*100,2)</f>
        <v/>
      </c>
      <c r="K51" s="11">
        <f>ROUND(J51-F51,2)</f>
        <v/>
      </c>
    </row>
    <row r="52">
      <c r="A52" s="6" t="n">
        <v>2009</v>
      </c>
      <c r="B52" s="6" t="inlineStr">
        <is>
          <t>cobre</t>
        </is>
      </c>
      <c r="C52" s="6" t="n">
        <v>241193</v>
      </c>
      <c r="D52" s="6" t="n">
        <v>5320</v>
      </c>
      <c r="E52" s="6" t="n">
        <v>1283146760</v>
      </c>
      <c r="F52" s="6" t="n">
        <v>19.64</v>
      </c>
      <c r="G52" s="6" t="inlineStr">
        <is>
          <t>si</t>
        </is>
      </c>
      <c r="H52" s="11">
        <f>C52*D52</f>
        <v/>
      </c>
      <c r="I52" s="11">
        <f>ROUND(H52-E52,0)</f>
        <v/>
      </c>
      <c r="J52" s="11">
        <f>ROUND(E52/SUMIFS($E$4:$E$313,$A$4:$A$313,A52)*100,2)</f>
        <v/>
      </c>
      <c r="K52" s="11">
        <f>ROUND(J52-F52,2)</f>
        <v/>
      </c>
    </row>
    <row r="53">
      <c r="A53" s="9" t="n">
        <v>2010</v>
      </c>
      <c r="B53" s="9" t="inlineStr">
        <is>
          <t>cobre</t>
        </is>
      </c>
      <c r="C53" s="9" t="n">
        <v>270136</v>
      </c>
      <c r="D53" s="9" t="n">
        <v>7680</v>
      </c>
      <c r="E53" s="9" t="n">
        <v>2074644480</v>
      </c>
      <c r="F53" s="9" t="n">
        <v>20</v>
      </c>
      <c r="G53" s="9" t="inlineStr">
        <is>
          <t>si</t>
        </is>
      </c>
      <c r="H53" s="11">
        <f>C53*D53</f>
        <v/>
      </c>
      <c r="I53" s="11">
        <f>ROUND(H53-E53,0)</f>
        <v/>
      </c>
      <c r="J53" s="11">
        <f>ROUND(E53/SUMIFS($E$4:$E$313,$A$4:$A$313,A53)*100,2)</f>
        <v/>
      </c>
      <c r="K53" s="11">
        <f>ROUND(J53-F53,2)</f>
        <v/>
      </c>
    </row>
    <row r="54">
      <c r="A54" s="6" t="n">
        <v>2011</v>
      </c>
      <c r="B54" s="6" t="inlineStr">
        <is>
          <t>cobre</t>
        </is>
      </c>
      <c r="C54" s="6" t="n">
        <v>443621</v>
      </c>
      <c r="D54" s="6" t="n">
        <v>8950</v>
      </c>
      <c r="E54" s="6" t="n">
        <v>3970407950</v>
      </c>
      <c r="F54" s="6" t="n">
        <v>23.95</v>
      </c>
      <c r="G54" s="6" t="inlineStr">
        <is>
          <t>si</t>
        </is>
      </c>
      <c r="H54" s="11">
        <f>C54*D54</f>
        <v/>
      </c>
      <c r="I54" s="11">
        <f>ROUND(H54-E54,0)</f>
        <v/>
      </c>
      <c r="J54" s="11">
        <f>ROUND(E54/SUMIFS($E$4:$E$313,$A$4:$A$313,A54)*100,2)</f>
        <v/>
      </c>
      <c r="K54" s="11">
        <f>ROUND(J54-F54,2)</f>
        <v/>
      </c>
    </row>
    <row r="55">
      <c r="A55" s="9" t="n">
        <v>2012</v>
      </c>
      <c r="B55" s="9" t="inlineStr">
        <is>
          <t>cobre</t>
        </is>
      </c>
      <c r="C55" s="9" t="n">
        <v>500275</v>
      </c>
      <c r="D55" s="9" t="n">
        <v>8100</v>
      </c>
      <c r="E55" s="9" t="n">
        <v>4052227500</v>
      </c>
      <c r="F55" s="9" t="n">
        <v>22.85</v>
      </c>
      <c r="G55" s="9" t="inlineStr">
        <is>
          <t>si</t>
        </is>
      </c>
      <c r="H55" s="11">
        <f>C55*D55</f>
        <v/>
      </c>
      <c r="I55" s="11">
        <f>ROUND(H55-E55,0)</f>
        <v/>
      </c>
      <c r="J55" s="11">
        <f>ROUND(E55/SUMIFS($E$4:$E$313,$A$4:$A$313,A55)*100,2)</f>
        <v/>
      </c>
      <c r="K55" s="11">
        <f>ROUND(J55-F55,2)</f>
        <v/>
      </c>
    </row>
    <row r="56">
      <c r="A56" s="6" t="n">
        <v>2013</v>
      </c>
      <c r="B56" s="6" t="inlineStr">
        <is>
          <t>cobre</t>
        </is>
      </c>
      <c r="C56" s="6" t="n">
        <v>480124</v>
      </c>
      <c r="D56" s="6" t="n">
        <v>7490</v>
      </c>
      <c r="E56" s="6" t="n">
        <v>3596128760</v>
      </c>
      <c r="F56" s="6" t="n">
        <v>22.2</v>
      </c>
      <c r="G56" s="6" t="inlineStr">
        <is>
          <t>si</t>
        </is>
      </c>
      <c r="H56" s="11">
        <f>C56*D56</f>
        <v/>
      </c>
      <c r="I56" s="11">
        <f>ROUND(H56-E56,0)</f>
        <v/>
      </c>
      <c r="J56" s="11">
        <f>ROUND(E56/SUMIFS($E$4:$E$313,$A$4:$A$313,A56)*100,2)</f>
        <v/>
      </c>
      <c r="K56" s="11">
        <f>ROUND(J56-F56,2)</f>
        <v/>
      </c>
    </row>
    <row r="57">
      <c r="A57" s="9" t="n">
        <v>2014</v>
      </c>
      <c r="B57" s="9" t="inlineStr">
        <is>
          <t>cobre</t>
        </is>
      </c>
      <c r="C57" s="9" t="n">
        <v>515000</v>
      </c>
      <c r="D57" s="9" t="n">
        <v>7010</v>
      </c>
      <c r="E57" s="9" t="n">
        <v>3610150000</v>
      </c>
      <c r="F57" s="9" t="n">
        <v>26.04</v>
      </c>
      <c r="G57" s="9" t="inlineStr">
        <is>
          <t>si</t>
        </is>
      </c>
      <c r="H57" s="11">
        <f>C57*D57</f>
        <v/>
      </c>
      <c r="I57" s="11">
        <f>ROUND(H57-E57,0)</f>
        <v/>
      </c>
      <c r="J57" s="11">
        <f>ROUND(E57/SUMIFS($E$4:$E$313,$A$4:$A$313,A57)*100,2)</f>
        <v/>
      </c>
      <c r="K57" s="11">
        <f>ROUND(J57-F57,2)</f>
        <v/>
      </c>
    </row>
    <row r="58">
      <c r="A58" s="6" t="n">
        <v>2015</v>
      </c>
      <c r="B58" s="6" t="inlineStr">
        <is>
          <t>cobre</t>
        </is>
      </c>
      <c r="C58" s="6" t="n">
        <v>594451</v>
      </c>
      <c r="D58" s="6" t="n">
        <v>5650</v>
      </c>
      <c r="E58" s="6" t="n">
        <v>3358648150</v>
      </c>
      <c r="F58" s="6" t="n">
        <v>23.8</v>
      </c>
      <c r="G58" s="6" t="inlineStr">
        <is>
          <t>si</t>
        </is>
      </c>
      <c r="H58" s="11">
        <f>C58*D58</f>
        <v/>
      </c>
      <c r="I58" s="11">
        <f>ROUND(H58-E58,0)</f>
        <v/>
      </c>
      <c r="J58" s="11">
        <f>ROUND(E58/SUMIFS($E$4:$E$313,$A$4:$A$313,A58)*100,2)</f>
        <v/>
      </c>
      <c r="K58" s="11">
        <f>ROUND(J58-F58,2)</f>
        <v/>
      </c>
    </row>
    <row r="59">
      <c r="A59" s="9" t="n">
        <v>2016</v>
      </c>
      <c r="B59" s="9" t="inlineStr">
        <is>
          <t>cobre</t>
        </is>
      </c>
      <c r="C59" s="9" t="n">
        <v>766129</v>
      </c>
      <c r="D59" s="9" t="n">
        <v>4960</v>
      </c>
      <c r="E59" s="9" t="n">
        <v>3799999840</v>
      </c>
      <c r="F59" s="9" t="n">
        <v>26.1</v>
      </c>
      <c r="G59" s="9" t="inlineStr">
        <is>
          <t>si</t>
        </is>
      </c>
      <c r="H59" s="11">
        <f>C59*D59</f>
        <v/>
      </c>
      <c r="I59" s="11">
        <f>ROUND(H59-E59,0)</f>
        <v/>
      </c>
      <c r="J59" s="11">
        <f>ROUND(E59/SUMIFS($E$4:$E$313,$A$4:$A$313,A59)*100,2)</f>
        <v/>
      </c>
      <c r="K59" s="11">
        <f>ROUND(J59-F59,2)</f>
        <v/>
      </c>
    </row>
    <row r="60">
      <c r="A60" s="6" t="n">
        <v>2017</v>
      </c>
      <c r="B60" s="6" t="inlineStr">
        <is>
          <t>cobre</t>
        </is>
      </c>
      <c r="C60" s="6" t="n">
        <v>742246</v>
      </c>
      <c r="D60" s="6" t="n">
        <v>6290</v>
      </c>
      <c r="E60" s="6" t="n">
        <v>4668727340</v>
      </c>
      <c r="F60" s="6" t="n">
        <v>28.61</v>
      </c>
      <c r="G60" s="6" t="inlineStr">
        <is>
          <t>si</t>
        </is>
      </c>
      <c r="H60" s="11">
        <f>C60*D60</f>
        <v/>
      </c>
      <c r="I60" s="11">
        <f>ROUND(H60-E60,0)</f>
        <v/>
      </c>
      <c r="J60" s="11">
        <f>ROUND(E60/SUMIFS($E$4:$E$313,$A$4:$A$313,A60)*100,2)</f>
        <v/>
      </c>
      <c r="K60" s="11">
        <f>ROUND(J60-F60,2)</f>
        <v/>
      </c>
    </row>
    <row r="61">
      <c r="A61" s="9" t="n">
        <v>2018</v>
      </c>
      <c r="B61" s="9" t="inlineStr">
        <is>
          <t>cobre</t>
        </is>
      </c>
      <c r="C61" s="9" t="n">
        <v>751005</v>
      </c>
      <c r="D61" s="9" t="n">
        <v>6590</v>
      </c>
      <c r="E61" s="9" t="n">
        <v>4949122950</v>
      </c>
      <c r="F61" s="9" t="n">
        <v>30.2</v>
      </c>
      <c r="G61" s="9" t="inlineStr">
        <is>
          <t>si</t>
        </is>
      </c>
      <c r="H61" s="11">
        <f>C61*D61</f>
        <v/>
      </c>
      <c r="I61" s="11">
        <f>ROUND(H61-E61,0)</f>
        <v/>
      </c>
      <c r="J61" s="11">
        <f>ROUND(E61/SUMIFS($E$4:$E$313,$A$4:$A$313,A61)*100,2)</f>
        <v/>
      </c>
      <c r="K61" s="11">
        <f>ROUND(J61-F61,2)</f>
        <v/>
      </c>
    </row>
    <row r="62">
      <c r="A62" s="6" t="n">
        <v>2019</v>
      </c>
      <c r="B62" s="6" t="inlineStr">
        <is>
          <t>cobre</t>
        </is>
      </c>
      <c r="C62" s="6" t="n">
        <v>713700</v>
      </c>
      <c r="D62" s="6" t="n">
        <v>6160</v>
      </c>
      <c r="E62" s="6" t="n">
        <v>4396392000</v>
      </c>
      <c r="F62" s="6" t="n">
        <v>28.11</v>
      </c>
      <c r="G62" s="6" t="inlineStr">
        <is>
          <t>si</t>
        </is>
      </c>
      <c r="H62" s="11">
        <f>C62*D62</f>
        <v/>
      </c>
      <c r="I62" s="11">
        <f>ROUND(H62-E62,0)</f>
        <v/>
      </c>
      <c r="J62" s="11">
        <f>ROUND(E62/SUMIFS($E$4:$E$313,$A$4:$A$313,A62)*100,2)</f>
        <v/>
      </c>
      <c r="K62" s="11">
        <f>ROUND(J62-F62,2)</f>
        <v/>
      </c>
    </row>
    <row r="63">
      <c r="A63" s="9" t="n">
        <v>2020</v>
      </c>
      <c r="B63" s="9" t="inlineStr">
        <is>
          <t>cobre</t>
        </is>
      </c>
      <c r="C63" s="9" t="n">
        <v>732900</v>
      </c>
      <c r="D63" s="9" t="n">
        <v>6320</v>
      </c>
      <c r="E63" s="9" t="n">
        <v>4631928000</v>
      </c>
      <c r="F63" s="9" t="n">
        <v>27.3</v>
      </c>
      <c r="G63" s="9" t="inlineStr">
        <is>
          <t>si</t>
        </is>
      </c>
      <c r="H63" s="11">
        <f>C63*D63</f>
        <v/>
      </c>
      <c r="I63" s="11">
        <f>ROUND(H63-E63,0)</f>
        <v/>
      </c>
      <c r="J63" s="11">
        <f>ROUND(E63/SUMIFS($E$4:$E$313,$A$4:$A$313,A63)*100,2)</f>
        <v/>
      </c>
      <c r="K63" s="11">
        <f>ROUND(J63-F63,2)</f>
        <v/>
      </c>
    </row>
    <row r="64">
      <c r="A64" s="6" t="n">
        <v>2021</v>
      </c>
      <c r="B64" s="6" t="inlineStr">
        <is>
          <t>cobre</t>
        </is>
      </c>
      <c r="C64" s="6" t="n">
        <v>734100</v>
      </c>
      <c r="D64" s="6" t="n">
        <v>9543.370000000001</v>
      </c>
      <c r="E64" s="6" t="n">
        <v>7005787038</v>
      </c>
      <c r="F64" s="6" t="n">
        <v>30.83</v>
      </c>
      <c r="G64" s="6" t="inlineStr">
        <is>
          <t>si</t>
        </is>
      </c>
      <c r="H64" s="11">
        <f>C64*D64</f>
        <v/>
      </c>
      <c r="I64" s="11">
        <f>ROUND(H64-E64,0)</f>
        <v/>
      </c>
      <c r="J64" s="11">
        <f>ROUND(E64/SUMIFS($E$4:$E$313,$A$4:$A$313,A64)*100,2)</f>
        <v/>
      </c>
      <c r="K64" s="11">
        <f>ROUND(J64-F64,2)</f>
        <v/>
      </c>
    </row>
    <row r="65">
      <c r="A65" s="9" t="n">
        <v>2022</v>
      </c>
      <c r="B65" s="9" t="inlineStr">
        <is>
          <t>cobre</t>
        </is>
      </c>
      <c r="C65" s="9" t="n">
        <v>753900</v>
      </c>
      <c r="D65" s="9" t="n">
        <v>9030.98</v>
      </c>
      <c r="E65" s="9" t="n">
        <v>6808459019</v>
      </c>
      <c r="F65" s="9" t="n">
        <v>29.81</v>
      </c>
      <c r="G65" s="9" t="inlineStr">
        <is>
          <t>si</t>
        </is>
      </c>
      <c r="H65" s="11">
        <f>C65*D65</f>
        <v/>
      </c>
      <c r="I65" s="11">
        <f>ROUND(H65-E65,0)</f>
        <v/>
      </c>
      <c r="J65" s="11">
        <f>ROUND(E65/SUMIFS($E$4:$E$313,$A$4:$A$313,A65)*100,2)</f>
        <v/>
      </c>
      <c r="K65" s="11">
        <f>ROUND(J65-F65,2)</f>
        <v/>
      </c>
    </row>
    <row r="66">
      <c r="A66" s="6" t="n">
        <v>1992</v>
      </c>
      <c r="B66" s="6" t="inlineStr">
        <is>
          <t>fluorita</t>
        </is>
      </c>
      <c r="C66" s="6" t="n">
        <v>287000</v>
      </c>
      <c r="D66" s="6" t="n">
        <v>193</v>
      </c>
      <c r="E66" s="6" t="n">
        <v>55391000</v>
      </c>
      <c r="F66" s="6" t="n">
        <v>3.17</v>
      </c>
      <c r="G66" s="6" t="inlineStr">
        <is>
          <t>si</t>
        </is>
      </c>
      <c r="H66" s="11">
        <f>C66*D66</f>
        <v/>
      </c>
      <c r="I66" s="11">
        <f>ROUND(H66-E66,0)</f>
        <v/>
      </c>
      <c r="J66" s="11">
        <f>ROUND(E66/SUMIFS($E$4:$E$313,$A$4:$A$313,A66)*100,2)</f>
        <v/>
      </c>
      <c r="K66" s="11">
        <f>ROUND(J66-F66,2)</f>
        <v/>
      </c>
    </row>
    <row r="67">
      <c r="A67" s="9" t="n">
        <v>1993</v>
      </c>
      <c r="B67" s="9" t="inlineStr">
        <is>
          <t>fluorita</t>
        </is>
      </c>
      <c r="C67" s="9" t="n">
        <v>283000</v>
      </c>
      <c r="D67" s="9" t="n">
        <v>95</v>
      </c>
      <c r="E67" s="9" t="n">
        <v>26885000</v>
      </c>
      <c r="F67" s="9" t="n">
        <v>1.63</v>
      </c>
      <c r="G67" s="9" t="inlineStr">
        <is>
          <t>si</t>
        </is>
      </c>
      <c r="H67" s="11">
        <f>C67*D67</f>
        <v/>
      </c>
      <c r="I67" s="11">
        <f>ROUND(H67-E67,0)</f>
        <v/>
      </c>
      <c r="J67" s="11">
        <f>ROUND(E67/SUMIFS($E$4:$E$313,$A$4:$A$313,A67)*100,2)</f>
        <v/>
      </c>
      <c r="K67" s="11">
        <f>ROUND(J67-F67,2)</f>
        <v/>
      </c>
    </row>
    <row r="68">
      <c r="A68" s="6" t="n">
        <v>1994</v>
      </c>
      <c r="B68" s="6" t="inlineStr">
        <is>
          <t>fluorita</t>
        </is>
      </c>
      <c r="C68" s="6" t="n">
        <v>235000</v>
      </c>
      <c r="D68" s="6" t="n">
        <v>97</v>
      </c>
      <c r="E68" s="6" t="n">
        <v>22795000</v>
      </c>
      <c r="F68" s="6" t="n">
        <v>1.17</v>
      </c>
      <c r="G68" s="6" t="inlineStr">
        <is>
          <t>si</t>
        </is>
      </c>
      <c r="H68" s="11">
        <f>C68*D68</f>
        <v/>
      </c>
      <c r="I68" s="11">
        <f>ROUND(H68-E68,0)</f>
        <v/>
      </c>
      <c r="J68" s="11">
        <f>ROUND(E68/SUMIFS($E$4:$E$313,$A$4:$A$313,A68)*100,2)</f>
        <v/>
      </c>
      <c r="K68" s="11">
        <f>ROUND(J68-F68,2)</f>
        <v/>
      </c>
    </row>
    <row r="69">
      <c r="A69" s="9" t="n">
        <v>1995</v>
      </c>
      <c r="B69" s="9" t="inlineStr">
        <is>
          <t>fluorita</t>
        </is>
      </c>
      <c r="C69" s="9" t="n">
        <v>522000</v>
      </c>
      <c r="D69" s="9" t="n">
        <v>121</v>
      </c>
      <c r="E69" s="9" t="n">
        <v>63162000</v>
      </c>
      <c r="F69" s="9" t="n">
        <v>2.56</v>
      </c>
      <c r="G69" s="9" t="inlineStr">
        <is>
          <t>si</t>
        </is>
      </c>
      <c r="H69" s="11">
        <f>C69*D69</f>
        <v/>
      </c>
      <c r="I69" s="11">
        <f>ROUND(H69-E69,0)</f>
        <v/>
      </c>
      <c r="J69" s="11">
        <f>ROUND(E69/SUMIFS($E$4:$E$313,$A$4:$A$313,A69)*100,2)</f>
        <v/>
      </c>
      <c r="K69" s="11">
        <f>ROUND(J69-F69,2)</f>
        <v/>
      </c>
    </row>
    <row r="70">
      <c r="A70" s="6" t="n">
        <v>1996</v>
      </c>
      <c r="B70" s="6" t="inlineStr">
        <is>
          <t>fluorita</t>
        </is>
      </c>
      <c r="C70" s="6" t="n">
        <v>524000</v>
      </c>
      <c r="D70" s="6" t="n">
        <v>138</v>
      </c>
      <c r="E70" s="6" t="n">
        <v>72312000</v>
      </c>
      <c r="F70" s="6" t="n">
        <v>3.01</v>
      </c>
      <c r="G70" s="6" t="inlineStr">
        <is>
          <t>si</t>
        </is>
      </c>
      <c r="H70" s="11">
        <f>C70*D70</f>
        <v/>
      </c>
      <c r="I70" s="11">
        <f>ROUND(H70-E70,0)</f>
        <v/>
      </c>
      <c r="J70" s="11">
        <f>ROUND(E70/SUMIFS($E$4:$E$313,$A$4:$A$313,A70)*100,2)</f>
        <v/>
      </c>
      <c r="K70" s="11">
        <f>ROUND(J70-F70,2)</f>
        <v/>
      </c>
    </row>
    <row r="71">
      <c r="A71" s="9" t="n">
        <v>1997</v>
      </c>
      <c r="B71" s="9" t="inlineStr">
        <is>
          <t>fluorita</t>
        </is>
      </c>
      <c r="C71" s="9" t="n">
        <v>553000</v>
      </c>
      <c r="D71" s="9" t="n">
        <v>129</v>
      </c>
      <c r="E71" s="9" t="n">
        <v>71337000</v>
      </c>
      <c r="F71" s="9" t="n">
        <v>2.76</v>
      </c>
      <c r="G71" s="9" t="inlineStr">
        <is>
          <t>si</t>
        </is>
      </c>
      <c r="H71" s="11">
        <f>C71*D71</f>
        <v/>
      </c>
      <c r="I71" s="11">
        <f>ROUND(H71-E71,0)</f>
        <v/>
      </c>
      <c r="J71" s="11">
        <f>ROUND(E71/SUMIFS($E$4:$E$313,$A$4:$A$313,A71)*100,2)</f>
        <v/>
      </c>
      <c r="K71" s="11">
        <f>ROUND(J71-F71,2)</f>
        <v/>
      </c>
    </row>
    <row r="72">
      <c r="A72" s="6" t="n">
        <v>1998</v>
      </c>
      <c r="B72" s="6" t="inlineStr">
        <is>
          <t>fluorita</t>
        </is>
      </c>
      <c r="C72" s="6" t="n">
        <v>598000</v>
      </c>
      <c r="D72" s="6" t="n">
        <v>125</v>
      </c>
      <c r="E72" s="6" t="n">
        <v>74750000</v>
      </c>
      <c r="F72" s="6" t="n">
        <v>3.34</v>
      </c>
      <c r="G72" s="6" t="inlineStr">
        <is>
          <t>si</t>
        </is>
      </c>
      <c r="H72" s="11">
        <f>C72*D72</f>
        <v/>
      </c>
      <c r="I72" s="11">
        <f>ROUND(H72-E72,0)</f>
        <v/>
      </c>
      <c r="J72" s="11">
        <f>ROUND(E72/SUMIFS($E$4:$E$313,$A$4:$A$313,A72)*100,2)</f>
        <v/>
      </c>
      <c r="K72" s="11">
        <f>ROUND(J72-F72,2)</f>
        <v/>
      </c>
    </row>
    <row r="73">
      <c r="A73" s="9" t="n">
        <v>1999</v>
      </c>
      <c r="B73" s="9" t="inlineStr">
        <is>
          <t>fluorita</t>
        </is>
      </c>
      <c r="C73" s="9" t="n">
        <v>557000</v>
      </c>
      <c r="D73" s="9" t="n">
        <v>119</v>
      </c>
      <c r="E73" s="9" t="n">
        <v>66283000</v>
      </c>
      <c r="F73" s="9" t="n">
        <v>3.27</v>
      </c>
      <c r="G73" s="9" t="inlineStr">
        <is>
          <t>si</t>
        </is>
      </c>
      <c r="H73" s="11">
        <f>C73*D73</f>
        <v/>
      </c>
      <c r="I73" s="11">
        <f>ROUND(H73-E73,0)</f>
        <v/>
      </c>
      <c r="J73" s="11">
        <f>ROUND(E73/SUMIFS($E$4:$E$313,$A$4:$A$313,A73)*100,2)</f>
        <v/>
      </c>
      <c r="K73" s="11">
        <f>ROUND(J73-F73,2)</f>
        <v/>
      </c>
    </row>
    <row r="74">
      <c r="A74" s="6" t="n">
        <v>2000</v>
      </c>
      <c r="B74" s="6" t="inlineStr">
        <is>
          <t>fluorita</t>
        </is>
      </c>
      <c r="C74" s="6" t="n">
        <v>635000</v>
      </c>
      <c r="D74" s="6" t="n">
        <v>124.67</v>
      </c>
      <c r="E74" s="6" t="n">
        <v>79165450</v>
      </c>
      <c r="F74" s="6" t="n">
        <v>3.6</v>
      </c>
      <c r="G74" s="6" t="inlineStr">
        <is>
          <t>si</t>
        </is>
      </c>
      <c r="H74" s="11">
        <f>C74*D74</f>
        <v/>
      </c>
      <c r="I74" s="11">
        <f>ROUND(H74-E74,0)</f>
        <v/>
      </c>
      <c r="J74" s="11">
        <f>ROUND(E74/SUMIFS($E$4:$E$313,$A$4:$A$313,A74)*100,2)</f>
        <v/>
      </c>
      <c r="K74" s="11">
        <f>ROUND(J74-F74,2)</f>
        <v/>
      </c>
    </row>
    <row r="75">
      <c r="A75" s="9" t="n">
        <v>2001</v>
      </c>
      <c r="B75" s="9" t="inlineStr">
        <is>
          <t>fluorita</t>
        </is>
      </c>
      <c r="C75" s="9" t="n">
        <v>619000</v>
      </c>
      <c r="D75" s="9" t="n">
        <v>132.18</v>
      </c>
      <c r="E75" s="9" t="n">
        <v>81819420</v>
      </c>
      <c r="F75" s="9" t="n">
        <v>4.22</v>
      </c>
      <c r="G75" s="9" t="inlineStr">
        <is>
          <t>si</t>
        </is>
      </c>
      <c r="H75" s="11">
        <f>C75*D75</f>
        <v/>
      </c>
      <c r="I75" s="11">
        <f>ROUND(H75-E75,0)</f>
        <v/>
      </c>
      <c r="J75" s="11">
        <f>ROUND(E75/SUMIFS($E$4:$E$313,$A$4:$A$313,A75)*100,2)</f>
        <v/>
      </c>
      <c r="K75" s="11">
        <f>ROUND(J75-F75,2)</f>
        <v/>
      </c>
    </row>
    <row r="76">
      <c r="A76" s="6" t="n">
        <v>2002</v>
      </c>
      <c r="B76" s="6" t="inlineStr">
        <is>
          <t>fluorita</t>
        </is>
      </c>
      <c r="C76" s="6" t="n">
        <v>622000</v>
      </c>
      <c r="D76" s="6" t="n">
        <v>125</v>
      </c>
      <c r="E76" s="6" t="n">
        <v>77750000</v>
      </c>
      <c r="F76" s="6" t="n">
        <v>4.2</v>
      </c>
      <c r="G76" s="6" t="inlineStr">
        <is>
          <t>si</t>
        </is>
      </c>
      <c r="H76" s="11">
        <f>C76*D76</f>
        <v/>
      </c>
      <c r="I76" s="11">
        <f>ROUND(H76-E76,0)</f>
        <v/>
      </c>
      <c r="J76" s="11">
        <f>ROUND(E76/SUMIFS($E$4:$E$313,$A$4:$A$313,A76)*100,2)</f>
        <v/>
      </c>
      <c r="K76" s="11">
        <f>ROUND(J76-F76,2)</f>
        <v/>
      </c>
    </row>
    <row r="77">
      <c r="A77" s="9" t="n">
        <v>2003</v>
      </c>
      <c r="B77" s="9" t="inlineStr">
        <is>
          <t>fluorita</t>
        </is>
      </c>
      <c r="C77" s="9" t="n">
        <v>756000</v>
      </c>
      <c r="D77" s="9" t="n">
        <v>134.57</v>
      </c>
      <c r="E77" s="9" t="n">
        <v>101734920</v>
      </c>
      <c r="F77" s="9" t="n">
        <v>4.99</v>
      </c>
      <c r="G77" s="9" t="inlineStr">
        <is>
          <t>si</t>
        </is>
      </c>
      <c r="H77" s="11">
        <f>C77*D77</f>
        <v/>
      </c>
      <c r="I77" s="11">
        <f>ROUND(H77-E77,0)</f>
        <v/>
      </c>
      <c r="J77" s="11">
        <f>ROUND(E77/SUMIFS($E$4:$E$313,$A$4:$A$313,A77)*100,2)</f>
        <v/>
      </c>
      <c r="K77" s="11">
        <f>ROUND(J77-F77,2)</f>
        <v/>
      </c>
    </row>
    <row r="78">
      <c r="A78" s="6" t="n">
        <v>2004</v>
      </c>
      <c r="B78" s="6" t="inlineStr">
        <is>
          <t>fluorita</t>
        </is>
      </c>
      <c r="C78" s="6" t="n">
        <v>842698</v>
      </c>
      <c r="D78" s="6" t="n">
        <v>159</v>
      </c>
      <c r="E78" s="6" t="n">
        <v>133988982</v>
      </c>
      <c r="F78" s="6" t="n">
        <v>4.37</v>
      </c>
      <c r="G78" s="6" t="inlineStr">
        <is>
          <t>si</t>
        </is>
      </c>
      <c r="H78" s="11">
        <f>C78*D78</f>
        <v/>
      </c>
      <c r="I78" s="11">
        <f>ROUND(H78-E78,0)</f>
        <v/>
      </c>
      <c r="J78" s="11">
        <f>ROUND(E78/SUMIFS($E$4:$E$313,$A$4:$A$313,A78)*100,2)</f>
        <v/>
      </c>
      <c r="K78" s="11">
        <f>ROUND(J78-F78,2)</f>
        <v/>
      </c>
    </row>
    <row r="79">
      <c r="A79" s="9" t="n">
        <v>2005</v>
      </c>
      <c r="B79" s="9" t="inlineStr">
        <is>
          <t>fluorita</t>
        </is>
      </c>
      <c r="C79" s="9" t="n">
        <v>875450</v>
      </c>
      <c r="D79" s="9" t="n">
        <v>194</v>
      </c>
      <c r="E79" s="9" t="n">
        <v>169837300</v>
      </c>
      <c r="F79" s="9" t="n">
        <v>4.28</v>
      </c>
      <c r="G79" s="9" t="inlineStr">
        <is>
          <t>si</t>
        </is>
      </c>
      <c r="H79" s="11">
        <f>C79*D79</f>
        <v/>
      </c>
      <c r="I79" s="11">
        <f>ROUND(H79-E79,0)</f>
        <v/>
      </c>
      <c r="J79" s="11">
        <f>ROUND(E79/SUMIFS($E$4:$E$313,$A$4:$A$313,A79)*100,2)</f>
        <v/>
      </c>
      <c r="K79" s="11">
        <f>ROUND(J79-F79,2)</f>
        <v/>
      </c>
    </row>
    <row r="80">
      <c r="A80" s="6" t="n">
        <v>2006</v>
      </c>
      <c r="B80" s="6" t="inlineStr">
        <is>
          <t>fluorita</t>
        </is>
      </c>
      <c r="C80" s="6" t="n">
        <v>936433</v>
      </c>
      <c r="D80" s="6" t="n">
        <v>203</v>
      </c>
      <c r="E80" s="6" t="n">
        <v>190095899</v>
      </c>
      <c r="F80" s="6" t="n">
        <v>2.96</v>
      </c>
      <c r="G80" s="6" t="inlineStr">
        <is>
          <t>si</t>
        </is>
      </c>
      <c r="H80" s="11">
        <f>C80*D80</f>
        <v/>
      </c>
      <c r="I80" s="11">
        <f>ROUND(H80-E80,0)</f>
        <v/>
      </c>
      <c r="J80" s="11">
        <f>ROUND(E80/SUMIFS($E$4:$E$313,$A$4:$A$313,A80)*100,2)</f>
        <v/>
      </c>
      <c r="K80" s="11">
        <f>ROUND(J80-F80,2)</f>
        <v/>
      </c>
    </row>
    <row r="81">
      <c r="A81" s="9" t="n">
        <v>2007</v>
      </c>
      <c r="B81" s="9" t="inlineStr">
        <is>
          <t>fluorita</t>
        </is>
      </c>
      <c r="C81" s="9" t="n">
        <v>933361</v>
      </c>
      <c r="D81" s="9" t="n">
        <v>179.45</v>
      </c>
      <c r="E81" s="9" t="n">
        <v>167488150</v>
      </c>
      <c r="F81" s="9" t="n">
        <v>2.38</v>
      </c>
      <c r="G81" s="9" t="inlineStr">
        <is>
          <t>si</t>
        </is>
      </c>
      <c r="H81" s="11">
        <f>C81*D81</f>
        <v/>
      </c>
      <c r="I81" s="11">
        <f>ROUND(H81-E81,0)</f>
        <v/>
      </c>
      <c r="J81" s="11">
        <f>ROUND(E81/SUMIFS($E$4:$E$313,$A$4:$A$313,A81)*100,2)</f>
        <v/>
      </c>
      <c r="K81" s="11">
        <f>ROUND(J81-F81,2)</f>
        <v/>
      </c>
    </row>
    <row r="82">
      <c r="A82" s="6" t="n">
        <v>2008</v>
      </c>
      <c r="B82" s="6" t="inlineStr">
        <is>
          <t>fluorita</t>
        </is>
      </c>
      <c r="C82" s="6" t="n">
        <v>1010647</v>
      </c>
      <c r="D82" s="6" t="n">
        <v>233.06</v>
      </c>
      <c r="E82" s="6" t="n">
        <v>235536518</v>
      </c>
      <c r="F82" s="6" t="n">
        <v>3.42</v>
      </c>
      <c r="G82" s="6" t="inlineStr">
        <is>
          <t>si</t>
        </is>
      </c>
      <c r="H82" s="11">
        <f>C82*D82</f>
        <v/>
      </c>
      <c r="I82" s="11">
        <f>ROUND(H82-E82,0)</f>
        <v/>
      </c>
      <c r="J82" s="11">
        <f>ROUND(E82/SUMIFS($E$4:$E$313,$A$4:$A$313,A82)*100,2)</f>
        <v/>
      </c>
      <c r="K82" s="11">
        <f>ROUND(J82-F82,2)</f>
        <v/>
      </c>
    </row>
    <row r="83">
      <c r="A83" s="9" t="n">
        <v>2009</v>
      </c>
      <c r="B83" s="9" t="inlineStr">
        <is>
          <t>fluorita</t>
        </is>
      </c>
      <c r="C83" s="9" t="n">
        <v>1045940</v>
      </c>
      <c r="D83" s="9" t="n">
        <v>221.56</v>
      </c>
      <c r="E83" s="9" t="n">
        <v>231742457</v>
      </c>
      <c r="F83" s="9" t="n">
        <v>3.55</v>
      </c>
      <c r="G83" s="9" t="inlineStr">
        <is>
          <t>si</t>
        </is>
      </c>
      <c r="H83" s="11">
        <f>C83*D83</f>
        <v/>
      </c>
      <c r="I83" s="11">
        <f>ROUND(H83-E83,0)</f>
        <v/>
      </c>
      <c r="J83" s="11">
        <f>ROUND(E83/SUMIFS($E$4:$E$313,$A$4:$A$313,A83)*100,2)</f>
        <v/>
      </c>
      <c r="K83" s="11">
        <f>ROUND(J83-F83,2)</f>
        <v/>
      </c>
    </row>
    <row r="84">
      <c r="A84" s="6" t="n">
        <v>2010</v>
      </c>
      <c r="B84" s="6" t="inlineStr">
        <is>
          <t>fluorita</t>
        </is>
      </c>
      <c r="C84" s="6" t="n">
        <v>1067386</v>
      </c>
      <c r="D84" s="6" t="n">
        <v>191.54</v>
      </c>
      <c r="E84" s="6" t="n">
        <v>204443406</v>
      </c>
      <c r="F84" s="6" t="n">
        <v>1.97</v>
      </c>
      <c r="G84" s="6" t="inlineStr">
        <is>
          <t>si</t>
        </is>
      </c>
      <c r="H84" s="11">
        <f>C84*D84</f>
        <v/>
      </c>
      <c r="I84" s="11">
        <f>ROUND(H84-E84,0)</f>
        <v/>
      </c>
      <c r="J84" s="11">
        <f>ROUND(E84/SUMIFS($E$4:$E$313,$A$4:$A$313,A84)*100,2)</f>
        <v/>
      </c>
      <c r="K84" s="11">
        <f>ROUND(J84-F84,2)</f>
        <v/>
      </c>
    </row>
    <row r="85">
      <c r="A85" s="9" t="n">
        <v>2011</v>
      </c>
      <c r="B85" s="9" t="inlineStr">
        <is>
          <t>fluorita</t>
        </is>
      </c>
      <c r="C85" s="9" t="n">
        <v>1206907</v>
      </c>
      <c r="D85" s="9" t="n">
        <v>212.32</v>
      </c>
      <c r="E85" s="9" t="n">
        <v>256249639</v>
      </c>
      <c r="F85" s="9" t="n">
        <v>1.55</v>
      </c>
      <c r="G85" s="9" t="inlineStr">
        <is>
          <t>si</t>
        </is>
      </c>
      <c r="H85" s="11">
        <f>C85*D85</f>
        <v/>
      </c>
      <c r="I85" s="11">
        <f>ROUND(H85-E85,0)</f>
        <v/>
      </c>
      <c r="J85" s="11">
        <f>ROUND(E85/SUMIFS($E$4:$E$313,$A$4:$A$313,A85)*100,2)</f>
        <v/>
      </c>
      <c r="K85" s="11">
        <f>ROUND(J85-F85,2)</f>
        <v/>
      </c>
    </row>
    <row r="86">
      <c r="A86" s="6" t="n">
        <v>2012</v>
      </c>
      <c r="B86" s="6" t="inlineStr">
        <is>
          <t>fluorita</t>
        </is>
      </c>
      <c r="C86" s="6" t="n">
        <v>1237091</v>
      </c>
      <c r="D86" s="6" t="n">
        <v>253.81</v>
      </c>
      <c r="E86" s="6" t="n">
        <v>313987788</v>
      </c>
      <c r="F86" s="6" t="n">
        <v>1.77</v>
      </c>
      <c r="G86" s="6" t="inlineStr">
        <is>
          <t>si</t>
        </is>
      </c>
      <c r="H86" s="11">
        <f>C86*D86</f>
        <v/>
      </c>
      <c r="I86" s="11">
        <f>ROUND(H86-E86,0)</f>
        <v/>
      </c>
      <c r="J86" s="11">
        <f>ROUND(E86/SUMIFS($E$4:$E$313,$A$4:$A$313,A86)*100,2)</f>
        <v/>
      </c>
      <c r="K86" s="11">
        <f>ROUND(J86-F86,2)</f>
        <v/>
      </c>
    </row>
    <row r="87">
      <c r="A87" s="9" t="n">
        <v>2013</v>
      </c>
      <c r="B87" s="9" t="inlineStr">
        <is>
          <t>fluorita</t>
        </is>
      </c>
      <c r="C87" s="9" t="n">
        <v>1210477</v>
      </c>
      <c r="D87" s="9" t="n">
        <v>229.14</v>
      </c>
      <c r="E87" s="9" t="n">
        <v>277374192</v>
      </c>
      <c r="F87" s="9" t="n">
        <v>1.71</v>
      </c>
      <c r="G87" s="9" t="inlineStr">
        <is>
          <t>si</t>
        </is>
      </c>
      <c r="H87" s="11">
        <f>C87*D87</f>
        <v/>
      </c>
      <c r="I87" s="11">
        <f>ROUND(H87-E87,0)</f>
        <v/>
      </c>
      <c r="J87" s="11">
        <f>ROUND(E87/SUMIFS($E$4:$E$313,$A$4:$A$313,A87)*100,2)</f>
        <v/>
      </c>
      <c r="K87" s="11">
        <f>ROUND(J87-F87,2)</f>
        <v/>
      </c>
    </row>
    <row r="88">
      <c r="A88" s="6" t="n">
        <v>2014</v>
      </c>
      <c r="B88" s="6" t="inlineStr">
        <is>
          <t>fluorita</t>
        </is>
      </c>
      <c r="C88" s="6" t="n">
        <v>1109721</v>
      </c>
      <c r="D88" s="6" t="n">
        <v>254.21</v>
      </c>
      <c r="E88" s="6" t="n">
        <v>282101834</v>
      </c>
      <c r="F88" s="6" t="n">
        <v>2.03</v>
      </c>
      <c r="G88" s="6" t="inlineStr">
        <is>
          <t>si</t>
        </is>
      </c>
      <c r="H88" s="11">
        <f>C88*D88</f>
        <v/>
      </c>
      <c r="I88" s="11">
        <f>ROUND(H88-E88,0)</f>
        <v/>
      </c>
      <c r="J88" s="11">
        <f>ROUND(E88/SUMIFS($E$4:$E$313,$A$4:$A$313,A88)*100,2)</f>
        <v/>
      </c>
      <c r="K88" s="11">
        <f>ROUND(J88-F88,2)</f>
        <v/>
      </c>
    </row>
    <row r="89">
      <c r="A89" s="9" t="n">
        <v>2015</v>
      </c>
      <c r="B89" s="9" t="inlineStr">
        <is>
          <t>fluorita</t>
        </is>
      </c>
      <c r="C89" s="9" t="n">
        <v>624574</v>
      </c>
      <c r="D89" s="9" t="n">
        <v>285.23</v>
      </c>
      <c r="E89" s="9" t="n">
        <v>178148832</v>
      </c>
      <c r="F89" s="9" t="n">
        <v>1.26</v>
      </c>
      <c r="G89" s="9" t="inlineStr">
        <is>
          <t>si</t>
        </is>
      </c>
      <c r="H89" s="11">
        <f>C89*D89</f>
        <v/>
      </c>
      <c r="I89" s="11">
        <f>ROUND(H89-E89,0)</f>
        <v/>
      </c>
      <c r="J89" s="11">
        <f>ROUND(E89/SUMIFS($E$4:$E$313,$A$4:$A$313,A89)*100,2)</f>
        <v/>
      </c>
      <c r="K89" s="11">
        <f>ROUND(J89-F89,2)</f>
        <v/>
      </c>
    </row>
    <row r="90">
      <c r="A90" s="6" t="n">
        <v>2016</v>
      </c>
      <c r="B90" s="6" t="inlineStr">
        <is>
          <t>fluorita</t>
        </is>
      </c>
      <c r="C90" s="6" t="n">
        <v>656231</v>
      </c>
      <c r="D90" s="6" t="n">
        <v>255.39</v>
      </c>
      <c r="E90" s="6" t="n">
        <v>167592930</v>
      </c>
      <c r="F90" s="6" t="n">
        <v>1.15</v>
      </c>
      <c r="G90" s="6" t="inlineStr">
        <is>
          <t>si</t>
        </is>
      </c>
      <c r="H90" s="11">
        <f>C90*D90</f>
        <v/>
      </c>
      <c r="I90" s="11">
        <f>ROUND(H90-E90,0)</f>
        <v/>
      </c>
      <c r="J90" s="11">
        <f>ROUND(E90/SUMIFS($E$4:$E$313,$A$4:$A$313,A90)*100,2)</f>
        <v/>
      </c>
      <c r="K90" s="11">
        <f>ROUND(J90-F90,2)</f>
        <v/>
      </c>
    </row>
    <row r="91">
      <c r="A91" s="9" t="n">
        <v>2017</v>
      </c>
      <c r="B91" s="9" t="inlineStr">
        <is>
          <t>fluorita</t>
        </is>
      </c>
      <c r="C91" s="9" t="n">
        <v>724380</v>
      </c>
      <c r="D91" s="9" t="n">
        <v>249.77</v>
      </c>
      <c r="E91" s="9" t="n">
        <v>180931430</v>
      </c>
      <c r="F91" s="9" t="n">
        <v>1.11</v>
      </c>
      <c r="G91" s="9" t="inlineStr">
        <is>
          <t>si</t>
        </is>
      </c>
      <c r="H91" s="11">
        <f>C91*D91</f>
        <v/>
      </c>
      <c r="I91" s="11">
        <f>ROUND(H91-E91,0)</f>
        <v/>
      </c>
      <c r="J91" s="11">
        <f>ROUND(E91/SUMIFS($E$4:$E$313,$A$4:$A$313,A91)*100,2)</f>
        <v/>
      </c>
      <c r="K91" s="11">
        <f>ROUND(J91-F91,2)</f>
        <v/>
      </c>
    </row>
    <row r="92">
      <c r="A92" s="6" t="n">
        <v>2018</v>
      </c>
      <c r="B92" s="6" t="inlineStr">
        <is>
          <t>fluorita</t>
        </is>
      </c>
      <c r="C92" s="6" t="n">
        <v>1182058</v>
      </c>
      <c r="D92" s="6" t="n">
        <v>258.19</v>
      </c>
      <c r="E92" s="6" t="n">
        <v>305199749</v>
      </c>
      <c r="F92" s="6" t="n">
        <v>1.86</v>
      </c>
      <c r="G92" s="6" t="inlineStr">
        <is>
          <t>si</t>
        </is>
      </c>
      <c r="H92" s="11">
        <f>C92*D92</f>
        <v/>
      </c>
      <c r="I92" s="11">
        <f>ROUND(H92-E92,0)</f>
        <v/>
      </c>
      <c r="J92" s="11">
        <f>ROUND(E92/SUMIFS($E$4:$E$313,$A$4:$A$313,A92)*100,2)</f>
        <v/>
      </c>
      <c r="K92" s="11">
        <f>ROUND(J92-F92,2)</f>
        <v/>
      </c>
    </row>
    <row r="93">
      <c r="A93" s="9" t="n">
        <v>2019</v>
      </c>
      <c r="B93" s="9" t="inlineStr">
        <is>
          <t>fluorita</t>
        </is>
      </c>
      <c r="C93" s="9" t="n">
        <v>1230000</v>
      </c>
      <c r="D93" s="9" t="n">
        <v>303.1</v>
      </c>
      <c r="E93" s="9" t="n">
        <v>372809032</v>
      </c>
      <c r="F93" s="9" t="n">
        <v>2.38</v>
      </c>
      <c r="G93" s="9" t="inlineStr">
        <is>
          <t>si</t>
        </is>
      </c>
      <c r="H93" s="11">
        <f>C93*D93</f>
        <v/>
      </c>
      <c r="I93" s="11">
        <f>ROUND(H93-E93,0)</f>
        <v/>
      </c>
      <c r="J93" s="11">
        <f>ROUND(E93/SUMIFS($E$4:$E$313,$A$4:$A$313,A93)*100,2)</f>
        <v/>
      </c>
      <c r="K93" s="11">
        <f>ROUND(J93-F93,2)</f>
        <v/>
      </c>
    </row>
    <row r="94">
      <c r="A94" s="6" t="n">
        <v>2020</v>
      </c>
      <c r="B94" s="6" t="inlineStr">
        <is>
          <t>fluorita</t>
        </is>
      </c>
      <c r="C94" s="6" t="n">
        <v>910000</v>
      </c>
      <c r="D94" s="6" t="n">
        <v>299.35</v>
      </c>
      <c r="E94" s="6" t="n">
        <v>272412903</v>
      </c>
      <c r="F94" s="6" t="n">
        <v>1.61</v>
      </c>
      <c r="G94" s="6" t="inlineStr">
        <is>
          <t>si</t>
        </is>
      </c>
      <c r="H94" s="11">
        <f>C94*D94</f>
        <v/>
      </c>
      <c r="I94" s="11">
        <f>ROUND(H94-E94,0)</f>
        <v/>
      </c>
      <c r="J94" s="11">
        <f>ROUND(E94/SUMIFS($E$4:$E$313,$A$4:$A$313,A94)*100,2)</f>
        <v/>
      </c>
      <c r="K94" s="11">
        <f>ROUND(J94-F94,2)</f>
        <v/>
      </c>
    </row>
    <row r="95">
      <c r="A95" s="9" t="n">
        <v>2021</v>
      </c>
      <c r="B95" s="9" t="inlineStr">
        <is>
          <t>fluorita</t>
        </is>
      </c>
      <c r="C95" s="9" t="n">
        <v>1000000</v>
      </c>
      <c r="D95" s="9" t="n">
        <v>301.23</v>
      </c>
      <c r="E95" s="9" t="n">
        <v>301225806</v>
      </c>
      <c r="F95" s="9" t="n">
        <v>1.33</v>
      </c>
      <c r="G95" s="9" t="inlineStr">
        <is>
          <t>si</t>
        </is>
      </c>
      <c r="H95" s="11">
        <f>C95*D95</f>
        <v/>
      </c>
      <c r="I95" s="11">
        <f>ROUND(H95-E95,0)</f>
        <v/>
      </c>
      <c r="J95" s="11">
        <f>ROUND(E95/SUMIFS($E$4:$E$313,$A$4:$A$313,A95)*100,2)</f>
        <v/>
      </c>
      <c r="K95" s="11">
        <f>ROUND(J95-F95,2)</f>
        <v/>
      </c>
    </row>
    <row r="96">
      <c r="A96" s="6" t="n">
        <v>2022</v>
      </c>
      <c r="B96" s="6" t="inlineStr">
        <is>
          <t>fluorita</t>
        </is>
      </c>
      <c r="C96" s="6" t="n">
        <v>1000000</v>
      </c>
      <c r="D96" s="6" t="n">
        <v>362.03</v>
      </c>
      <c r="E96" s="6" t="n">
        <v>362032258</v>
      </c>
      <c r="F96" s="6" t="n">
        <v>1.58</v>
      </c>
      <c r="G96" s="6" t="inlineStr">
        <is>
          <t>si</t>
        </is>
      </c>
      <c r="H96" s="11">
        <f>C96*D96</f>
        <v/>
      </c>
      <c r="I96" s="11">
        <f>ROUND(H96-E96,0)</f>
        <v/>
      </c>
      <c r="J96" s="11">
        <f>ROUND(E96/SUMIFS($E$4:$E$313,$A$4:$A$313,A96)*100,2)</f>
        <v/>
      </c>
      <c r="K96" s="11">
        <f>ROUND(J96-F96,2)</f>
        <v/>
      </c>
    </row>
    <row r="97">
      <c r="A97" s="9" t="n">
        <v>1992</v>
      </c>
      <c r="B97" s="9" t="inlineStr">
        <is>
          <t>grafito</t>
        </is>
      </c>
      <c r="C97" s="9" t="n">
        <v>30500</v>
      </c>
      <c r="D97" s="9" t="n">
        <v>513.1</v>
      </c>
      <c r="E97" s="9" t="n">
        <v>15649550</v>
      </c>
      <c r="F97" s="9" t="n">
        <v>0.9</v>
      </c>
      <c r="G97" s="9" t="inlineStr">
        <is>
          <t>si</t>
        </is>
      </c>
      <c r="H97" s="11">
        <f>C97*D97</f>
        <v/>
      </c>
      <c r="I97" s="11">
        <f>ROUND(H97-E97,0)</f>
        <v/>
      </c>
      <c r="J97" s="11">
        <f>ROUND(E97/SUMIFS($E$4:$E$313,$A$4:$A$313,A97)*100,2)</f>
        <v/>
      </c>
      <c r="K97" s="11">
        <f>ROUND(J97-F97,2)</f>
        <v/>
      </c>
    </row>
    <row r="98">
      <c r="A98" s="6" t="n">
        <v>1993</v>
      </c>
      <c r="B98" s="6" t="inlineStr">
        <is>
          <t>grafito</t>
        </is>
      </c>
      <c r="C98" s="6" t="n">
        <v>42600</v>
      </c>
      <c r="D98" s="6" t="n">
        <v>572.8</v>
      </c>
      <c r="E98" s="6" t="n">
        <v>24401280</v>
      </c>
      <c r="F98" s="6" t="n">
        <v>1.48</v>
      </c>
      <c r="G98" s="6" t="inlineStr">
        <is>
          <t>si</t>
        </is>
      </c>
      <c r="H98" s="11">
        <f>C98*D98</f>
        <v/>
      </c>
      <c r="I98" s="11">
        <f>ROUND(H98-E98,0)</f>
        <v/>
      </c>
      <c r="J98" s="11">
        <f>ROUND(E98/SUMIFS($E$4:$E$313,$A$4:$A$313,A98)*100,2)</f>
        <v/>
      </c>
      <c r="K98" s="11">
        <f>ROUND(J98-F98,2)</f>
        <v/>
      </c>
    </row>
    <row r="99">
      <c r="A99" s="9" t="n">
        <v>1994</v>
      </c>
      <c r="B99" s="9" t="inlineStr">
        <is>
          <t>grafito</t>
        </is>
      </c>
      <c r="C99" s="9" t="n">
        <v>29903</v>
      </c>
      <c r="D99" s="9" t="n">
        <v>506.6</v>
      </c>
      <c r="E99" s="9" t="n">
        <v>15148860</v>
      </c>
      <c r="F99" s="9" t="n">
        <v>0.78</v>
      </c>
      <c r="G99" s="9" t="inlineStr">
        <is>
          <t>si</t>
        </is>
      </c>
      <c r="H99" s="11">
        <f>C99*D99</f>
        <v/>
      </c>
      <c r="I99" s="11">
        <f>ROUND(H99-E99,0)</f>
        <v/>
      </c>
      <c r="J99" s="11">
        <f>ROUND(E99/SUMIFS($E$4:$E$313,$A$4:$A$313,A99)*100,2)</f>
        <v/>
      </c>
      <c r="K99" s="11">
        <f>ROUND(J99-F99,2)</f>
        <v/>
      </c>
    </row>
    <row r="100">
      <c r="A100" s="6" t="n">
        <v>1995</v>
      </c>
      <c r="B100" s="6" t="inlineStr">
        <is>
          <t>grafito</t>
        </is>
      </c>
      <c r="C100" s="6" t="n">
        <v>32938</v>
      </c>
      <c r="D100" s="6" t="n">
        <v>495.9</v>
      </c>
      <c r="E100" s="6" t="n">
        <v>16333954</v>
      </c>
      <c r="F100" s="6" t="n">
        <v>0.66</v>
      </c>
      <c r="G100" s="6" t="inlineStr">
        <is>
          <t>si</t>
        </is>
      </c>
      <c r="H100" s="11">
        <f>C100*D100</f>
        <v/>
      </c>
      <c r="I100" s="11">
        <f>ROUND(H100-E100,0)</f>
        <v/>
      </c>
      <c r="J100" s="11">
        <f>ROUND(E100/SUMIFS($E$4:$E$313,$A$4:$A$313,A100)*100,2)</f>
        <v/>
      </c>
      <c r="K100" s="11">
        <f>ROUND(J100-F100,2)</f>
        <v/>
      </c>
    </row>
    <row r="101">
      <c r="A101" s="9" t="n">
        <v>1996</v>
      </c>
      <c r="B101" s="9" t="inlineStr">
        <is>
          <t>grafito</t>
        </is>
      </c>
      <c r="C101" s="9" t="n">
        <v>38967</v>
      </c>
      <c r="D101" s="9" t="n">
        <v>535.6</v>
      </c>
      <c r="E101" s="9" t="n">
        <v>20870725</v>
      </c>
      <c r="F101" s="9" t="n">
        <v>0.87</v>
      </c>
      <c r="G101" s="9" t="inlineStr">
        <is>
          <t>si</t>
        </is>
      </c>
      <c r="H101" s="11">
        <f>C101*D101</f>
        <v/>
      </c>
      <c r="I101" s="11">
        <f>ROUND(H101-E101,0)</f>
        <v/>
      </c>
      <c r="J101" s="11">
        <f>ROUND(E101/SUMIFS($E$4:$E$313,$A$4:$A$313,A101)*100,2)</f>
        <v/>
      </c>
      <c r="K101" s="11">
        <f>ROUND(J101-F101,2)</f>
        <v/>
      </c>
    </row>
    <row r="102">
      <c r="A102" s="6" t="n">
        <v>1997</v>
      </c>
      <c r="B102" s="6" t="inlineStr">
        <is>
          <t>grafito</t>
        </is>
      </c>
      <c r="C102" s="6" t="n">
        <v>46707</v>
      </c>
      <c r="D102" s="6" t="n">
        <v>557.7</v>
      </c>
      <c r="E102" s="6" t="n">
        <v>26048494</v>
      </c>
      <c r="F102" s="6" t="n">
        <v>1.01</v>
      </c>
      <c r="G102" s="6" t="inlineStr">
        <is>
          <t>si</t>
        </is>
      </c>
      <c r="H102" s="11">
        <f>C102*D102</f>
        <v/>
      </c>
      <c r="I102" s="11">
        <f>ROUND(H102-E102,0)</f>
        <v/>
      </c>
      <c r="J102" s="11">
        <f>ROUND(E102/SUMIFS($E$4:$E$313,$A$4:$A$313,A102)*100,2)</f>
        <v/>
      </c>
      <c r="K102" s="11">
        <f>ROUND(J102-F102,2)</f>
        <v/>
      </c>
    </row>
    <row r="103">
      <c r="A103" s="9" t="n">
        <v>1998</v>
      </c>
      <c r="B103" s="9" t="inlineStr">
        <is>
          <t>grafito</t>
        </is>
      </c>
      <c r="C103" s="9" t="n">
        <v>42893</v>
      </c>
      <c r="D103" s="9" t="n">
        <v>565</v>
      </c>
      <c r="E103" s="9" t="n">
        <v>24234545</v>
      </c>
      <c r="F103" s="9" t="n">
        <v>1.08</v>
      </c>
      <c r="G103" s="9" t="inlineStr">
        <is>
          <t>si</t>
        </is>
      </c>
      <c r="H103" s="11">
        <f>C103*D103</f>
        <v/>
      </c>
      <c r="I103" s="11">
        <f>ROUND(H103-E103,0)</f>
        <v/>
      </c>
      <c r="J103" s="11">
        <f>ROUND(E103/SUMIFS($E$4:$E$313,$A$4:$A$313,A103)*100,2)</f>
        <v/>
      </c>
      <c r="K103" s="11">
        <f>ROUND(J103-F103,2)</f>
        <v/>
      </c>
    </row>
    <row r="104">
      <c r="A104" s="6" t="n">
        <v>1999</v>
      </c>
      <c r="B104" s="6" t="inlineStr">
        <is>
          <t>grafito</t>
        </is>
      </c>
      <c r="C104" s="6" t="n">
        <v>27781</v>
      </c>
      <c r="D104" s="6" t="n">
        <v>624</v>
      </c>
      <c r="E104" s="6" t="n">
        <v>17335344</v>
      </c>
      <c r="F104" s="6" t="n">
        <v>0.86</v>
      </c>
      <c r="G104" s="6" t="inlineStr">
        <is>
          <t>si</t>
        </is>
      </c>
      <c r="H104" s="11">
        <f>C104*D104</f>
        <v/>
      </c>
      <c r="I104" s="11">
        <f>ROUND(H104-E104,0)</f>
        <v/>
      </c>
      <c r="J104" s="11">
        <f>ROUND(E104/SUMIFS($E$4:$E$313,$A$4:$A$313,A104)*100,2)</f>
        <v/>
      </c>
      <c r="K104" s="11">
        <f>ROUND(J104-F104,2)</f>
        <v/>
      </c>
    </row>
    <row r="105">
      <c r="A105" s="9" t="n">
        <v>2000</v>
      </c>
      <c r="B105" s="9" t="inlineStr">
        <is>
          <t>grafito</t>
        </is>
      </c>
      <c r="C105" s="9" t="n">
        <v>30330</v>
      </c>
      <c r="D105" s="9" t="n">
        <v>535</v>
      </c>
      <c r="E105" s="9" t="n">
        <v>16226550</v>
      </c>
      <c r="F105" s="9" t="n">
        <v>0.74</v>
      </c>
      <c r="G105" s="9" t="inlineStr">
        <is>
          <t>si</t>
        </is>
      </c>
      <c r="H105" s="11">
        <f>C105*D105</f>
        <v/>
      </c>
      <c r="I105" s="11">
        <f>ROUND(H105-E105,0)</f>
        <v/>
      </c>
      <c r="J105" s="11">
        <f>ROUND(E105/SUMIFS($E$4:$E$313,$A$4:$A$313,A105)*100,2)</f>
        <v/>
      </c>
      <c r="K105" s="11">
        <f>ROUND(J105-F105,2)</f>
        <v/>
      </c>
    </row>
    <row r="106">
      <c r="A106" s="6" t="n">
        <v>2001</v>
      </c>
      <c r="B106" s="6" t="inlineStr">
        <is>
          <t>grafito</t>
        </is>
      </c>
      <c r="C106" s="6" t="n">
        <v>21442</v>
      </c>
      <c r="D106" s="6" t="n">
        <v>447</v>
      </c>
      <c r="E106" s="6" t="n">
        <v>9584574</v>
      </c>
      <c r="F106" s="6" t="n">
        <v>0.49</v>
      </c>
      <c r="G106" s="6" t="inlineStr">
        <is>
          <t>si</t>
        </is>
      </c>
      <c r="H106" s="11">
        <f>C106*D106</f>
        <v/>
      </c>
      <c r="I106" s="11">
        <f>ROUND(H106-E106,0)</f>
        <v/>
      </c>
      <c r="J106" s="11">
        <f>ROUND(E106/SUMIFS($E$4:$E$313,$A$4:$A$313,A106)*100,2)</f>
        <v/>
      </c>
      <c r="K106" s="11">
        <f>ROUND(J106-F106,2)</f>
        <v/>
      </c>
    </row>
    <row r="107">
      <c r="A107" s="9" t="n">
        <v>2002</v>
      </c>
      <c r="B107" s="9" t="inlineStr">
        <is>
          <t>grafito</t>
        </is>
      </c>
      <c r="C107" s="9" t="n">
        <v>14065</v>
      </c>
      <c r="D107" s="9" t="n">
        <v>495</v>
      </c>
      <c r="E107" s="9" t="n">
        <v>6962175</v>
      </c>
      <c r="F107" s="9" t="n">
        <v>0.38</v>
      </c>
      <c r="G107" s="9" t="inlineStr">
        <is>
          <t>si</t>
        </is>
      </c>
      <c r="H107" s="11">
        <f>C107*D107</f>
        <v/>
      </c>
      <c r="I107" s="11">
        <f>ROUND(H107-E107,0)</f>
        <v/>
      </c>
      <c r="J107" s="11">
        <f>ROUND(E107/SUMIFS($E$4:$E$313,$A$4:$A$313,A107)*100,2)</f>
        <v/>
      </c>
      <c r="K107" s="11">
        <f>ROUND(J107-F107,2)</f>
        <v/>
      </c>
    </row>
    <row r="108">
      <c r="A108" s="6" t="n">
        <v>2003</v>
      </c>
      <c r="B108" s="6" t="inlineStr">
        <is>
          <t>grafito</t>
        </is>
      </c>
      <c r="C108" s="6" t="n">
        <v>8730</v>
      </c>
      <c r="D108" s="6" t="n">
        <v>467</v>
      </c>
      <c r="E108" s="6" t="n">
        <v>4076910</v>
      </c>
      <c r="F108" s="6" t="n">
        <v>0.2</v>
      </c>
      <c r="G108" s="6" t="inlineStr">
        <is>
          <t>si</t>
        </is>
      </c>
      <c r="H108" s="11">
        <f>C108*D108</f>
        <v/>
      </c>
      <c r="I108" s="11">
        <f>ROUND(H108-E108,0)</f>
        <v/>
      </c>
      <c r="J108" s="11">
        <f>ROUND(E108/SUMIFS($E$4:$E$313,$A$4:$A$313,A108)*100,2)</f>
        <v/>
      </c>
      <c r="K108" s="11">
        <f>ROUND(J108-F108,2)</f>
        <v/>
      </c>
    </row>
    <row r="109">
      <c r="A109" s="9" t="n">
        <v>2004</v>
      </c>
      <c r="B109" s="9" t="inlineStr">
        <is>
          <t>grafito</t>
        </is>
      </c>
      <c r="C109" s="9" t="n">
        <v>14769</v>
      </c>
      <c r="D109" s="9" t="n">
        <v>469</v>
      </c>
      <c r="E109" s="9" t="n">
        <v>6926661</v>
      </c>
      <c r="F109" s="9" t="n">
        <v>0.23</v>
      </c>
      <c r="G109" s="9" t="inlineStr">
        <is>
          <t>si</t>
        </is>
      </c>
      <c r="H109" s="11">
        <f>C109*D109</f>
        <v/>
      </c>
      <c r="I109" s="11">
        <f>ROUND(H109-E109,0)</f>
        <v/>
      </c>
      <c r="J109" s="11">
        <f>ROUND(E109/SUMIFS($E$4:$E$313,$A$4:$A$313,A109)*100,2)</f>
        <v/>
      </c>
      <c r="K109" s="11">
        <f>ROUND(J109-F109,2)</f>
        <v/>
      </c>
    </row>
    <row r="110">
      <c r="A110" s="6" t="n">
        <v>2005</v>
      </c>
      <c r="B110" s="6" t="inlineStr">
        <is>
          <t>grafito</t>
        </is>
      </c>
      <c r="C110" s="6" t="n">
        <v>12357</v>
      </c>
      <c r="D110" s="6" t="n">
        <v>537</v>
      </c>
      <c r="E110" s="6" t="n">
        <v>6635709</v>
      </c>
      <c r="F110" s="6" t="n">
        <v>0.17</v>
      </c>
      <c r="G110" s="6" t="inlineStr">
        <is>
          <t>si</t>
        </is>
      </c>
      <c r="H110" s="11">
        <f>C110*D110</f>
        <v/>
      </c>
      <c r="I110" s="11">
        <f>ROUND(H110-E110,0)</f>
        <v/>
      </c>
      <c r="J110" s="11">
        <f>ROUND(E110/SUMIFS($E$4:$E$313,$A$4:$A$313,A110)*100,2)</f>
        <v/>
      </c>
      <c r="K110" s="11">
        <f>ROUND(J110-F110,2)</f>
        <v/>
      </c>
    </row>
    <row r="111">
      <c r="A111" s="9" t="n">
        <v>2006</v>
      </c>
      <c r="B111" s="9" t="inlineStr">
        <is>
          <t>grafito</t>
        </is>
      </c>
      <c r="C111" s="9" t="n">
        <v>11773</v>
      </c>
      <c r="D111" s="9" t="n">
        <v>553</v>
      </c>
      <c r="E111" s="9" t="n">
        <v>6510469</v>
      </c>
      <c r="F111" s="9" t="n">
        <v>0.1</v>
      </c>
      <c r="G111" s="9" t="inlineStr">
        <is>
          <t>si</t>
        </is>
      </c>
      <c r="H111" s="11">
        <f>C111*D111</f>
        <v/>
      </c>
      <c r="I111" s="11">
        <f>ROUND(H111-E111,0)</f>
        <v/>
      </c>
      <c r="J111" s="11">
        <f>ROUND(E111/SUMIFS($E$4:$E$313,$A$4:$A$313,A111)*100,2)</f>
        <v/>
      </c>
      <c r="K111" s="11">
        <f>ROUND(J111-F111,2)</f>
        <v/>
      </c>
    </row>
    <row r="112">
      <c r="A112" s="6" t="n">
        <v>2007</v>
      </c>
      <c r="B112" s="6" t="inlineStr">
        <is>
          <t>grafito</t>
        </is>
      </c>
      <c r="C112" s="6" t="n">
        <v>9900</v>
      </c>
      <c r="D112" s="6" t="n">
        <v>636</v>
      </c>
      <c r="E112" s="6" t="n">
        <v>6296400</v>
      </c>
      <c r="F112" s="6" t="n">
        <v>0.09</v>
      </c>
      <c r="G112" s="6" t="inlineStr">
        <is>
          <t>si</t>
        </is>
      </c>
      <c r="H112" s="11">
        <f>C112*D112</f>
        <v/>
      </c>
      <c r="I112" s="11">
        <f>ROUND(H112-E112,0)</f>
        <v/>
      </c>
      <c r="J112" s="11">
        <f>ROUND(E112/SUMIFS($E$4:$E$313,$A$4:$A$313,A112)*100,2)</f>
        <v/>
      </c>
      <c r="K112" s="11">
        <f>ROUND(J112-F112,2)</f>
        <v/>
      </c>
    </row>
    <row r="113">
      <c r="A113" s="9" t="n">
        <v>2008</v>
      </c>
      <c r="B113" s="9" t="inlineStr">
        <is>
          <t>grafito</t>
        </is>
      </c>
      <c r="C113" s="9" t="n">
        <v>7229</v>
      </c>
      <c r="D113" s="9" t="n">
        <v>826</v>
      </c>
      <c r="E113" s="9" t="n">
        <v>5971154</v>
      </c>
      <c r="F113" s="9" t="n">
        <v>0.09</v>
      </c>
      <c r="G113" s="9" t="inlineStr">
        <is>
          <t>si</t>
        </is>
      </c>
      <c r="H113" s="11">
        <f>C113*D113</f>
        <v/>
      </c>
      <c r="I113" s="11">
        <f>ROUND(H113-E113,0)</f>
        <v/>
      </c>
      <c r="J113" s="11">
        <f>ROUND(E113/SUMIFS($E$4:$E$313,$A$4:$A$313,A113)*100,2)</f>
        <v/>
      </c>
      <c r="K113" s="11">
        <f>ROUND(J113-F113,2)</f>
        <v/>
      </c>
    </row>
    <row r="114">
      <c r="A114" s="6" t="n">
        <v>2009</v>
      </c>
      <c r="B114" s="6" t="inlineStr">
        <is>
          <t>grafito</t>
        </is>
      </c>
      <c r="C114" s="6" t="n">
        <v>5105</v>
      </c>
      <c r="D114" s="6" t="n">
        <v>897</v>
      </c>
      <c r="E114" s="6" t="n">
        <v>4579185</v>
      </c>
      <c r="F114" s="6" t="n">
        <v>0.07000000000000001</v>
      </c>
      <c r="G114" s="6" t="inlineStr">
        <is>
          <t>si</t>
        </is>
      </c>
      <c r="H114" s="11">
        <f>C114*D114</f>
        <v/>
      </c>
      <c r="I114" s="11">
        <f>ROUND(H114-E114,0)</f>
        <v/>
      </c>
      <c r="J114" s="11">
        <f>ROUND(E114/SUMIFS($E$4:$E$313,$A$4:$A$313,A114)*100,2)</f>
        <v/>
      </c>
      <c r="K114" s="11">
        <f>ROUND(J114-F114,2)</f>
        <v/>
      </c>
    </row>
    <row r="115">
      <c r="A115" s="9" t="n">
        <v>2010</v>
      </c>
      <c r="B115" s="9" t="inlineStr">
        <is>
          <t>grafito</t>
        </is>
      </c>
      <c r="C115" s="9" t="n">
        <v>6628</v>
      </c>
      <c r="D115" s="9" t="n">
        <v>797.04</v>
      </c>
      <c r="E115" s="9" t="n">
        <v>5282805</v>
      </c>
      <c r="F115" s="9" t="n">
        <v>0.05</v>
      </c>
      <c r="G115" s="9" t="inlineStr">
        <is>
          <t>si</t>
        </is>
      </c>
      <c r="H115" s="11">
        <f>C115*D115</f>
        <v/>
      </c>
      <c r="I115" s="11">
        <f>ROUND(H115-E115,0)</f>
        <v/>
      </c>
      <c r="J115" s="11">
        <f>ROUND(E115/SUMIFS($E$4:$E$313,$A$4:$A$313,A115)*100,2)</f>
        <v/>
      </c>
      <c r="K115" s="11">
        <f>ROUND(J115-F115,2)</f>
        <v/>
      </c>
    </row>
    <row r="116">
      <c r="A116" s="6" t="n">
        <v>2011</v>
      </c>
      <c r="B116" s="6" t="inlineStr">
        <is>
          <t>grafito</t>
        </is>
      </c>
      <c r="C116" s="6" t="n">
        <v>7348</v>
      </c>
      <c r="D116" s="6" t="n">
        <v>1130</v>
      </c>
      <c r="E116" s="6" t="n">
        <v>8303240</v>
      </c>
      <c r="F116" s="6" t="n">
        <v>0.05</v>
      </c>
      <c r="G116" s="6" t="inlineStr">
        <is>
          <t>si</t>
        </is>
      </c>
      <c r="H116" s="11">
        <f>C116*D116</f>
        <v/>
      </c>
      <c r="I116" s="11">
        <f>ROUND(H116-E116,0)</f>
        <v/>
      </c>
      <c r="J116" s="11">
        <f>ROUND(E116/SUMIFS($E$4:$E$313,$A$4:$A$313,A116)*100,2)</f>
        <v/>
      </c>
      <c r="K116" s="11">
        <f>ROUND(J116-F116,2)</f>
        <v/>
      </c>
    </row>
    <row r="117">
      <c r="A117" s="9" t="n">
        <v>2012</v>
      </c>
      <c r="B117" s="9" t="inlineStr">
        <is>
          <t>grafito</t>
        </is>
      </c>
      <c r="C117" s="9" t="n">
        <v>7520</v>
      </c>
      <c r="D117" s="9" t="n">
        <v>1210</v>
      </c>
      <c r="E117" s="9" t="n">
        <v>9099200</v>
      </c>
      <c r="F117" s="9" t="n">
        <v>0.05</v>
      </c>
      <c r="G117" s="9" t="inlineStr">
        <is>
          <t>si</t>
        </is>
      </c>
      <c r="H117" s="11">
        <f>C117*D117</f>
        <v/>
      </c>
      <c r="I117" s="11">
        <f>ROUND(H117-E117,0)</f>
        <v/>
      </c>
      <c r="J117" s="11">
        <f>ROUND(E117/SUMIFS($E$4:$E$313,$A$4:$A$313,A117)*100,2)</f>
        <v/>
      </c>
      <c r="K117" s="11">
        <f>ROUND(J117-F117,2)</f>
        <v/>
      </c>
    </row>
    <row r="118">
      <c r="A118" s="6" t="n">
        <v>2013</v>
      </c>
      <c r="B118" s="6" t="inlineStr">
        <is>
          <t>grafito</t>
        </is>
      </c>
      <c r="C118" s="6" t="n">
        <v>7024</v>
      </c>
      <c r="D118" s="6" t="n">
        <v>1150</v>
      </c>
      <c r="E118" s="6" t="n">
        <v>8077600</v>
      </c>
      <c r="F118" s="6" t="n">
        <v>0.05</v>
      </c>
      <c r="G118" s="6" t="inlineStr">
        <is>
          <t>si</t>
        </is>
      </c>
      <c r="H118" s="11">
        <f>C118*D118</f>
        <v/>
      </c>
      <c r="I118" s="11">
        <f>ROUND(H118-E118,0)</f>
        <v/>
      </c>
      <c r="J118" s="11">
        <f>ROUND(E118/SUMIFS($E$4:$E$313,$A$4:$A$313,A118)*100,2)</f>
        <v/>
      </c>
      <c r="K118" s="11">
        <f>ROUND(J118-F118,2)</f>
        <v/>
      </c>
    </row>
    <row r="119">
      <c r="A119" s="9" t="n">
        <v>2014</v>
      </c>
      <c r="B119" s="9" t="inlineStr">
        <is>
          <t>grafito</t>
        </is>
      </c>
      <c r="C119" s="9" t="n">
        <v>9160</v>
      </c>
      <c r="D119" s="9" t="n">
        <v>1040</v>
      </c>
      <c r="E119" s="9" t="n">
        <v>9526400</v>
      </c>
      <c r="F119" s="9" t="n">
        <v>0.07000000000000001</v>
      </c>
      <c r="G119" s="9" t="inlineStr">
        <is>
          <t>si</t>
        </is>
      </c>
      <c r="H119" s="11">
        <f>C119*D119</f>
        <v/>
      </c>
      <c r="I119" s="11">
        <f>ROUND(H119-E119,0)</f>
        <v/>
      </c>
      <c r="J119" s="11">
        <f>ROUND(E119/SUMIFS($E$4:$E$313,$A$4:$A$313,A119)*100,2)</f>
        <v/>
      </c>
      <c r="K119" s="11">
        <f>ROUND(J119-F119,2)</f>
        <v/>
      </c>
    </row>
    <row r="120">
      <c r="A120" s="6" t="n">
        <v>2015</v>
      </c>
      <c r="B120" s="6" t="inlineStr">
        <is>
          <t>grafito</t>
        </is>
      </c>
      <c r="C120" s="6" t="n">
        <v>6524</v>
      </c>
      <c r="D120" s="6" t="n">
        <v>1250</v>
      </c>
      <c r="E120" s="6" t="n">
        <v>8155000</v>
      </c>
      <c r="F120" s="6" t="n">
        <v>0.06</v>
      </c>
      <c r="G120" s="6" t="inlineStr">
        <is>
          <t>si</t>
        </is>
      </c>
      <c r="H120" s="11">
        <f>C120*D120</f>
        <v/>
      </c>
      <c r="I120" s="11">
        <f>ROUND(H120-E120,0)</f>
        <v/>
      </c>
      <c r="J120" s="11">
        <f>ROUND(E120/SUMIFS($E$4:$E$313,$A$4:$A$313,A120)*100,2)</f>
        <v/>
      </c>
      <c r="K120" s="11">
        <f>ROUND(J120-F120,2)</f>
        <v/>
      </c>
    </row>
    <row r="121">
      <c r="A121" s="9" t="n">
        <v>2016</v>
      </c>
      <c r="B121" s="9" t="inlineStr">
        <is>
          <t>grafito</t>
        </is>
      </c>
      <c r="C121" s="9" t="n">
        <v>3839</v>
      </c>
      <c r="D121" s="9" t="n">
        <v>1220</v>
      </c>
      <c r="E121" s="9" t="n">
        <v>4683580</v>
      </c>
      <c r="F121" s="9" t="n">
        <v>0.03</v>
      </c>
      <c r="G121" s="9" t="inlineStr">
        <is>
          <t>si</t>
        </is>
      </c>
      <c r="H121" s="11">
        <f>C121*D121</f>
        <v/>
      </c>
      <c r="I121" s="11">
        <f>ROUND(H121-E121,0)</f>
        <v/>
      </c>
      <c r="J121" s="11">
        <f>ROUND(E121/SUMIFS($E$4:$E$313,$A$4:$A$313,A121)*100,2)</f>
        <v/>
      </c>
      <c r="K121" s="11">
        <f>ROUND(J121-F121,2)</f>
        <v/>
      </c>
    </row>
    <row r="122">
      <c r="A122" s="6" t="n">
        <v>2017</v>
      </c>
      <c r="B122" s="6" t="inlineStr">
        <is>
          <t>grafito</t>
        </is>
      </c>
      <c r="C122" s="6" t="n">
        <v>1746</v>
      </c>
      <c r="D122" s="6" t="n">
        <v>1130</v>
      </c>
      <c r="E122" s="6" t="n">
        <v>1972980</v>
      </c>
      <c r="F122" s="6" t="n">
        <v>0.01</v>
      </c>
      <c r="G122" s="6" t="inlineStr">
        <is>
          <t>si</t>
        </is>
      </c>
      <c r="H122" s="11">
        <f>C122*D122</f>
        <v/>
      </c>
      <c r="I122" s="11">
        <f>ROUND(H122-E122,0)</f>
        <v/>
      </c>
      <c r="J122" s="11">
        <f>ROUND(E122/SUMIFS($E$4:$E$313,$A$4:$A$313,A122)*100,2)</f>
        <v/>
      </c>
      <c r="K122" s="11">
        <f>ROUND(J122-F122,2)</f>
        <v/>
      </c>
    </row>
    <row r="123">
      <c r="A123" s="9" t="n">
        <v>2018</v>
      </c>
      <c r="B123" s="9" t="inlineStr">
        <is>
          <t>grafito</t>
        </is>
      </c>
      <c r="C123" s="9" t="n">
        <v>4130</v>
      </c>
      <c r="D123" s="9" t="n">
        <v>913</v>
      </c>
      <c r="E123" s="9" t="n">
        <v>3770690</v>
      </c>
      <c r="F123" s="9" t="n">
        <v>0.02</v>
      </c>
      <c r="G123" s="9" t="inlineStr">
        <is>
          <t>si</t>
        </is>
      </c>
      <c r="H123" s="11">
        <f>C123*D123</f>
        <v/>
      </c>
      <c r="I123" s="11">
        <f>ROUND(H123-E123,0)</f>
        <v/>
      </c>
      <c r="J123" s="11">
        <f>ROUND(E123/SUMIFS($E$4:$E$313,$A$4:$A$313,A123)*100,2)</f>
        <v/>
      </c>
      <c r="K123" s="11">
        <f>ROUND(J123-F123,2)</f>
        <v/>
      </c>
    </row>
    <row r="124">
      <c r="A124" s="6" t="n">
        <v>2019</v>
      </c>
      <c r="B124" s="6" t="inlineStr">
        <is>
          <t>grafito</t>
        </is>
      </c>
      <c r="C124" s="6" t="n">
        <v>2300</v>
      </c>
      <c r="D124" s="6" t="n">
        <v>1120</v>
      </c>
      <c r="E124" s="6" t="n">
        <v>2576000</v>
      </c>
      <c r="F124" s="6" t="n">
        <v>0.02</v>
      </c>
      <c r="G124" s="6" t="inlineStr">
        <is>
          <t>si</t>
        </is>
      </c>
      <c r="H124" s="11">
        <f>C124*D124</f>
        <v/>
      </c>
      <c r="I124" s="11">
        <f>ROUND(H124-E124,0)</f>
        <v/>
      </c>
      <c r="J124" s="11">
        <f>ROUND(E124/SUMIFS($E$4:$E$313,$A$4:$A$313,A124)*100,2)</f>
        <v/>
      </c>
      <c r="K124" s="11">
        <f>ROUND(J124-F124,2)</f>
        <v/>
      </c>
    </row>
    <row r="125">
      <c r="A125" s="9" t="n">
        <v>2020</v>
      </c>
      <c r="B125" s="9" t="inlineStr">
        <is>
          <t>grafito</t>
        </is>
      </c>
      <c r="C125" s="9" t="n">
        <v>2033</v>
      </c>
      <c r="D125" s="9" t="n">
        <v>1240</v>
      </c>
      <c r="E125" s="9" t="n">
        <v>2520920</v>
      </c>
      <c r="F125" s="9" t="n">
        <v>0.01</v>
      </c>
      <c r="G125" s="9" t="inlineStr">
        <is>
          <t>si</t>
        </is>
      </c>
      <c r="H125" s="11">
        <f>C125*D125</f>
        <v/>
      </c>
      <c r="I125" s="11">
        <f>ROUND(H125-E125,0)</f>
        <v/>
      </c>
      <c r="J125" s="11">
        <f>ROUND(E125/SUMIFS($E$4:$E$313,$A$4:$A$313,A125)*100,2)</f>
        <v/>
      </c>
      <c r="K125" s="11">
        <f>ROUND(J125-F125,2)</f>
        <v/>
      </c>
    </row>
    <row r="126">
      <c r="A126" s="6" t="n">
        <v>2021</v>
      </c>
      <c r="B126" s="6" t="inlineStr">
        <is>
          <t>grafito</t>
        </is>
      </c>
      <c r="C126" s="6" t="n">
        <v>1800</v>
      </c>
      <c r="D126" s="6" t="n">
        <v>1340</v>
      </c>
      <c r="E126" s="6" t="n">
        <v>2412000</v>
      </c>
      <c r="F126" s="6" t="n">
        <v>0.01</v>
      </c>
      <c r="G126" s="6" t="inlineStr">
        <is>
          <t>si</t>
        </is>
      </c>
      <c r="H126" s="11">
        <f>C126*D126</f>
        <v/>
      </c>
      <c r="I126" s="11">
        <f>ROUND(H126-E126,0)</f>
        <v/>
      </c>
      <c r="J126" s="11">
        <f>ROUND(E126/SUMIFS($E$4:$E$313,$A$4:$A$313,A126)*100,2)</f>
        <v/>
      </c>
      <c r="K126" s="11">
        <f>ROUND(J126-F126,2)</f>
        <v/>
      </c>
    </row>
    <row r="127">
      <c r="A127" s="9" t="n">
        <v>2022</v>
      </c>
      <c r="B127" s="9" t="inlineStr">
        <is>
          <t>grafito</t>
        </is>
      </c>
      <c r="C127" s="9" t="n">
        <v>2000</v>
      </c>
      <c r="D127" s="9" t="n">
        <v>2090</v>
      </c>
      <c r="E127" s="9" t="n">
        <v>4180000</v>
      </c>
      <c r="F127" s="9" t="n">
        <v>0.02</v>
      </c>
      <c r="G127" s="9" t="inlineStr">
        <is>
          <t>si</t>
        </is>
      </c>
      <c r="H127" s="11">
        <f>C127*D127</f>
        <v/>
      </c>
      <c r="I127" s="11">
        <f>ROUND(H127-E127,0)</f>
        <v/>
      </c>
      <c r="J127" s="11">
        <f>ROUND(E127/SUMIFS($E$4:$E$313,$A$4:$A$313,A127)*100,2)</f>
        <v/>
      </c>
      <c r="K127" s="11">
        <f>ROUND(J127-F127,2)</f>
        <v/>
      </c>
    </row>
    <row r="128">
      <c r="A128" s="6" t="n">
        <v>1992</v>
      </c>
      <c r="B128" s="6" t="inlineStr">
        <is>
          <t>manganeso</t>
        </is>
      </c>
      <c r="C128" s="6" t="n">
        <v>153000</v>
      </c>
      <c r="D128" s="6" t="n">
        <v>654.23</v>
      </c>
      <c r="E128" s="6" t="n">
        <v>100097075</v>
      </c>
      <c r="F128" s="6" t="n">
        <v>5.74</v>
      </c>
      <c r="G128" s="6" t="inlineStr">
        <is>
          <t>si</t>
        </is>
      </c>
      <c r="H128" s="11">
        <f>C128*D128</f>
        <v/>
      </c>
      <c r="I128" s="11">
        <f>ROUND(H128-E128,0)</f>
        <v/>
      </c>
      <c r="J128" s="11">
        <f>ROUND(E128/SUMIFS($E$4:$E$313,$A$4:$A$313,A128)*100,2)</f>
        <v/>
      </c>
      <c r="K128" s="11">
        <f>ROUND(J128-F128,2)</f>
        <v/>
      </c>
    </row>
    <row r="129">
      <c r="A129" s="9" t="n">
        <v>1993</v>
      </c>
      <c r="B129" s="9" t="inlineStr">
        <is>
          <t>manganeso</t>
        </is>
      </c>
      <c r="C129" s="9" t="n">
        <v>135000</v>
      </c>
      <c r="D129" s="9" t="n">
        <v>605</v>
      </c>
      <c r="E129" s="9" t="n">
        <v>81675000</v>
      </c>
      <c r="F129" s="9" t="n">
        <v>4.95</v>
      </c>
      <c r="G129" s="9" t="inlineStr">
        <is>
          <t>si</t>
        </is>
      </c>
      <c r="H129" s="11">
        <f>C129*D129</f>
        <v/>
      </c>
      <c r="I129" s="11">
        <f>ROUND(H129-E129,0)</f>
        <v/>
      </c>
      <c r="J129" s="11">
        <f>ROUND(E129/SUMIFS($E$4:$E$313,$A$4:$A$313,A129)*100,2)</f>
        <v/>
      </c>
      <c r="K129" s="11">
        <f>ROUND(J129-F129,2)</f>
        <v/>
      </c>
    </row>
    <row r="130">
      <c r="A130" s="6" t="n">
        <v>1994</v>
      </c>
      <c r="B130" s="6" t="inlineStr">
        <is>
          <t>manganeso</t>
        </is>
      </c>
      <c r="C130" s="6" t="n">
        <v>112300</v>
      </c>
      <c r="D130" s="6" t="n">
        <v>602</v>
      </c>
      <c r="E130" s="6" t="n">
        <v>67604600</v>
      </c>
      <c r="F130" s="6" t="n">
        <v>3.46</v>
      </c>
      <c r="G130" s="6" t="inlineStr">
        <is>
          <t>si</t>
        </is>
      </c>
      <c r="H130" s="11">
        <f>C130*D130</f>
        <v/>
      </c>
      <c r="I130" s="11">
        <f>ROUND(H130-E130,0)</f>
        <v/>
      </c>
      <c r="J130" s="11">
        <f>ROUND(E130/SUMIFS($E$4:$E$313,$A$4:$A$313,A130)*100,2)</f>
        <v/>
      </c>
      <c r="K130" s="11">
        <f>ROUND(J130-F130,2)</f>
        <v/>
      </c>
    </row>
    <row r="131">
      <c r="A131" s="9" t="n">
        <v>1995</v>
      </c>
      <c r="B131" s="9" t="inlineStr">
        <is>
          <t>manganeso</t>
        </is>
      </c>
      <c r="C131" s="9" t="n">
        <v>174200</v>
      </c>
      <c r="D131" s="9" t="n">
        <v>599</v>
      </c>
      <c r="E131" s="9" t="n">
        <v>104345800</v>
      </c>
      <c r="F131" s="9" t="n">
        <v>4.23</v>
      </c>
      <c r="G131" s="9" t="inlineStr">
        <is>
          <t>si</t>
        </is>
      </c>
      <c r="H131" s="11">
        <f>C131*D131</f>
        <v/>
      </c>
      <c r="I131" s="11">
        <f>ROUND(H131-E131,0)</f>
        <v/>
      </c>
      <c r="J131" s="11">
        <f>ROUND(E131/SUMIFS($E$4:$E$313,$A$4:$A$313,A131)*100,2)</f>
        <v/>
      </c>
      <c r="K131" s="11">
        <f>ROUND(J131-F131,2)</f>
        <v/>
      </c>
    </row>
    <row r="132">
      <c r="A132" s="6" t="n">
        <v>1996</v>
      </c>
      <c r="B132" s="6" t="inlineStr">
        <is>
          <t>manganeso</t>
        </is>
      </c>
      <c r="C132" s="6" t="n">
        <v>173380</v>
      </c>
      <c r="D132" s="6" t="n">
        <v>650</v>
      </c>
      <c r="E132" s="6" t="n">
        <v>112697000</v>
      </c>
      <c r="F132" s="6" t="n">
        <v>4.69</v>
      </c>
      <c r="G132" s="6" t="inlineStr">
        <is>
          <t>si</t>
        </is>
      </c>
      <c r="H132" s="11">
        <f>C132*D132</f>
        <v/>
      </c>
      <c r="I132" s="11">
        <f>ROUND(H132-E132,0)</f>
        <v/>
      </c>
      <c r="J132" s="11">
        <f>ROUND(E132/SUMIFS($E$4:$E$313,$A$4:$A$313,A132)*100,2)</f>
        <v/>
      </c>
      <c r="K132" s="11">
        <f>ROUND(J132-F132,2)</f>
        <v/>
      </c>
    </row>
    <row r="133">
      <c r="A133" s="9" t="n">
        <v>1997</v>
      </c>
      <c r="B133" s="9" t="inlineStr">
        <is>
          <t>manganeso</t>
        </is>
      </c>
      <c r="C133" s="9" t="n">
        <v>192825</v>
      </c>
      <c r="D133" s="9" t="n">
        <v>635</v>
      </c>
      <c r="E133" s="9" t="n">
        <v>122443875</v>
      </c>
      <c r="F133" s="9" t="n">
        <v>4.73</v>
      </c>
      <c r="G133" s="9" t="inlineStr">
        <is>
          <t>si</t>
        </is>
      </c>
      <c r="H133" s="11">
        <f>C133*D133</f>
        <v/>
      </c>
      <c r="I133" s="11">
        <f>ROUND(H133-E133,0)</f>
        <v/>
      </c>
      <c r="J133" s="11">
        <f>ROUND(E133/SUMIFS($E$4:$E$313,$A$4:$A$313,A133)*100,2)</f>
        <v/>
      </c>
      <c r="K133" s="11">
        <f>ROUND(J133-F133,2)</f>
        <v/>
      </c>
    </row>
    <row r="134">
      <c r="A134" s="6" t="n">
        <v>1998</v>
      </c>
      <c r="B134" s="6" t="inlineStr">
        <is>
          <t>manganeso</t>
        </is>
      </c>
      <c r="C134" s="6" t="n">
        <v>187103</v>
      </c>
      <c r="D134" s="6" t="n">
        <v>591</v>
      </c>
      <c r="E134" s="6" t="n">
        <v>110577873</v>
      </c>
      <c r="F134" s="6" t="n">
        <v>4.94</v>
      </c>
      <c r="G134" s="6" t="inlineStr">
        <is>
          <t>si</t>
        </is>
      </c>
      <c r="H134" s="11">
        <f>C134*D134</f>
        <v/>
      </c>
      <c r="I134" s="11">
        <f>ROUND(H134-E134,0)</f>
        <v/>
      </c>
      <c r="J134" s="11">
        <f>ROUND(E134/SUMIFS($E$4:$E$313,$A$4:$A$313,A134)*100,2)</f>
        <v/>
      </c>
      <c r="K134" s="11">
        <f>ROUND(J134-F134,2)</f>
        <v/>
      </c>
    </row>
    <row r="135">
      <c r="A135" s="9" t="n">
        <v>1999</v>
      </c>
      <c r="B135" s="9" t="inlineStr">
        <is>
          <t>manganeso</t>
        </is>
      </c>
      <c r="C135" s="9" t="n">
        <v>169107</v>
      </c>
      <c r="D135" s="9" t="n">
        <v>535</v>
      </c>
      <c r="E135" s="9" t="n">
        <v>90472245</v>
      </c>
      <c r="F135" s="9" t="n">
        <v>4.47</v>
      </c>
      <c r="G135" s="9" t="inlineStr">
        <is>
          <t>si</t>
        </is>
      </c>
      <c r="H135" s="11">
        <f>C135*D135</f>
        <v/>
      </c>
      <c r="I135" s="11">
        <f>ROUND(H135-E135,0)</f>
        <v/>
      </c>
      <c r="J135" s="11">
        <f>ROUND(E135/SUMIFS($E$4:$E$313,$A$4:$A$313,A135)*100,2)</f>
        <v/>
      </c>
      <c r="K135" s="11">
        <f>ROUND(J135-F135,2)</f>
        <v/>
      </c>
    </row>
    <row r="136">
      <c r="A136" s="6" t="n">
        <v>2000</v>
      </c>
      <c r="B136" s="6" t="inlineStr">
        <is>
          <t>manganeso</t>
        </is>
      </c>
      <c r="C136" s="6" t="n">
        <v>156117</v>
      </c>
      <c r="D136" s="6" t="n">
        <v>582</v>
      </c>
      <c r="E136" s="6" t="n">
        <v>90860094</v>
      </c>
      <c r="F136" s="6" t="n">
        <v>4.13</v>
      </c>
      <c r="G136" s="6" t="inlineStr">
        <is>
          <t>si</t>
        </is>
      </c>
      <c r="H136" s="11">
        <f>C136*D136</f>
        <v/>
      </c>
      <c r="I136" s="11">
        <f>ROUND(H136-E136,0)</f>
        <v/>
      </c>
      <c r="J136" s="11">
        <f>ROUND(E136/SUMIFS($E$4:$E$313,$A$4:$A$313,A136)*100,2)</f>
        <v/>
      </c>
      <c r="K136" s="11">
        <f>ROUND(J136-F136,2)</f>
        <v/>
      </c>
    </row>
    <row r="137">
      <c r="A137" s="9" t="n">
        <v>2001</v>
      </c>
      <c r="B137" s="9" t="inlineStr">
        <is>
          <t>manganeso</t>
        </is>
      </c>
      <c r="C137" s="9" t="n">
        <v>99751</v>
      </c>
      <c r="D137" s="9" t="n">
        <v>529</v>
      </c>
      <c r="E137" s="9" t="n">
        <v>52768279</v>
      </c>
      <c r="F137" s="9" t="n">
        <v>2.72</v>
      </c>
      <c r="G137" s="9" t="inlineStr">
        <is>
          <t>si</t>
        </is>
      </c>
      <c r="H137" s="11">
        <f>C137*D137</f>
        <v/>
      </c>
      <c r="I137" s="11">
        <f>ROUND(H137-E137,0)</f>
        <v/>
      </c>
      <c r="J137" s="11">
        <f>ROUND(E137/SUMIFS($E$4:$E$313,$A$4:$A$313,A137)*100,2)</f>
        <v/>
      </c>
      <c r="K137" s="11">
        <f>ROUND(J137-F137,2)</f>
        <v/>
      </c>
    </row>
    <row r="138">
      <c r="A138" s="6" t="n">
        <v>2002</v>
      </c>
      <c r="B138" s="6" t="inlineStr">
        <is>
          <t>manganeso</t>
        </is>
      </c>
      <c r="C138" s="6" t="n">
        <v>88358</v>
      </c>
      <c r="D138" s="6" t="n">
        <v>471</v>
      </c>
      <c r="E138" s="6" t="n">
        <v>41616618</v>
      </c>
      <c r="F138" s="6" t="n">
        <v>2.25</v>
      </c>
      <c r="G138" s="6" t="inlineStr">
        <is>
          <t>si</t>
        </is>
      </c>
      <c r="H138" s="11">
        <f>C138*D138</f>
        <v/>
      </c>
      <c r="I138" s="11">
        <f>ROUND(H138-E138,0)</f>
        <v/>
      </c>
      <c r="J138" s="11">
        <f>ROUND(E138/SUMIFS($E$4:$E$313,$A$4:$A$313,A138)*100,2)</f>
        <v/>
      </c>
      <c r="K138" s="11">
        <f>ROUND(J138-F138,2)</f>
        <v/>
      </c>
    </row>
    <row r="139">
      <c r="A139" s="9" t="n">
        <v>2003</v>
      </c>
      <c r="B139" s="9" t="inlineStr">
        <is>
          <t>manganeso</t>
        </is>
      </c>
      <c r="C139" s="9" t="n">
        <v>114550</v>
      </c>
      <c r="D139" s="9" t="n">
        <v>599</v>
      </c>
      <c r="E139" s="9" t="n">
        <v>68615450</v>
      </c>
      <c r="F139" s="9" t="n">
        <v>3.37</v>
      </c>
      <c r="G139" s="9" t="inlineStr">
        <is>
          <t>si</t>
        </is>
      </c>
      <c r="H139" s="11">
        <f>C139*D139</f>
        <v/>
      </c>
      <c r="I139" s="11">
        <f>ROUND(H139-E139,0)</f>
        <v/>
      </c>
      <c r="J139" s="11">
        <f>ROUND(E139/SUMIFS($E$4:$E$313,$A$4:$A$313,A139)*100,2)</f>
        <v/>
      </c>
      <c r="K139" s="11">
        <f>ROUND(J139-F139,2)</f>
        <v/>
      </c>
    </row>
    <row r="140">
      <c r="A140" s="6" t="n">
        <v>2004</v>
      </c>
      <c r="B140" s="6" t="inlineStr">
        <is>
          <t>manganeso</t>
        </is>
      </c>
      <c r="C140" s="6" t="n">
        <v>135893</v>
      </c>
      <c r="D140" s="6" t="n">
        <v>1090</v>
      </c>
      <c r="E140" s="6" t="n">
        <v>148123370</v>
      </c>
      <c r="F140" s="6" t="n">
        <v>4.84</v>
      </c>
      <c r="G140" s="6" t="inlineStr">
        <is>
          <t>si</t>
        </is>
      </c>
      <c r="H140" s="11">
        <f>C140*D140</f>
        <v/>
      </c>
      <c r="I140" s="11">
        <f>ROUND(H140-E140,0)</f>
        <v/>
      </c>
      <c r="J140" s="11">
        <f>ROUND(E140/SUMIFS($E$4:$E$313,$A$4:$A$313,A140)*100,2)</f>
        <v/>
      </c>
      <c r="K140" s="11">
        <f>ROUND(J140-F140,2)</f>
        <v/>
      </c>
    </row>
    <row r="141">
      <c r="A141" s="9" t="n">
        <v>2005</v>
      </c>
      <c r="B141" s="9" t="inlineStr">
        <is>
          <t>manganeso</t>
        </is>
      </c>
      <c r="C141" s="9" t="n">
        <v>132872</v>
      </c>
      <c r="D141" s="9" t="n">
        <v>712</v>
      </c>
      <c r="E141" s="9" t="n">
        <v>94604864</v>
      </c>
      <c r="F141" s="9" t="n">
        <v>2.39</v>
      </c>
      <c r="G141" s="9" t="inlineStr">
        <is>
          <t>si</t>
        </is>
      </c>
      <c r="H141" s="11">
        <f>C141*D141</f>
        <v/>
      </c>
      <c r="I141" s="11">
        <f>ROUND(H141-E141,0)</f>
        <v/>
      </c>
      <c r="J141" s="11">
        <f>ROUND(E141/SUMIFS($E$4:$E$313,$A$4:$A$313,A141)*100,2)</f>
        <v/>
      </c>
      <c r="K141" s="11">
        <f>ROUND(J141-F141,2)</f>
        <v/>
      </c>
    </row>
    <row r="142">
      <c r="A142" s="6" t="n">
        <v>2006</v>
      </c>
      <c r="B142" s="6" t="inlineStr">
        <is>
          <t>manganeso</t>
        </is>
      </c>
      <c r="C142" s="6" t="n">
        <v>124417</v>
      </c>
      <c r="D142" s="6" t="n">
        <v>800</v>
      </c>
      <c r="E142" s="6" t="n">
        <v>99533600</v>
      </c>
      <c r="F142" s="6" t="n">
        <v>1.55</v>
      </c>
      <c r="G142" s="6" t="inlineStr">
        <is>
          <t>si</t>
        </is>
      </c>
      <c r="H142" s="11">
        <f>C142*D142</f>
        <v/>
      </c>
      <c r="I142" s="11">
        <f>ROUND(H142-E142,0)</f>
        <v/>
      </c>
      <c r="J142" s="11">
        <f>ROUND(E142/SUMIFS($E$4:$E$313,$A$4:$A$313,A142)*100,2)</f>
        <v/>
      </c>
      <c r="K142" s="11">
        <f>ROUND(J142-F142,2)</f>
        <v/>
      </c>
    </row>
    <row r="143">
      <c r="A143" s="9" t="n">
        <v>2007</v>
      </c>
      <c r="B143" s="9" t="inlineStr">
        <is>
          <t>manganeso</t>
        </is>
      </c>
      <c r="C143" s="9" t="n">
        <v>152446</v>
      </c>
      <c r="D143" s="9" t="n">
        <v>1190</v>
      </c>
      <c r="E143" s="9" t="n">
        <v>181410740</v>
      </c>
      <c r="F143" s="9" t="n">
        <v>2.58</v>
      </c>
      <c r="G143" s="9" t="inlineStr">
        <is>
          <t>si</t>
        </is>
      </c>
      <c r="H143" s="11">
        <f>C143*D143</f>
        <v/>
      </c>
      <c r="I143" s="11">
        <f>ROUND(H143-E143,0)</f>
        <v/>
      </c>
      <c r="J143" s="11">
        <f>ROUND(E143/SUMIFS($E$4:$E$313,$A$4:$A$313,A143)*100,2)</f>
        <v/>
      </c>
      <c r="K143" s="11">
        <f>ROUND(J143-F143,2)</f>
        <v/>
      </c>
    </row>
    <row r="144">
      <c r="A144" s="6" t="n">
        <v>2008</v>
      </c>
      <c r="B144" s="6" t="inlineStr">
        <is>
          <t>manganeso</t>
        </is>
      </c>
      <c r="C144" s="6" t="n">
        <v>169908</v>
      </c>
      <c r="D144" s="6" t="n">
        <v>2380</v>
      </c>
      <c r="E144" s="6" t="n">
        <v>404381040</v>
      </c>
      <c r="F144" s="6" t="n">
        <v>5.88</v>
      </c>
      <c r="G144" s="6" t="inlineStr">
        <is>
          <t>si</t>
        </is>
      </c>
      <c r="H144" s="11">
        <f>C144*D144</f>
        <v/>
      </c>
      <c r="I144" s="11">
        <f>ROUND(H144-E144,0)</f>
        <v/>
      </c>
      <c r="J144" s="11">
        <f>ROUND(E144/SUMIFS($E$4:$E$313,$A$4:$A$313,A144)*100,2)</f>
        <v/>
      </c>
      <c r="K144" s="11">
        <f>ROUND(J144-F144,2)</f>
        <v/>
      </c>
    </row>
    <row r="145">
      <c r="A145" s="9" t="n">
        <v>2009</v>
      </c>
      <c r="B145" s="9" t="inlineStr">
        <is>
          <t>manganeso</t>
        </is>
      </c>
      <c r="C145" s="9" t="n">
        <v>118578</v>
      </c>
      <c r="D145" s="9" t="n">
        <v>1370</v>
      </c>
      <c r="E145" s="9" t="n">
        <v>162451860</v>
      </c>
      <c r="F145" s="9" t="n">
        <v>2.49</v>
      </c>
      <c r="G145" s="9" t="inlineStr">
        <is>
          <t>si</t>
        </is>
      </c>
      <c r="H145" s="11">
        <f>C145*D145</f>
        <v/>
      </c>
      <c r="I145" s="11">
        <f>ROUND(H145-E145,0)</f>
        <v/>
      </c>
      <c r="J145" s="11">
        <f>ROUND(E145/SUMIFS($E$4:$E$313,$A$4:$A$313,A145)*100,2)</f>
        <v/>
      </c>
      <c r="K145" s="11">
        <f>ROUND(J145-F145,2)</f>
        <v/>
      </c>
    </row>
    <row r="146">
      <c r="A146" s="6" t="n">
        <v>2010</v>
      </c>
      <c r="B146" s="6" t="inlineStr">
        <is>
          <t>manganeso</t>
        </is>
      </c>
      <c r="C146" s="6" t="n">
        <v>174761</v>
      </c>
      <c r="D146" s="6" t="n">
        <v>1500</v>
      </c>
      <c r="E146" s="6" t="n">
        <v>262141500</v>
      </c>
      <c r="F146" s="6" t="n">
        <v>2.53</v>
      </c>
      <c r="G146" s="6" t="inlineStr">
        <is>
          <t>si</t>
        </is>
      </c>
      <c r="H146" s="11">
        <f>C146*D146</f>
        <v/>
      </c>
      <c r="I146" s="11">
        <f>ROUND(H146-E146,0)</f>
        <v/>
      </c>
      <c r="J146" s="11">
        <f>ROUND(E146/SUMIFS($E$4:$E$313,$A$4:$A$313,A146)*100,2)</f>
        <v/>
      </c>
      <c r="K146" s="11">
        <f>ROUND(J146-F146,2)</f>
        <v/>
      </c>
    </row>
    <row r="147">
      <c r="A147" s="9" t="n">
        <v>2011</v>
      </c>
      <c r="B147" s="9" t="inlineStr">
        <is>
          <t>manganeso</t>
        </is>
      </c>
      <c r="C147" s="9" t="n">
        <v>170935</v>
      </c>
      <c r="D147" s="9" t="n">
        <v>1460</v>
      </c>
      <c r="E147" s="9" t="n">
        <v>249565100</v>
      </c>
      <c r="F147" s="9" t="n">
        <v>1.51</v>
      </c>
      <c r="G147" s="9" t="inlineStr">
        <is>
          <t>si</t>
        </is>
      </c>
      <c r="H147" s="11">
        <f>C147*D147</f>
        <v/>
      </c>
      <c r="I147" s="11">
        <f>ROUND(H147-E147,0)</f>
        <v/>
      </c>
      <c r="J147" s="11">
        <f>ROUND(E147/SUMIFS($E$4:$E$313,$A$4:$A$313,A147)*100,2)</f>
        <v/>
      </c>
      <c r="K147" s="11">
        <f>ROUND(J147-F147,2)</f>
        <v/>
      </c>
    </row>
    <row r="148">
      <c r="A148" s="6" t="n">
        <v>2012</v>
      </c>
      <c r="B148" s="6" t="inlineStr">
        <is>
          <t>manganeso</t>
        </is>
      </c>
      <c r="C148" s="6" t="n">
        <v>188294</v>
      </c>
      <c r="D148" s="6" t="n">
        <v>1400</v>
      </c>
      <c r="E148" s="6" t="n">
        <v>263611600</v>
      </c>
      <c r="F148" s="6" t="n">
        <v>1.49</v>
      </c>
      <c r="G148" s="6" t="inlineStr">
        <is>
          <t>si</t>
        </is>
      </c>
      <c r="H148" s="11">
        <f>C148*D148</f>
        <v/>
      </c>
      <c r="I148" s="11">
        <f>ROUND(H148-E148,0)</f>
        <v/>
      </c>
      <c r="J148" s="11">
        <f>ROUND(E148/SUMIFS($E$4:$E$313,$A$4:$A$313,A148)*100,2)</f>
        <v/>
      </c>
      <c r="K148" s="11">
        <f>ROUND(J148-F148,2)</f>
        <v/>
      </c>
    </row>
    <row r="149">
      <c r="A149" s="9" t="n">
        <v>2013</v>
      </c>
      <c r="B149" s="9" t="inlineStr">
        <is>
          <t>manganeso</t>
        </is>
      </c>
      <c r="C149" s="9" t="n">
        <v>211559</v>
      </c>
      <c r="D149" s="9" t="n">
        <v>1190</v>
      </c>
      <c r="E149" s="9" t="n">
        <v>251755210</v>
      </c>
      <c r="F149" s="9" t="n">
        <v>1.55</v>
      </c>
      <c r="G149" s="9" t="inlineStr">
        <is>
          <t>si</t>
        </is>
      </c>
      <c r="H149" s="11">
        <f>C149*D149</f>
        <v/>
      </c>
      <c r="I149" s="11">
        <f>ROUND(H149-E149,0)</f>
        <v/>
      </c>
      <c r="J149" s="11">
        <f>ROUND(E149/SUMIFS($E$4:$E$313,$A$4:$A$313,A149)*100,2)</f>
        <v/>
      </c>
      <c r="K149" s="11">
        <f>ROUND(J149-F149,2)</f>
        <v/>
      </c>
    </row>
    <row r="150">
      <c r="A150" s="6" t="n">
        <v>2014</v>
      </c>
      <c r="B150" s="6" t="inlineStr">
        <is>
          <t>manganeso</t>
        </is>
      </c>
      <c r="C150" s="6" t="n">
        <v>235686</v>
      </c>
      <c r="D150" s="6" t="n">
        <v>1330</v>
      </c>
      <c r="E150" s="6" t="n">
        <v>313462380</v>
      </c>
      <c r="F150" s="6" t="n">
        <v>2.26</v>
      </c>
      <c r="G150" s="6" t="inlineStr">
        <is>
          <t>si</t>
        </is>
      </c>
      <c r="H150" s="11">
        <f>C150*D150</f>
        <v/>
      </c>
      <c r="I150" s="11">
        <f>ROUND(H150-E150,0)</f>
        <v/>
      </c>
      <c r="J150" s="11">
        <f>ROUND(E150/SUMIFS($E$4:$E$313,$A$4:$A$313,A150)*100,2)</f>
        <v/>
      </c>
      <c r="K150" s="11">
        <f>ROUND(J150-F150,2)</f>
        <v/>
      </c>
    </row>
    <row r="151">
      <c r="A151" s="9" t="n">
        <v>2015</v>
      </c>
      <c r="B151" s="9" t="inlineStr">
        <is>
          <t>manganeso</t>
        </is>
      </c>
      <c r="C151" s="9" t="n">
        <v>217466</v>
      </c>
      <c r="D151" s="9" t="n">
        <v>1140</v>
      </c>
      <c r="E151" s="9" t="n">
        <v>247911240</v>
      </c>
      <c r="F151" s="9" t="n">
        <v>1.76</v>
      </c>
      <c r="G151" s="9" t="inlineStr">
        <is>
          <t>si</t>
        </is>
      </c>
      <c r="H151" s="11">
        <f>C151*D151</f>
        <v/>
      </c>
      <c r="I151" s="11">
        <f>ROUND(H151-E151,0)</f>
        <v/>
      </c>
      <c r="J151" s="11">
        <f>ROUND(E151/SUMIFS($E$4:$E$313,$A$4:$A$313,A151)*100,2)</f>
        <v/>
      </c>
      <c r="K151" s="11">
        <f>ROUND(J151-F151,2)</f>
        <v/>
      </c>
    </row>
    <row r="152">
      <c r="A152" s="6" t="n">
        <v>2016</v>
      </c>
      <c r="B152" s="6" t="inlineStr">
        <is>
          <t>manganeso</t>
        </is>
      </c>
      <c r="C152" s="6" t="n">
        <v>205645</v>
      </c>
      <c r="D152" s="6" t="n">
        <v>920</v>
      </c>
      <c r="E152" s="6" t="n">
        <v>189193400</v>
      </c>
      <c r="F152" s="6" t="n">
        <v>1.3</v>
      </c>
      <c r="G152" s="6" t="inlineStr">
        <is>
          <t>si</t>
        </is>
      </c>
      <c r="H152" s="11">
        <f>C152*D152</f>
        <v/>
      </c>
      <c r="I152" s="11">
        <f>ROUND(H152-E152,0)</f>
        <v/>
      </c>
      <c r="J152" s="11">
        <f>ROUND(E152/SUMIFS($E$4:$E$313,$A$4:$A$313,A152)*100,2)</f>
        <v/>
      </c>
      <c r="K152" s="11">
        <f>ROUND(J152-F152,2)</f>
        <v/>
      </c>
    </row>
    <row r="153">
      <c r="A153" s="9" t="n">
        <v>2017</v>
      </c>
      <c r="B153" s="9" t="inlineStr">
        <is>
          <t>manganeso</t>
        </is>
      </c>
      <c r="C153" s="9" t="n">
        <v>211510</v>
      </c>
      <c r="D153" s="9" t="n">
        <v>1420</v>
      </c>
      <c r="E153" s="9" t="n">
        <v>300344200</v>
      </c>
      <c r="F153" s="9" t="n">
        <v>1.84</v>
      </c>
      <c r="G153" s="9" t="inlineStr">
        <is>
          <t>si</t>
        </is>
      </c>
      <c r="H153" s="11">
        <f>C153*D153</f>
        <v/>
      </c>
      <c r="I153" s="11">
        <f>ROUND(H153-E153,0)</f>
        <v/>
      </c>
      <c r="J153" s="11">
        <f>ROUND(E153/SUMIFS($E$4:$E$313,$A$4:$A$313,A153)*100,2)</f>
        <v/>
      </c>
      <c r="K153" s="11">
        <f>ROUND(J153-F153,2)</f>
        <v/>
      </c>
    </row>
    <row r="154">
      <c r="A154" s="6" t="n">
        <v>2018</v>
      </c>
      <c r="B154" s="6" t="inlineStr">
        <is>
          <t>manganeso</t>
        </is>
      </c>
      <c r="C154" s="6" t="n">
        <v>209023</v>
      </c>
      <c r="D154" s="6" t="n">
        <v>1500</v>
      </c>
      <c r="E154" s="6" t="n">
        <v>313534500</v>
      </c>
      <c r="F154" s="6" t="n">
        <v>1.91</v>
      </c>
      <c r="G154" s="6" t="inlineStr">
        <is>
          <t>si</t>
        </is>
      </c>
      <c r="H154" s="11">
        <f>C154*D154</f>
        <v/>
      </c>
      <c r="I154" s="11">
        <f>ROUND(H154-E154,0)</f>
        <v/>
      </c>
      <c r="J154" s="11">
        <f>ROUND(E154/SUMIFS($E$4:$E$313,$A$4:$A$313,A154)*100,2)</f>
        <v/>
      </c>
      <c r="K154" s="11">
        <f>ROUND(J154-F154,2)</f>
        <v/>
      </c>
    </row>
    <row r="155">
      <c r="A155" s="9" t="n">
        <v>2019</v>
      </c>
      <c r="B155" s="9" t="inlineStr">
        <is>
          <t>manganeso</t>
        </is>
      </c>
      <c r="C155" s="9" t="n">
        <v>219046</v>
      </c>
      <c r="D155" s="9" t="n">
        <v>1300</v>
      </c>
      <c r="E155" s="9" t="n">
        <v>284759800</v>
      </c>
      <c r="F155" s="9" t="n">
        <v>1.82</v>
      </c>
      <c r="G155" s="9" t="inlineStr">
        <is>
          <t>si</t>
        </is>
      </c>
      <c r="H155" s="11">
        <f>C155*D155</f>
        <v/>
      </c>
      <c r="I155" s="11">
        <f>ROUND(H155-E155,0)</f>
        <v/>
      </c>
      <c r="J155" s="11">
        <f>ROUND(E155/SUMIFS($E$4:$E$313,$A$4:$A$313,A155)*100,2)</f>
        <v/>
      </c>
      <c r="K155" s="11">
        <f>ROUND(J155-F155,2)</f>
        <v/>
      </c>
    </row>
    <row r="156">
      <c r="A156" s="6" t="n">
        <v>2020</v>
      </c>
      <c r="B156" s="6" t="inlineStr">
        <is>
          <t>manganeso</t>
        </is>
      </c>
      <c r="C156" s="6" t="n">
        <v>218606</v>
      </c>
      <c r="D156" s="6" t="n">
        <v>1110</v>
      </c>
      <c r="E156" s="6" t="n">
        <v>242652660</v>
      </c>
      <c r="F156" s="6" t="n">
        <v>1.43</v>
      </c>
      <c r="G156" s="6" t="inlineStr">
        <is>
          <t>si</t>
        </is>
      </c>
      <c r="H156" s="11">
        <f>C156*D156</f>
        <v/>
      </c>
      <c r="I156" s="11">
        <f>ROUND(H156-E156,0)</f>
        <v/>
      </c>
      <c r="J156" s="11">
        <f>ROUND(E156/SUMIFS($E$4:$E$313,$A$4:$A$313,A156)*100,2)</f>
        <v/>
      </c>
      <c r="K156" s="11">
        <f>ROUND(J156-F156,2)</f>
        <v/>
      </c>
    </row>
    <row r="157">
      <c r="A157" s="9" t="n">
        <v>2021</v>
      </c>
      <c r="B157" s="9" t="inlineStr">
        <is>
          <t>manganeso</t>
        </is>
      </c>
      <c r="C157" s="9" t="n">
        <v>220560</v>
      </c>
      <c r="D157" s="9" t="n">
        <v>1420</v>
      </c>
      <c r="E157" s="9" t="n">
        <v>313195200</v>
      </c>
      <c r="F157" s="9" t="n">
        <v>1.38</v>
      </c>
      <c r="G157" s="9" t="inlineStr">
        <is>
          <t>si</t>
        </is>
      </c>
      <c r="H157" s="11">
        <f>C157*D157</f>
        <v/>
      </c>
      <c r="I157" s="11">
        <f>ROUND(H157-E157,0)</f>
        <v/>
      </c>
      <c r="J157" s="11">
        <f>ROUND(E157/SUMIFS($E$4:$E$313,$A$4:$A$313,A157)*100,2)</f>
        <v/>
      </c>
      <c r="K157" s="11">
        <f>ROUND(J157-F157,2)</f>
        <v/>
      </c>
    </row>
    <row r="158">
      <c r="A158" s="6" t="n">
        <v>2022</v>
      </c>
      <c r="B158" s="6" t="inlineStr">
        <is>
          <t>manganeso</t>
        </is>
      </c>
      <c r="C158" s="6" t="n">
        <v>221123</v>
      </c>
      <c r="D158" s="6" t="n">
        <v>2000</v>
      </c>
      <c r="E158" s="6" t="n">
        <v>442246000</v>
      </c>
      <c r="F158" s="6" t="n">
        <v>1.94</v>
      </c>
      <c r="G158" s="6" t="inlineStr">
        <is>
          <t>si</t>
        </is>
      </c>
      <c r="H158" s="11">
        <f>C158*D158</f>
        <v/>
      </c>
      <c r="I158" s="11">
        <f>ROUND(H158-E158,0)</f>
        <v/>
      </c>
      <c r="J158" s="11">
        <f>ROUND(E158/SUMIFS($E$4:$E$313,$A$4:$A$313,A158)*100,2)</f>
        <v/>
      </c>
      <c r="K158" s="11">
        <f>ROUND(J158-F158,2)</f>
        <v/>
      </c>
    </row>
    <row r="159">
      <c r="A159" s="9" t="n">
        <v>1992</v>
      </c>
      <c r="B159" s="9" t="inlineStr">
        <is>
          <t>oro</t>
        </is>
      </c>
      <c r="C159" s="9" t="n">
        <v>9.890000000000001</v>
      </c>
      <c r="D159" s="9" t="n">
        <v>11100000</v>
      </c>
      <c r="E159" s="9" t="n">
        <v>109779000</v>
      </c>
      <c r="F159" s="9" t="n">
        <v>6.29</v>
      </c>
      <c r="G159" s="9" t="inlineStr">
        <is>
          <t>si</t>
        </is>
      </c>
      <c r="H159" s="11">
        <f>C159*D159</f>
        <v/>
      </c>
      <c r="I159" s="11">
        <f>ROUND(H159-E159,0)</f>
        <v/>
      </c>
      <c r="J159" s="11">
        <f>ROUND(E159/SUMIFS($E$4:$E$313,$A$4:$A$313,A159)*100,2)</f>
        <v/>
      </c>
      <c r="K159" s="11">
        <f>ROUND(J159-F159,2)</f>
        <v/>
      </c>
    </row>
    <row r="160">
      <c r="A160" s="6" t="n">
        <v>1993</v>
      </c>
      <c r="B160" s="6" t="inlineStr">
        <is>
          <t>oro</t>
        </is>
      </c>
      <c r="C160" s="6" t="n">
        <v>9.77</v>
      </c>
      <c r="D160" s="6" t="n">
        <v>11600000</v>
      </c>
      <c r="E160" s="6" t="n">
        <v>113332000</v>
      </c>
      <c r="F160" s="6" t="n">
        <v>6.86</v>
      </c>
      <c r="G160" s="6" t="inlineStr">
        <is>
          <t>si</t>
        </is>
      </c>
      <c r="H160" s="11">
        <f>C160*D160</f>
        <v/>
      </c>
      <c r="I160" s="11">
        <f>ROUND(H160-E160,0)</f>
        <v/>
      </c>
      <c r="J160" s="11">
        <f>ROUND(E160/SUMIFS($E$4:$E$313,$A$4:$A$313,A160)*100,2)</f>
        <v/>
      </c>
      <c r="K160" s="11">
        <f>ROUND(J160-F160,2)</f>
        <v/>
      </c>
    </row>
    <row r="161">
      <c r="A161" s="9" t="n">
        <v>1994</v>
      </c>
      <c r="B161" s="9" t="inlineStr">
        <is>
          <t>oro</t>
        </is>
      </c>
      <c r="C161" s="9" t="n">
        <v>13.89</v>
      </c>
      <c r="D161" s="9" t="n">
        <v>12400000</v>
      </c>
      <c r="E161" s="9" t="n">
        <v>172211200</v>
      </c>
      <c r="F161" s="9" t="n">
        <v>8.81</v>
      </c>
      <c r="G161" s="9" t="inlineStr">
        <is>
          <t>si</t>
        </is>
      </c>
      <c r="H161" s="11">
        <f>C161*D161</f>
        <v/>
      </c>
      <c r="I161" s="11">
        <f>ROUND(H161-E161,0)</f>
        <v/>
      </c>
      <c r="J161" s="11">
        <f>ROUND(E161/SUMIFS($E$4:$E$313,$A$4:$A$313,A161)*100,2)</f>
        <v/>
      </c>
      <c r="K161" s="11">
        <f>ROUND(J161-F161,2)</f>
        <v/>
      </c>
    </row>
    <row r="162">
      <c r="A162" s="6" t="n">
        <v>1995</v>
      </c>
      <c r="B162" s="6" t="inlineStr">
        <is>
          <t>oro</t>
        </is>
      </c>
      <c r="C162" s="6" t="n">
        <v>20.29</v>
      </c>
      <c r="D162" s="6" t="n">
        <v>12400000</v>
      </c>
      <c r="E162" s="6" t="n">
        <v>251620800</v>
      </c>
      <c r="F162" s="6" t="n">
        <v>10.2</v>
      </c>
      <c r="G162" s="6" t="inlineStr">
        <is>
          <t>si</t>
        </is>
      </c>
      <c r="H162" s="11">
        <f>C162*D162</f>
        <v/>
      </c>
      <c r="I162" s="11">
        <f>ROUND(H162-E162,0)</f>
        <v/>
      </c>
      <c r="J162" s="11">
        <f>ROUND(E162/SUMIFS($E$4:$E$313,$A$4:$A$313,A162)*100,2)</f>
        <v/>
      </c>
      <c r="K162" s="11">
        <f>ROUND(J162-F162,2)</f>
        <v/>
      </c>
    </row>
    <row r="163">
      <c r="A163" s="9" t="n">
        <v>1996</v>
      </c>
      <c r="B163" s="9" t="inlineStr">
        <is>
          <t>oro</t>
        </is>
      </c>
      <c r="C163" s="9" t="n">
        <v>24.48</v>
      </c>
      <c r="D163" s="9" t="n">
        <v>12500000</v>
      </c>
      <c r="E163" s="9" t="n">
        <v>305962500</v>
      </c>
      <c r="F163" s="9" t="n">
        <v>12.72</v>
      </c>
      <c r="G163" s="9" t="inlineStr">
        <is>
          <t>si</t>
        </is>
      </c>
      <c r="H163" s="11">
        <f>C163*D163</f>
        <v/>
      </c>
      <c r="I163" s="11">
        <f>ROUND(H163-E163,0)</f>
        <v/>
      </c>
      <c r="J163" s="11">
        <f>ROUND(E163/SUMIFS($E$4:$E$313,$A$4:$A$313,A163)*100,2)</f>
        <v/>
      </c>
      <c r="K163" s="11">
        <f>ROUND(J163-F163,2)</f>
        <v/>
      </c>
    </row>
    <row r="164">
      <c r="A164" s="6" t="n">
        <v>1997</v>
      </c>
      <c r="B164" s="6" t="inlineStr">
        <is>
          <t>oro</t>
        </is>
      </c>
      <c r="C164" s="6" t="n">
        <v>26</v>
      </c>
      <c r="D164" s="6" t="n">
        <v>10700000</v>
      </c>
      <c r="E164" s="6" t="n">
        <v>278210700</v>
      </c>
      <c r="F164" s="6" t="n">
        <v>10.75</v>
      </c>
      <c r="G164" s="6" t="inlineStr">
        <is>
          <t>si</t>
        </is>
      </c>
      <c r="H164" s="11">
        <f>C164*D164</f>
        <v/>
      </c>
      <c r="I164" s="11">
        <f>ROUND(H164-E164,0)</f>
        <v/>
      </c>
      <c r="J164" s="11">
        <f>ROUND(E164/SUMIFS($E$4:$E$313,$A$4:$A$313,A164)*100,2)</f>
        <v/>
      </c>
      <c r="K164" s="11">
        <f>ROUND(J164-F164,2)</f>
        <v/>
      </c>
    </row>
    <row r="165">
      <c r="A165" s="9" t="n">
        <v>1998</v>
      </c>
      <c r="B165" s="9" t="inlineStr">
        <is>
          <t>oro</t>
        </is>
      </c>
      <c r="C165" s="9" t="n">
        <v>25.4</v>
      </c>
      <c r="D165" s="9" t="n">
        <v>9490000</v>
      </c>
      <c r="E165" s="9" t="n">
        <v>241046000</v>
      </c>
      <c r="F165" s="9" t="n">
        <v>10.76</v>
      </c>
      <c r="G165" s="9" t="inlineStr">
        <is>
          <t>si</t>
        </is>
      </c>
      <c r="H165" s="11">
        <f>C165*D165</f>
        <v/>
      </c>
      <c r="I165" s="11">
        <f>ROUND(H165-E165,0)</f>
        <v/>
      </c>
      <c r="J165" s="11">
        <f>ROUND(E165/SUMIFS($E$4:$E$313,$A$4:$A$313,A165)*100,2)</f>
        <v/>
      </c>
      <c r="K165" s="11">
        <f>ROUND(J165-F165,2)</f>
        <v/>
      </c>
    </row>
    <row r="166">
      <c r="A166" s="6" t="n">
        <v>1999</v>
      </c>
      <c r="B166" s="6" t="inlineStr">
        <is>
          <t>oro</t>
        </is>
      </c>
      <c r="C166" s="6" t="n">
        <v>23.8</v>
      </c>
      <c r="D166" s="6" t="n">
        <v>9000000</v>
      </c>
      <c r="E166" s="6" t="n">
        <v>214200000</v>
      </c>
      <c r="F166" s="6" t="n">
        <v>10.58</v>
      </c>
      <c r="G166" s="6" t="inlineStr">
        <is>
          <t>si</t>
        </is>
      </c>
      <c r="H166" s="11">
        <f>C166*D166</f>
        <v/>
      </c>
      <c r="I166" s="11">
        <f>ROUND(H166-E166,0)</f>
        <v/>
      </c>
      <c r="J166" s="11">
        <f>ROUND(E166/SUMIFS($E$4:$E$313,$A$4:$A$313,A166)*100,2)</f>
        <v/>
      </c>
      <c r="K166" s="11">
        <f>ROUND(J166-F166,2)</f>
        <v/>
      </c>
    </row>
    <row r="167">
      <c r="A167" s="9" t="n">
        <v>2000</v>
      </c>
      <c r="B167" s="9" t="inlineStr">
        <is>
          <t>oro</t>
        </is>
      </c>
      <c r="C167" s="9" t="n">
        <v>26.4</v>
      </c>
      <c r="D167" s="9" t="n">
        <v>9010000</v>
      </c>
      <c r="E167" s="9" t="n">
        <v>237864000</v>
      </c>
      <c r="F167" s="9" t="n">
        <v>10.81</v>
      </c>
      <c r="G167" s="9" t="inlineStr">
        <is>
          <t>si</t>
        </is>
      </c>
      <c r="H167" s="11">
        <f>C167*D167</f>
        <v/>
      </c>
      <c r="I167" s="11">
        <f>ROUND(H167-E167,0)</f>
        <v/>
      </c>
      <c r="J167" s="11">
        <f>ROUND(E167/SUMIFS($E$4:$E$313,$A$4:$A$313,A167)*100,2)</f>
        <v/>
      </c>
      <c r="K167" s="11">
        <f>ROUND(J167-F167,2)</f>
        <v/>
      </c>
    </row>
    <row r="168">
      <c r="A168" s="6" t="n">
        <v>2001</v>
      </c>
      <c r="B168" s="6" t="inlineStr">
        <is>
          <t>oro</t>
        </is>
      </c>
      <c r="C168" s="6" t="n">
        <v>23.5</v>
      </c>
      <c r="D168" s="6" t="n">
        <v>8750000</v>
      </c>
      <c r="E168" s="6" t="n">
        <v>205625000</v>
      </c>
      <c r="F168" s="6" t="n">
        <v>10.6</v>
      </c>
      <c r="G168" s="6" t="inlineStr">
        <is>
          <t>si</t>
        </is>
      </c>
      <c r="H168" s="11">
        <f>C168*D168</f>
        <v/>
      </c>
      <c r="I168" s="11">
        <f>ROUND(H168-E168,0)</f>
        <v/>
      </c>
      <c r="J168" s="11">
        <f>ROUND(E168/SUMIFS($E$4:$E$313,$A$4:$A$313,A168)*100,2)</f>
        <v/>
      </c>
      <c r="K168" s="11">
        <f>ROUND(J168-F168,2)</f>
        <v/>
      </c>
    </row>
    <row r="169">
      <c r="A169" s="9" t="n">
        <v>2002</v>
      </c>
      <c r="B169" s="9" t="inlineStr">
        <is>
          <t>oro</t>
        </is>
      </c>
      <c r="C169" s="9" t="n">
        <v>21.3</v>
      </c>
      <c r="D169" s="9" t="n">
        <v>10000000</v>
      </c>
      <c r="E169" s="9" t="n">
        <v>213000000</v>
      </c>
      <c r="F169" s="9" t="n">
        <v>11.51</v>
      </c>
      <c r="G169" s="9" t="inlineStr">
        <is>
          <t>si</t>
        </is>
      </c>
      <c r="H169" s="11">
        <f>C169*D169</f>
        <v/>
      </c>
      <c r="I169" s="11">
        <f>ROUND(H169-E169,0)</f>
        <v/>
      </c>
      <c r="J169" s="11">
        <f>ROUND(E169/SUMIFS($E$4:$E$313,$A$4:$A$313,A169)*100,2)</f>
        <v/>
      </c>
      <c r="K169" s="11">
        <f>ROUND(J169-F169,2)</f>
        <v/>
      </c>
    </row>
    <row r="170">
      <c r="A170" s="6" t="n">
        <v>2003</v>
      </c>
      <c r="B170" s="6" t="inlineStr">
        <is>
          <t>oro</t>
        </is>
      </c>
      <c r="C170" s="6" t="n">
        <v>20.4</v>
      </c>
      <c r="D170" s="6" t="n">
        <v>11700000</v>
      </c>
      <c r="E170" s="6" t="n">
        <v>238680000</v>
      </c>
      <c r="F170" s="6" t="n">
        <v>11.72</v>
      </c>
      <c r="G170" s="6" t="inlineStr">
        <is>
          <t>si</t>
        </is>
      </c>
      <c r="H170" s="11">
        <f>C170*D170</f>
        <v/>
      </c>
      <c r="I170" s="11">
        <f>ROUND(H170-E170,0)</f>
        <v/>
      </c>
      <c r="J170" s="11">
        <f>ROUND(E170/SUMIFS($E$4:$E$313,$A$4:$A$313,A170)*100,2)</f>
        <v/>
      </c>
      <c r="K170" s="11">
        <f>ROUND(J170-F170,2)</f>
        <v/>
      </c>
    </row>
    <row r="171">
      <c r="A171" s="9" t="n">
        <v>2004</v>
      </c>
      <c r="B171" s="9" t="inlineStr">
        <is>
          <t>oro</t>
        </is>
      </c>
      <c r="C171" s="9" t="n">
        <v>24.5</v>
      </c>
      <c r="D171" s="9" t="n">
        <v>13200000</v>
      </c>
      <c r="E171" s="9" t="n">
        <v>323347200</v>
      </c>
      <c r="F171" s="9" t="n">
        <v>10.56</v>
      </c>
      <c r="G171" s="9" t="inlineStr">
        <is>
          <t>si</t>
        </is>
      </c>
      <c r="H171" s="11">
        <f>C171*D171</f>
        <v/>
      </c>
      <c r="I171" s="11">
        <f>ROUND(H171-E171,0)</f>
        <v/>
      </c>
      <c r="J171" s="11">
        <f>ROUND(E171/SUMIFS($E$4:$E$313,$A$4:$A$313,A171)*100,2)</f>
        <v/>
      </c>
      <c r="K171" s="11">
        <f>ROUND(J171-F171,2)</f>
        <v/>
      </c>
    </row>
    <row r="172">
      <c r="A172" s="6" t="n">
        <v>2005</v>
      </c>
      <c r="B172" s="6" t="inlineStr">
        <is>
          <t>oro</t>
        </is>
      </c>
      <c r="C172" s="6" t="n">
        <v>31.55</v>
      </c>
      <c r="D172" s="6" t="n">
        <v>14300000</v>
      </c>
      <c r="E172" s="6" t="n">
        <v>451236500</v>
      </c>
      <c r="F172" s="6" t="n">
        <v>11.38</v>
      </c>
      <c r="G172" s="6" t="inlineStr">
        <is>
          <t>si</t>
        </is>
      </c>
      <c r="H172" s="11">
        <f>C172*D172</f>
        <v/>
      </c>
      <c r="I172" s="11">
        <f>ROUND(H172-E172,0)</f>
        <v/>
      </c>
      <c r="J172" s="11">
        <f>ROUND(E172/SUMIFS($E$4:$E$313,$A$4:$A$313,A172)*100,2)</f>
        <v/>
      </c>
      <c r="K172" s="11">
        <f>ROUND(J172-F172,2)</f>
        <v/>
      </c>
    </row>
    <row r="173">
      <c r="A173" s="9" t="n">
        <v>2006</v>
      </c>
      <c r="B173" s="9" t="inlineStr">
        <is>
          <t>oro</t>
        </is>
      </c>
      <c r="C173" s="9" t="n">
        <v>38.96</v>
      </c>
      <c r="D173" s="9" t="n">
        <v>19500000</v>
      </c>
      <c r="E173" s="9" t="n">
        <v>759739500</v>
      </c>
      <c r="F173" s="9" t="n">
        <v>11.85</v>
      </c>
      <c r="G173" s="9" t="inlineStr">
        <is>
          <t>si</t>
        </is>
      </c>
      <c r="H173" s="11">
        <f>C173*D173</f>
        <v/>
      </c>
      <c r="I173" s="11">
        <f>ROUND(H173-E173,0)</f>
        <v/>
      </c>
      <c r="J173" s="11">
        <f>ROUND(E173/SUMIFS($E$4:$E$313,$A$4:$A$313,A173)*100,2)</f>
        <v/>
      </c>
      <c r="K173" s="11">
        <f>ROUND(J173-F173,2)</f>
        <v/>
      </c>
    </row>
    <row r="174">
      <c r="A174" s="6" t="n">
        <v>2007</v>
      </c>
      <c r="B174" s="6" t="inlineStr">
        <is>
          <t>oro</t>
        </is>
      </c>
      <c r="C174" s="6" t="n">
        <v>39.78</v>
      </c>
      <c r="D174" s="6" t="n">
        <v>22500000</v>
      </c>
      <c r="E174" s="6" t="n">
        <v>895080304</v>
      </c>
      <c r="F174" s="6" t="n">
        <v>12.73</v>
      </c>
      <c r="G174" s="6" t="inlineStr">
        <is>
          <t>si</t>
        </is>
      </c>
      <c r="H174" s="11">
        <f>C174*D174</f>
        <v/>
      </c>
      <c r="I174" s="11">
        <f>ROUND(H174-E174,0)</f>
        <v/>
      </c>
      <c r="J174" s="11">
        <f>ROUND(E174/SUMIFS($E$4:$E$313,$A$4:$A$313,A174)*100,2)</f>
        <v/>
      </c>
      <c r="K174" s="11">
        <f>ROUND(J174-F174,2)</f>
        <v/>
      </c>
    </row>
    <row r="175">
      <c r="A175" s="9" t="n">
        <v>2008</v>
      </c>
      <c r="B175" s="9" t="inlineStr">
        <is>
          <t>oro</t>
        </is>
      </c>
      <c r="C175" s="9" t="n">
        <v>51.35</v>
      </c>
      <c r="D175" s="9" t="n">
        <v>28100000</v>
      </c>
      <c r="E175" s="9" t="n">
        <v>1442986710</v>
      </c>
      <c r="F175" s="9" t="n">
        <v>20.97</v>
      </c>
      <c r="G175" s="9" t="inlineStr">
        <is>
          <t>si</t>
        </is>
      </c>
      <c r="H175" s="11">
        <f>C175*D175</f>
        <v/>
      </c>
      <c r="I175" s="11">
        <f>ROUND(H175-E175,0)</f>
        <v/>
      </c>
      <c r="J175" s="11">
        <f>ROUND(E175/SUMIFS($E$4:$E$313,$A$4:$A$313,A175)*100,2)</f>
        <v/>
      </c>
      <c r="K175" s="11">
        <f>ROUND(J175-F175,2)</f>
        <v/>
      </c>
    </row>
    <row r="176">
      <c r="A176" s="6" t="n">
        <v>2009</v>
      </c>
      <c r="B176" s="6" t="inlineStr">
        <is>
          <t>oro</t>
        </is>
      </c>
      <c r="C176" s="6" t="n">
        <v>62.5</v>
      </c>
      <c r="D176" s="6" t="n">
        <v>31300000</v>
      </c>
      <c r="E176" s="6" t="n">
        <v>1956250000</v>
      </c>
      <c r="F176" s="6" t="n">
        <v>29.94</v>
      </c>
      <c r="G176" s="6" t="inlineStr">
        <is>
          <t>si</t>
        </is>
      </c>
      <c r="H176" s="11">
        <f>C176*D176</f>
        <v/>
      </c>
      <c r="I176" s="11">
        <f>ROUND(H176-E176,0)</f>
        <v/>
      </c>
      <c r="J176" s="11">
        <f>ROUND(E176/SUMIFS($E$4:$E$313,$A$4:$A$313,A176)*100,2)</f>
        <v/>
      </c>
      <c r="K176" s="11">
        <f>ROUND(J176-F176,2)</f>
        <v/>
      </c>
    </row>
    <row r="177">
      <c r="A177" s="9" t="n">
        <v>2010</v>
      </c>
      <c r="B177" s="9" t="inlineStr">
        <is>
          <t>oro</t>
        </is>
      </c>
      <c r="C177" s="9" t="n">
        <v>79.40000000000001</v>
      </c>
      <c r="D177" s="9" t="n">
        <v>39500000</v>
      </c>
      <c r="E177" s="9" t="n">
        <v>3136300000</v>
      </c>
      <c r="F177" s="9" t="n">
        <v>30.24</v>
      </c>
      <c r="G177" s="9" t="inlineStr">
        <is>
          <t>si</t>
        </is>
      </c>
      <c r="H177" s="11">
        <f>C177*D177</f>
        <v/>
      </c>
      <c r="I177" s="11">
        <f>ROUND(H177-E177,0)</f>
        <v/>
      </c>
      <c r="J177" s="11">
        <f>ROUND(E177/SUMIFS($E$4:$E$313,$A$4:$A$313,A177)*100,2)</f>
        <v/>
      </c>
      <c r="K177" s="11">
        <f>ROUND(J177-F177,2)</f>
        <v/>
      </c>
    </row>
    <row r="178">
      <c r="A178" s="6" t="n">
        <v>2011</v>
      </c>
      <c r="B178" s="6" t="inlineStr">
        <is>
          <t>oro</t>
        </is>
      </c>
      <c r="C178" s="6" t="n">
        <v>88.59999999999999</v>
      </c>
      <c r="D178" s="6" t="n">
        <v>50600000</v>
      </c>
      <c r="E178" s="6" t="n">
        <v>4483160000</v>
      </c>
      <c r="F178" s="6" t="n">
        <v>27.05</v>
      </c>
      <c r="G178" s="6" t="inlineStr">
        <is>
          <t>si</t>
        </is>
      </c>
      <c r="H178" s="11">
        <f>C178*D178</f>
        <v/>
      </c>
      <c r="I178" s="11">
        <f>ROUND(H178-E178,0)</f>
        <v/>
      </c>
      <c r="J178" s="11">
        <f>ROUND(E178/SUMIFS($E$4:$E$313,$A$4:$A$313,A178)*100,2)</f>
        <v/>
      </c>
      <c r="K178" s="11">
        <f>ROUND(J178-F178,2)</f>
        <v/>
      </c>
    </row>
    <row r="179">
      <c r="A179" s="9" t="n">
        <v>2012</v>
      </c>
      <c r="B179" s="9" t="inlineStr">
        <is>
          <t>oro</t>
        </is>
      </c>
      <c r="C179" s="9" t="n">
        <v>102.8</v>
      </c>
      <c r="D179" s="9" t="n">
        <v>53800000</v>
      </c>
      <c r="E179" s="9" t="n">
        <v>5530640000</v>
      </c>
      <c r="F179" s="9" t="n">
        <v>31.19</v>
      </c>
      <c r="G179" s="9" t="inlineStr">
        <is>
          <t>si</t>
        </is>
      </c>
      <c r="H179" s="11">
        <f>C179*D179</f>
        <v/>
      </c>
      <c r="I179" s="11">
        <f>ROUND(H179-E179,0)</f>
        <v/>
      </c>
      <c r="J179" s="11">
        <f>ROUND(E179/SUMIFS($E$4:$E$313,$A$4:$A$313,A179)*100,2)</f>
        <v/>
      </c>
      <c r="K179" s="11">
        <f>ROUND(J179-F179,2)</f>
        <v/>
      </c>
    </row>
    <row r="180">
      <c r="A180" s="6" t="n">
        <v>2013</v>
      </c>
      <c r="B180" s="6" t="inlineStr">
        <is>
          <t>oro</t>
        </is>
      </c>
      <c r="C180" s="6" t="n">
        <v>119.8</v>
      </c>
      <c r="D180" s="6" t="n">
        <v>45500000</v>
      </c>
      <c r="E180" s="6" t="n">
        <v>5450900000</v>
      </c>
      <c r="F180" s="6" t="n">
        <v>33.65</v>
      </c>
      <c r="G180" s="6" t="inlineStr">
        <is>
          <t>si</t>
        </is>
      </c>
      <c r="H180" s="11">
        <f>C180*D180</f>
        <v/>
      </c>
      <c r="I180" s="11">
        <f>ROUND(H180-E180,0)</f>
        <v/>
      </c>
      <c r="J180" s="11">
        <f>ROUND(E180/SUMIFS($E$4:$E$313,$A$4:$A$313,A180)*100,2)</f>
        <v/>
      </c>
      <c r="K180" s="11">
        <f>ROUND(J180-F180,2)</f>
        <v/>
      </c>
    </row>
    <row r="181">
      <c r="A181" s="9" t="n">
        <v>2014</v>
      </c>
      <c r="B181" s="9" t="inlineStr">
        <is>
          <t>oro</t>
        </is>
      </c>
      <c r="C181" s="9" t="n">
        <v>92.06999999999999</v>
      </c>
      <c r="D181" s="9" t="n">
        <v>40800000</v>
      </c>
      <c r="E181" s="9" t="n">
        <v>3756304686</v>
      </c>
      <c r="F181" s="9" t="n">
        <v>27.09</v>
      </c>
      <c r="G181" s="9" t="inlineStr">
        <is>
          <t>si</t>
        </is>
      </c>
      <c r="H181" s="11">
        <f>C181*D181</f>
        <v/>
      </c>
      <c r="I181" s="11">
        <f>ROUND(H181-E181,0)</f>
        <v/>
      </c>
      <c r="J181" s="11">
        <f>ROUND(E181/SUMIFS($E$4:$E$313,$A$4:$A$313,A181)*100,2)</f>
        <v/>
      </c>
      <c r="K181" s="11">
        <f>ROUND(J181-F181,2)</f>
        <v/>
      </c>
    </row>
    <row r="182">
      <c r="A182" s="6" t="n">
        <v>2015</v>
      </c>
      <c r="B182" s="6" t="inlineStr">
        <is>
          <t>oro</t>
        </is>
      </c>
      <c r="C182" s="6" t="n">
        <v>133.74</v>
      </c>
      <c r="D182" s="6" t="n">
        <v>37400000</v>
      </c>
      <c r="E182" s="6" t="n">
        <v>5002061139</v>
      </c>
      <c r="F182" s="6" t="n">
        <v>35.45</v>
      </c>
      <c r="G182" s="6" t="inlineStr">
        <is>
          <t>si</t>
        </is>
      </c>
      <c r="H182" s="11">
        <f>C182*D182</f>
        <v/>
      </c>
      <c r="I182" s="11">
        <f>ROUND(H182-E182,0)</f>
        <v/>
      </c>
      <c r="J182" s="11">
        <f>ROUND(E182/SUMIFS($E$4:$E$313,$A$4:$A$313,A182)*100,2)</f>
        <v/>
      </c>
      <c r="K182" s="11">
        <f>ROUND(J182-F182,2)</f>
        <v/>
      </c>
    </row>
    <row r="183">
      <c r="A183" s="9" t="n">
        <v>2016</v>
      </c>
      <c r="B183" s="9" t="inlineStr">
        <is>
          <t>oro</t>
        </is>
      </c>
      <c r="C183" s="9" t="n">
        <v>132.5</v>
      </c>
      <c r="D183" s="9" t="n">
        <v>40300000</v>
      </c>
      <c r="E183" s="9" t="n">
        <v>5339782690</v>
      </c>
      <c r="F183" s="9" t="n">
        <v>36.67</v>
      </c>
      <c r="G183" s="9" t="inlineStr">
        <is>
          <t>si</t>
        </is>
      </c>
      <c r="H183" s="11">
        <f>C183*D183</f>
        <v/>
      </c>
      <c r="I183" s="11">
        <f>ROUND(H183-E183,0)</f>
        <v/>
      </c>
      <c r="J183" s="11">
        <f>ROUND(E183/SUMIFS($E$4:$E$313,$A$4:$A$313,A183)*100,2)</f>
        <v/>
      </c>
      <c r="K183" s="11">
        <f>ROUND(J183-F183,2)</f>
        <v/>
      </c>
    </row>
    <row r="184">
      <c r="A184" s="6" t="n">
        <v>2017</v>
      </c>
      <c r="B184" s="6" t="inlineStr">
        <is>
          <t>oro</t>
        </is>
      </c>
      <c r="C184" s="6" t="n">
        <v>126.9</v>
      </c>
      <c r="D184" s="6" t="n">
        <v>40500000</v>
      </c>
      <c r="E184" s="6" t="n">
        <v>5139538506</v>
      </c>
      <c r="F184" s="6" t="n">
        <v>31.5</v>
      </c>
      <c r="G184" s="6" t="inlineStr">
        <is>
          <t>si</t>
        </is>
      </c>
      <c r="H184" s="11">
        <f>C184*D184</f>
        <v/>
      </c>
      <c r="I184" s="11">
        <f>ROUND(H184-E184,0)</f>
        <v/>
      </c>
      <c r="J184" s="11">
        <f>ROUND(E184/SUMIFS($E$4:$E$313,$A$4:$A$313,A184)*100,2)</f>
        <v/>
      </c>
      <c r="K184" s="11">
        <f>ROUND(J184-F184,2)</f>
        <v/>
      </c>
    </row>
    <row r="185">
      <c r="A185" s="9" t="n">
        <v>2018</v>
      </c>
      <c r="B185" s="9" t="inlineStr">
        <is>
          <t>oro</t>
        </is>
      </c>
      <c r="C185" s="9" t="n">
        <v>118.19</v>
      </c>
      <c r="D185" s="9" t="n">
        <v>40900000</v>
      </c>
      <c r="E185" s="9" t="n">
        <v>4834102364</v>
      </c>
      <c r="F185" s="9" t="n">
        <v>29.5</v>
      </c>
      <c r="G185" s="9" t="inlineStr">
        <is>
          <t>si</t>
        </is>
      </c>
      <c r="H185" s="11">
        <f>C185*D185</f>
        <v/>
      </c>
      <c r="I185" s="11">
        <f>ROUND(H185-E185,0)</f>
        <v/>
      </c>
      <c r="J185" s="11">
        <f>ROUND(E185/SUMIFS($E$4:$E$313,$A$4:$A$313,A185)*100,2)</f>
        <v/>
      </c>
      <c r="K185" s="11">
        <f>ROUND(J185-F185,2)</f>
        <v/>
      </c>
    </row>
    <row r="186">
      <c r="A186" s="6" t="n">
        <v>2019</v>
      </c>
      <c r="B186" s="6" t="inlineStr">
        <is>
          <t>oro</t>
        </is>
      </c>
      <c r="C186" s="6" t="n">
        <v>111.4</v>
      </c>
      <c r="D186" s="6" t="n">
        <v>44900000</v>
      </c>
      <c r="E186" s="6" t="n">
        <v>5002039600</v>
      </c>
      <c r="F186" s="6" t="n">
        <v>31.98</v>
      </c>
      <c r="G186" s="6" t="inlineStr">
        <is>
          <t>si</t>
        </is>
      </c>
      <c r="H186" s="11">
        <f>C186*D186</f>
        <v/>
      </c>
      <c r="I186" s="11">
        <f>ROUND(H186-E186,0)</f>
        <v/>
      </c>
      <c r="J186" s="11">
        <f>ROUND(E186/SUMIFS($E$4:$E$313,$A$4:$A$313,A186)*100,2)</f>
        <v/>
      </c>
      <c r="K186" s="11">
        <f>ROUND(J186-F186,2)</f>
        <v/>
      </c>
    </row>
    <row r="187">
      <c r="A187" s="9" t="n">
        <v>2020</v>
      </c>
      <c r="B187" s="9" t="inlineStr">
        <is>
          <t>oro</t>
        </is>
      </c>
      <c r="C187" s="9" t="n">
        <v>101.63</v>
      </c>
      <c r="D187" s="9" t="n">
        <v>57000000</v>
      </c>
      <c r="E187" s="9" t="n">
        <v>5792967000</v>
      </c>
      <c r="F187" s="9" t="n">
        <v>34.14</v>
      </c>
      <c r="G187" s="9" t="inlineStr">
        <is>
          <t>si</t>
        </is>
      </c>
      <c r="H187" s="11">
        <f>C187*D187</f>
        <v/>
      </c>
      <c r="I187" s="11">
        <f>ROUND(H187-E187,0)</f>
        <v/>
      </c>
      <c r="J187" s="11">
        <f>ROUND(E187/SUMIFS($E$4:$E$313,$A$4:$A$313,A187)*100,2)</f>
        <v/>
      </c>
      <c r="K187" s="11">
        <f>ROUND(J187-F187,2)</f>
        <v/>
      </c>
    </row>
    <row r="188">
      <c r="A188" s="6" t="n">
        <v>2021</v>
      </c>
      <c r="B188" s="6" t="inlineStr">
        <is>
          <t>oro</t>
        </is>
      </c>
      <c r="C188" s="6" t="n">
        <v>120</v>
      </c>
      <c r="D188" s="6" t="n">
        <v>57900000</v>
      </c>
      <c r="E188" s="6" t="n">
        <v>6948000000</v>
      </c>
      <c r="F188" s="6" t="n">
        <v>30.58</v>
      </c>
      <c r="G188" s="6" t="inlineStr">
        <is>
          <t>si</t>
        </is>
      </c>
      <c r="H188" s="11">
        <f>C188*D188</f>
        <v/>
      </c>
      <c r="I188" s="11">
        <f>ROUND(H188-E188,0)</f>
        <v/>
      </c>
      <c r="J188" s="11">
        <f>ROUND(E188/SUMIFS($E$4:$E$313,$A$4:$A$313,A188)*100,2)</f>
        <v/>
      </c>
      <c r="K188" s="11">
        <f>ROUND(J188-F188,2)</f>
        <v/>
      </c>
    </row>
    <row r="189">
      <c r="A189" s="9" t="n">
        <v>2022</v>
      </c>
      <c r="B189" s="9" t="inlineStr">
        <is>
          <t>oro</t>
        </is>
      </c>
      <c r="C189" s="9" t="n">
        <v>120</v>
      </c>
      <c r="D189" s="9" t="n">
        <v>57900000</v>
      </c>
      <c r="E189" s="9" t="n">
        <v>6948000000</v>
      </c>
      <c r="F189" s="9" t="n">
        <v>30.42</v>
      </c>
      <c r="G189" s="9" t="inlineStr">
        <is>
          <t>si</t>
        </is>
      </c>
      <c r="H189" s="11">
        <f>C189*D189</f>
        <v/>
      </c>
      <c r="I189" s="11">
        <f>ROUND(H189-E189,0)</f>
        <v/>
      </c>
      <c r="J189" s="11">
        <f>ROUND(E189/SUMIFS($E$4:$E$313,$A$4:$A$313,A189)*100,2)</f>
        <v/>
      </c>
      <c r="K189" s="11">
        <f>ROUND(J189-F189,2)</f>
        <v/>
      </c>
    </row>
    <row r="190">
      <c r="A190" s="6" t="n">
        <v>1992</v>
      </c>
      <c r="B190" s="6" t="inlineStr">
        <is>
          <t>plata</t>
        </is>
      </c>
      <c r="C190" s="6" t="n">
        <v>2100</v>
      </c>
      <c r="D190" s="6" t="n">
        <v>127000</v>
      </c>
      <c r="E190" s="6" t="n">
        <v>266700000</v>
      </c>
      <c r="F190" s="6" t="n">
        <v>15.28</v>
      </c>
      <c r="G190" s="6" t="inlineStr">
        <is>
          <t>si</t>
        </is>
      </c>
      <c r="H190" s="11">
        <f>C190*D190</f>
        <v/>
      </c>
      <c r="I190" s="11">
        <f>ROUND(H190-E190,0)</f>
        <v/>
      </c>
      <c r="J190" s="11">
        <f>ROUND(E190/SUMIFS($E$4:$E$313,$A$4:$A$313,A190)*100,2)</f>
        <v/>
      </c>
      <c r="K190" s="11">
        <f>ROUND(J190-F190,2)</f>
        <v/>
      </c>
    </row>
    <row r="191">
      <c r="A191" s="9" t="n">
        <v>1993</v>
      </c>
      <c r="B191" s="9" t="inlineStr">
        <is>
          <t>plata</t>
        </is>
      </c>
      <c r="C191" s="9" t="n">
        <v>2110</v>
      </c>
      <c r="D191" s="9" t="n">
        <v>138000</v>
      </c>
      <c r="E191" s="9" t="n">
        <v>291180000</v>
      </c>
      <c r="F191" s="9" t="n">
        <v>17.64</v>
      </c>
      <c r="G191" s="9" t="inlineStr">
        <is>
          <t>si</t>
        </is>
      </c>
      <c r="H191" s="11">
        <f>C191*D191</f>
        <v/>
      </c>
      <c r="I191" s="11">
        <f>ROUND(H191-E191,0)</f>
        <v/>
      </c>
      <c r="J191" s="11">
        <f>ROUND(E191/SUMIFS($E$4:$E$313,$A$4:$A$313,A191)*100,2)</f>
        <v/>
      </c>
      <c r="K191" s="11">
        <f>ROUND(J191-F191,2)</f>
        <v/>
      </c>
    </row>
    <row r="192">
      <c r="A192" s="6" t="n">
        <v>1994</v>
      </c>
      <c r="B192" s="6" t="inlineStr">
        <is>
          <t>plata</t>
        </is>
      </c>
      <c r="C192" s="6" t="n">
        <v>2214.64</v>
      </c>
      <c r="D192" s="6" t="n">
        <v>170000</v>
      </c>
      <c r="E192" s="6" t="n">
        <v>376488460</v>
      </c>
      <c r="F192" s="6" t="n">
        <v>19.27</v>
      </c>
      <c r="G192" s="6" t="inlineStr">
        <is>
          <t>si</t>
        </is>
      </c>
      <c r="H192" s="11">
        <f>C192*D192</f>
        <v/>
      </c>
      <c r="I192" s="11">
        <f>ROUND(H192-E192,0)</f>
        <v/>
      </c>
      <c r="J192" s="11">
        <f>ROUND(E192/SUMIFS($E$4:$E$313,$A$4:$A$313,A192)*100,2)</f>
        <v/>
      </c>
      <c r="K192" s="11">
        <f>ROUND(J192-F192,2)</f>
        <v/>
      </c>
    </row>
    <row r="193">
      <c r="A193" s="9" t="n">
        <v>1995</v>
      </c>
      <c r="B193" s="9" t="inlineStr">
        <is>
          <t>plata</t>
        </is>
      </c>
      <c r="C193" s="9" t="n">
        <v>2324.35</v>
      </c>
      <c r="D193" s="9" t="n">
        <v>166000</v>
      </c>
      <c r="E193" s="9" t="n">
        <v>385841768</v>
      </c>
      <c r="F193" s="9" t="n">
        <v>15.63</v>
      </c>
      <c r="G193" s="9" t="inlineStr">
        <is>
          <t>si</t>
        </is>
      </c>
      <c r="H193" s="11">
        <f>C193*D193</f>
        <v/>
      </c>
      <c r="I193" s="11">
        <f>ROUND(H193-E193,0)</f>
        <v/>
      </c>
      <c r="J193" s="11">
        <f>ROUND(E193/SUMIFS($E$4:$E$313,$A$4:$A$313,A193)*100,2)</f>
        <v/>
      </c>
      <c r="K193" s="11">
        <f>ROUND(J193-F193,2)</f>
        <v/>
      </c>
    </row>
    <row r="194">
      <c r="A194" s="6" t="n">
        <v>1996</v>
      </c>
      <c r="B194" s="6" t="inlineStr">
        <is>
          <t>plata</t>
        </is>
      </c>
      <c r="C194" s="6" t="n">
        <v>2527.88</v>
      </c>
      <c r="D194" s="6" t="n">
        <v>167000</v>
      </c>
      <c r="E194" s="6" t="n">
        <v>422155125</v>
      </c>
      <c r="F194" s="6" t="n">
        <v>17.55</v>
      </c>
      <c r="G194" s="6" t="inlineStr">
        <is>
          <t>si</t>
        </is>
      </c>
      <c r="H194" s="11">
        <f>C194*D194</f>
        <v/>
      </c>
      <c r="I194" s="11">
        <f>ROUND(H194-E194,0)</f>
        <v/>
      </c>
      <c r="J194" s="11">
        <f>ROUND(E194/SUMIFS($E$4:$E$313,$A$4:$A$313,A194)*100,2)</f>
        <v/>
      </c>
      <c r="K194" s="11">
        <f>ROUND(J194-F194,2)</f>
        <v/>
      </c>
    </row>
    <row r="195">
      <c r="A195" s="9" t="n">
        <v>1997</v>
      </c>
      <c r="B195" s="9" t="inlineStr">
        <is>
          <t>plata</t>
        </is>
      </c>
      <c r="C195" s="9" t="n">
        <v>2679.09</v>
      </c>
      <c r="D195" s="9" t="n">
        <v>157000</v>
      </c>
      <c r="E195" s="9" t="n">
        <v>420617130</v>
      </c>
      <c r="F195" s="9" t="n">
        <v>16.25</v>
      </c>
      <c r="G195" s="9" t="inlineStr">
        <is>
          <t>si</t>
        </is>
      </c>
      <c r="H195" s="11">
        <f>C195*D195</f>
        <v/>
      </c>
      <c r="I195" s="11">
        <f>ROUND(H195-E195,0)</f>
        <v/>
      </c>
      <c r="J195" s="11">
        <f>ROUND(E195/SUMIFS($E$4:$E$313,$A$4:$A$313,A195)*100,2)</f>
        <v/>
      </c>
      <c r="K195" s="11">
        <f>ROUND(J195-F195,2)</f>
        <v/>
      </c>
    </row>
    <row r="196">
      <c r="A196" s="6" t="n">
        <v>1998</v>
      </c>
      <c r="B196" s="6" t="inlineStr">
        <is>
          <t>plata</t>
        </is>
      </c>
      <c r="C196" s="6" t="n">
        <v>2686</v>
      </c>
      <c r="D196" s="6" t="n">
        <v>178000</v>
      </c>
      <c r="E196" s="6" t="n">
        <v>478108000</v>
      </c>
      <c r="F196" s="6" t="n">
        <v>21.34</v>
      </c>
      <c r="G196" s="6" t="inlineStr">
        <is>
          <t>si</t>
        </is>
      </c>
      <c r="H196" s="11">
        <f>C196*D196</f>
        <v/>
      </c>
      <c r="I196" s="11">
        <f>ROUND(H196-E196,0)</f>
        <v/>
      </c>
      <c r="J196" s="11">
        <f>ROUND(E196/SUMIFS($E$4:$E$313,$A$4:$A$313,A196)*100,2)</f>
        <v/>
      </c>
      <c r="K196" s="11">
        <f>ROUND(J196-F196,2)</f>
        <v/>
      </c>
    </row>
    <row r="197">
      <c r="A197" s="9" t="n">
        <v>1999</v>
      </c>
      <c r="B197" s="9" t="inlineStr">
        <is>
          <t>plata</t>
        </is>
      </c>
      <c r="C197" s="9" t="n">
        <v>2467</v>
      </c>
      <c r="D197" s="9" t="n">
        <v>169000</v>
      </c>
      <c r="E197" s="9" t="n">
        <v>416923000</v>
      </c>
      <c r="F197" s="9" t="n">
        <v>20.59</v>
      </c>
      <c r="G197" s="9" t="inlineStr">
        <is>
          <t>si</t>
        </is>
      </c>
      <c r="H197" s="11">
        <f>C197*D197</f>
        <v/>
      </c>
      <c r="I197" s="11">
        <f>ROUND(H197-E197,0)</f>
        <v/>
      </c>
      <c r="J197" s="11">
        <f>ROUND(E197/SUMIFS($E$4:$E$313,$A$4:$A$313,A197)*100,2)</f>
        <v/>
      </c>
      <c r="K197" s="11">
        <f>ROUND(J197-F197,2)</f>
        <v/>
      </c>
    </row>
    <row r="198">
      <c r="A198" s="6" t="n">
        <v>2000</v>
      </c>
      <c r="B198" s="6" t="inlineStr">
        <is>
          <t>plata</t>
        </is>
      </c>
      <c r="C198" s="6" t="n">
        <v>2620.5</v>
      </c>
      <c r="D198" s="6" t="n">
        <v>161000</v>
      </c>
      <c r="E198" s="6" t="n">
        <v>421900500</v>
      </c>
      <c r="F198" s="6" t="n">
        <v>19.17</v>
      </c>
      <c r="G198" s="6" t="inlineStr">
        <is>
          <t>si</t>
        </is>
      </c>
      <c r="H198" s="11">
        <f>C198*D198</f>
        <v/>
      </c>
      <c r="I198" s="11">
        <f>ROUND(H198-E198,0)</f>
        <v/>
      </c>
      <c r="J198" s="11">
        <f>ROUND(E198/SUMIFS($E$4:$E$313,$A$4:$A$313,A198)*100,2)</f>
        <v/>
      </c>
      <c r="K198" s="11">
        <f>ROUND(J198-F198,2)</f>
        <v/>
      </c>
    </row>
    <row r="199">
      <c r="A199" s="9" t="n">
        <v>2001</v>
      </c>
      <c r="B199" s="9" t="inlineStr">
        <is>
          <t>plata</t>
        </is>
      </c>
      <c r="C199" s="9" t="n">
        <v>2760</v>
      </c>
      <c r="D199" s="9" t="n">
        <v>141000</v>
      </c>
      <c r="E199" s="9" t="n">
        <v>389160000</v>
      </c>
      <c r="F199" s="9" t="n">
        <v>20.06</v>
      </c>
      <c r="G199" s="9" t="inlineStr">
        <is>
          <t>si</t>
        </is>
      </c>
      <c r="H199" s="11">
        <f>C199*D199</f>
        <v/>
      </c>
      <c r="I199" s="11">
        <f>ROUND(H199-E199,0)</f>
        <v/>
      </c>
      <c r="J199" s="11">
        <f>ROUND(E199/SUMIFS($E$4:$E$313,$A$4:$A$313,A199)*100,2)</f>
        <v/>
      </c>
      <c r="K199" s="11">
        <f>ROUND(J199-F199,2)</f>
        <v/>
      </c>
    </row>
    <row r="200">
      <c r="A200" s="6" t="n">
        <v>2002</v>
      </c>
      <c r="B200" s="6" t="inlineStr">
        <is>
          <t>plata</t>
        </is>
      </c>
      <c r="C200" s="6" t="n">
        <v>2747</v>
      </c>
      <c r="D200" s="6" t="n">
        <v>149000</v>
      </c>
      <c r="E200" s="6" t="n">
        <v>409303000</v>
      </c>
      <c r="F200" s="6" t="n">
        <v>22.12</v>
      </c>
      <c r="G200" s="6" t="inlineStr">
        <is>
          <t>si</t>
        </is>
      </c>
      <c r="H200" s="11">
        <f>C200*D200</f>
        <v/>
      </c>
      <c r="I200" s="11">
        <f>ROUND(H200-E200,0)</f>
        <v/>
      </c>
      <c r="J200" s="11">
        <f>ROUND(E200/SUMIFS($E$4:$E$313,$A$4:$A$313,A200)*100,2)</f>
        <v/>
      </c>
      <c r="K200" s="11">
        <f>ROUND(J200-F200,2)</f>
        <v/>
      </c>
    </row>
    <row r="201">
      <c r="A201" s="9" t="n">
        <v>2003</v>
      </c>
      <c r="B201" s="9" t="inlineStr">
        <is>
          <t>plata</t>
        </is>
      </c>
      <c r="C201" s="9" t="n">
        <v>2568.9</v>
      </c>
      <c r="D201" s="9" t="n">
        <v>158000</v>
      </c>
      <c r="E201" s="9" t="n">
        <v>405886200</v>
      </c>
      <c r="F201" s="9" t="n">
        <v>19.93</v>
      </c>
      <c r="G201" s="9" t="inlineStr">
        <is>
          <t>si</t>
        </is>
      </c>
      <c r="H201" s="11">
        <f>C201*D201</f>
        <v/>
      </c>
      <c r="I201" s="11">
        <f>ROUND(H201-E201,0)</f>
        <v/>
      </c>
      <c r="J201" s="11">
        <f>ROUND(E201/SUMIFS($E$4:$E$313,$A$4:$A$313,A201)*100,2)</f>
        <v/>
      </c>
      <c r="K201" s="11">
        <f>ROUND(J201-F201,2)</f>
        <v/>
      </c>
    </row>
    <row r="202">
      <c r="A202" s="6" t="n">
        <v>2004</v>
      </c>
      <c r="B202" s="6" t="inlineStr">
        <is>
          <t>plata</t>
        </is>
      </c>
      <c r="C202" s="6" t="n">
        <v>2569.15</v>
      </c>
      <c r="D202" s="6" t="n">
        <v>215000</v>
      </c>
      <c r="E202" s="6" t="n">
        <v>552366644</v>
      </c>
      <c r="F202" s="6" t="n">
        <v>18.03</v>
      </c>
      <c r="G202" s="6" t="inlineStr">
        <is>
          <t>si</t>
        </is>
      </c>
      <c r="H202" s="11">
        <f>C202*D202</f>
        <v/>
      </c>
      <c r="I202" s="11">
        <f>ROUND(H202-E202,0)</f>
        <v/>
      </c>
      <c r="J202" s="11">
        <f>ROUND(E202/SUMIFS($E$4:$E$313,$A$4:$A$313,A202)*100,2)</f>
        <v/>
      </c>
      <c r="K202" s="11">
        <f>ROUND(J202-F202,2)</f>
        <v/>
      </c>
    </row>
    <row r="203">
      <c r="A203" s="9" t="n">
        <v>2005</v>
      </c>
      <c r="B203" s="9" t="inlineStr">
        <is>
          <t>plata</t>
        </is>
      </c>
      <c r="C203" s="9" t="n">
        <v>2895.73</v>
      </c>
      <c r="D203" s="9" t="n">
        <v>236000</v>
      </c>
      <c r="E203" s="9" t="n">
        <v>683393151</v>
      </c>
      <c r="F203" s="9" t="n">
        <v>17.23</v>
      </c>
      <c r="G203" s="9" t="inlineStr">
        <is>
          <t>si</t>
        </is>
      </c>
      <c r="H203" s="11">
        <f>C203*D203</f>
        <v/>
      </c>
      <c r="I203" s="11">
        <f>ROUND(H203-E203,0)</f>
        <v/>
      </c>
      <c r="J203" s="11">
        <f>ROUND(E203/SUMIFS($E$4:$E$313,$A$4:$A$313,A203)*100,2)</f>
        <v/>
      </c>
      <c r="K203" s="11">
        <f>ROUND(J203-F203,2)</f>
        <v/>
      </c>
    </row>
    <row r="204">
      <c r="A204" s="6" t="n">
        <v>2006</v>
      </c>
      <c r="B204" s="6" t="inlineStr">
        <is>
          <t>plata</t>
        </is>
      </c>
      <c r="C204" s="6" t="n">
        <v>3028.4</v>
      </c>
      <c r="D204" s="6" t="n">
        <v>373000</v>
      </c>
      <c r="E204" s="6" t="n">
        <v>1129593200</v>
      </c>
      <c r="F204" s="6" t="n">
        <v>17.62</v>
      </c>
      <c r="G204" s="6" t="inlineStr">
        <is>
          <t>si</t>
        </is>
      </c>
      <c r="H204" s="11">
        <f>C204*D204</f>
        <v/>
      </c>
      <c r="I204" s="11">
        <f>ROUND(H204-E204,0)</f>
        <v/>
      </c>
      <c r="J204" s="11">
        <f>ROUND(E204/SUMIFS($E$4:$E$313,$A$4:$A$313,A204)*100,2)</f>
        <v/>
      </c>
      <c r="K204" s="11">
        <f>ROUND(J204-F204,2)</f>
        <v/>
      </c>
    </row>
    <row r="205">
      <c r="A205" s="9" t="n">
        <v>2007</v>
      </c>
      <c r="B205" s="9" t="inlineStr">
        <is>
          <t>plata</t>
        </is>
      </c>
      <c r="C205" s="9" t="n">
        <v>3135.43</v>
      </c>
      <c r="D205" s="9" t="n">
        <v>431000</v>
      </c>
      <c r="E205" s="9" t="n">
        <v>1351370330</v>
      </c>
      <c r="F205" s="9" t="n">
        <v>19.22</v>
      </c>
      <c r="G205" s="9" t="inlineStr">
        <is>
          <t>si</t>
        </is>
      </c>
      <c r="H205" s="11">
        <f>C205*D205</f>
        <v/>
      </c>
      <c r="I205" s="11">
        <f>ROUND(H205-E205,0)</f>
        <v/>
      </c>
      <c r="J205" s="11">
        <f>ROUND(E205/SUMIFS($E$4:$E$313,$A$4:$A$313,A205)*100,2)</f>
        <v/>
      </c>
      <c r="K205" s="11">
        <f>ROUND(J205-F205,2)</f>
        <v/>
      </c>
    </row>
    <row r="206">
      <c r="A206" s="6" t="n">
        <v>2008</v>
      </c>
      <c r="B206" s="6" t="inlineStr">
        <is>
          <t>plata</t>
        </is>
      </c>
      <c r="C206" s="6" t="n">
        <v>3234.76</v>
      </c>
      <c r="D206" s="6" t="n">
        <v>482000</v>
      </c>
      <c r="E206" s="6" t="n">
        <v>1559155085</v>
      </c>
      <c r="F206" s="6" t="n">
        <v>22.65</v>
      </c>
      <c r="G206" s="6" t="inlineStr">
        <is>
          <t>si</t>
        </is>
      </c>
      <c r="H206" s="11">
        <f>C206*D206</f>
        <v/>
      </c>
      <c r="I206" s="11">
        <f>ROUND(H206-E206,0)</f>
        <v/>
      </c>
      <c r="J206" s="11">
        <f>ROUND(E206/SUMIFS($E$4:$E$313,$A$4:$A$313,A206)*100,2)</f>
        <v/>
      </c>
      <c r="K206" s="11">
        <f>ROUND(J206-F206,2)</f>
        <v/>
      </c>
    </row>
    <row r="207">
      <c r="A207" s="9" t="n">
        <v>2009</v>
      </c>
      <c r="B207" s="9" t="inlineStr">
        <is>
          <t>plata</t>
        </is>
      </c>
      <c r="C207" s="9" t="n">
        <v>3555.13</v>
      </c>
      <c r="D207" s="9" t="n">
        <v>472000</v>
      </c>
      <c r="E207" s="9" t="n">
        <v>1678020132</v>
      </c>
      <c r="F207" s="9" t="n">
        <v>25.69</v>
      </c>
      <c r="G207" s="9" t="inlineStr">
        <is>
          <t>si</t>
        </is>
      </c>
      <c r="H207" s="11">
        <f>C207*D207</f>
        <v/>
      </c>
      <c r="I207" s="11">
        <f>ROUND(H207-E207,0)</f>
        <v/>
      </c>
      <c r="J207" s="11">
        <f>ROUND(E207/SUMIFS($E$4:$E$313,$A$4:$A$313,A207)*100,2)</f>
        <v/>
      </c>
      <c r="K207" s="11">
        <f>ROUND(J207-F207,2)</f>
        <v/>
      </c>
    </row>
    <row r="208">
      <c r="A208" s="6" t="n">
        <v>2010</v>
      </c>
      <c r="B208" s="6" t="inlineStr">
        <is>
          <t>plata</t>
        </is>
      </c>
      <c r="C208" s="6" t="n">
        <v>4410.47</v>
      </c>
      <c r="D208" s="6" t="n">
        <v>644000</v>
      </c>
      <c r="E208" s="6" t="n">
        <v>2840344619</v>
      </c>
      <c r="F208" s="6" t="n">
        <v>27.39</v>
      </c>
      <c r="G208" s="6" t="inlineStr">
        <is>
          <t>si</t>
        </is>
      </c>
      <c r="H208" s="11">
        <f>C208*D208</f>
        <v/>
      </c>
      <c r="I208" s="11">
        <f>ROUND(H208-E208,0)</f>
        <v/>
      </c>
      <c r="J208" s="11">
        <f>ROUND(E208/SUMIFS($E$4:$E$313,$A$4:$A$313,A208)*100,2)</f>
        <v/>
      </c>
      <c r="K208" s="11">
        <f>ROUND(J208-F208,2)</f>
        <v/>
      </c>
    </row>
    <row r="209">
      <c r="A209" s="9" t="n">
        <v>2011</v>
      </c>
      <c r="B209" s="9" t="inlineStr">
        <is>
          <t>plata</t>
        </is>
      </c>
      <c r="C209" s="9" t="n">
        <v>4777.49</v>
      </c>
      <c r="D209" s="9" t="n">
        <v>1130000</v>
      </c>
      <c r="E209" s="9" t="n">
        <v>5398568261</v>
      </c>
      <c r="F209" s="9" t="n">
        <v>32.57</v>
      </c>
      <c r="G209" s="9" t="inlineStr">
        <is>
          <t>si</t>
        </is>
      </c>
      <c r="H209" s="11">
        <f>C209*D209</f>
        <v/>
      </c>
      <c r="I209" s="11">
        <f>ROUND(H209-E209,0)</f>
        <v/>
      </c>
      <c r="J209" s="11">
        <f>ROUND(E209/SUMIFS($E$4:$E$313,$A$4:$A$313,A209)*100,2)</f>
        <v/>
      </c>
      <c r="K209" s="11">
        <f>ROUND(J209-F209,2)</f>
        <v/>
      </c>
    </row>
    <row r="210">
      <c r="A210" s="6" t="n">
        <v>2012</v>
      </c>
      <c r="B210" s="6" t="inlineStr">
        <is>
          <t>plata</t>
        </is>
      </c>
      <c r="C210" s="6" t="n">
        <v>5359.13</v>
      </c>
      <c r="D210" s="6" t="n">
        <v>1000000</v>
      </c>
      <c r="E210" s="6" t="n">
        <v>5359129053</v>
      </c>
      <c r="F210" s="6" t="n">
        <v>30.22</v>
      </c>
      <c r="G210" s="6" t="inlineStr">
        <is>
          <t>si</t>
        </is>
      </c>
      <c r="H210" s="11">
        <f>C210*D210</f>
        <v/>
      </c>
      <c r="I210" s="11">
        <f>ROUND(H210-E210,0)</f>
        <v/>
      </c>
      <c r="J210" s="11">
        <f>ROUND(E210/SUMIFS($E$4:$E$313,$A$4:$A$313,A210)*100,2)</f>
        <v/>
      </c>
      <c r="K210" s="11">
        <f>ROUND(J210-F210,2)</f>
        <v/>
      </c>
    </row>
    <row r="211">
      <c r="A211" s="9" t="n">
        <v>2013</v>
      </c>
      <c r="B211" s="9" t="inlineStr">
        <is>
          <t>plata</t>
        </is>
      </c>
      <c r="C211" s="9" t="n">
        <v>5819.46</v>
      </c>
      <c r="D211" s="9" t="n">
        <v>767000</v>
      </c>
      <c r="E211" s="9" t="n">
        <v>4463526211</v>
      </c>
      <c r="F211" s="9" t="n">
        <v>27.56</v>
      </c>
      <c r="G211" s="9" t="inlineStr">
        <is>
          <t>si</t>
        </is>
      </c>
      <c r="H211" s="11">
        <f>C211*D211</f>
        <v/>
      </c>
      <c r="I211" s="11">
        <f>ROUND(H211-E211,0)</f>
        <v/>
      </c>
      <c r="J211" s="11">
        <f>ROUND(E211/SUMIFS($E$4:$E$313,$A$4:$A$313,A211)*100,2)</f>
        <v/>
      </c>
      <c r="K211" s="11">
        <f>ROUND(J211-F211,2)</f>
        <v/>
      </c>
    </row>
    <row r="212">
      <c r="A212" s="6" t="n">
        <v>2014</v>
      </c>
      <c r="B212" s="6" t="inlineStr">
        <is>
          <t>plata</t>
        </is>
      </c>
      <c r="C212" s="6" t="n">
        <v>5766.58</v>
      </c>
      <c r="D212" s="6" t="n">
        <v>614000</v>
      </c>
      <c r="E212" s="6" t="n">
        <v>3540682944</v>
      </c>
      <c r="F212" s="6" t="n">
        <v>25.54</v>
      </c>
      <c r="G212" s="6" t="inlineStr">
        <is>
          <t>si</t>
        </is>
      </c>
      <c r="H212" s="11">
        <f>C212*D212</f>
        <v/>
      </c>
      <c r="I212" s="11">
        <f>ROUND(H212-E212,0)</f>
        <v/>
      </c>
      <c r="J212" s="11">
        <f>ROUND(E212/SUMIFS($E$4:$E$313,$A$4:$A$313,A212)*100,2)</f>
        <v/>
      </c>
      <c r="K212" s="11">
        <f>ROUND(J212-F212,2)</f>
        <v/>
      </c>
    </row>
    <row r="213">
      <c r="A213" s="9" t="n">
        <v>2015</v>
      </c>
      <c r="B213" s="9" t="inlineStr">
        <is>
          <t>plata</t>
        </is>
      </c>
      <c r="C213" s="9" t="n">
        <v>5956.32</v>
      </c>
      <c r="D213" s="9" t="n">
        <v>505000</v>
      </c>
      <c r="E213" s="9" t="n">
        <v>3007939483</v>
      </c>
      <c r="F213" s="9" t="n">
        <v>21.32</v>
      </c>
      <c r="G213" s="9" t="inlineStr">
        <is>
          <t>si</t>
        </is>
      </c>
      <c r="H213" s="11">
        <f>C213*D213</f>
        <v/>
      </c>
      <c r="I213" s="11">
        <f>ROUND(H213-E213,0)</f>
        <v/>
      </c>
      <c r="J213" s="11">
        <f>ROUND(E213/SUMIFS($E$4:$E$313,$A$4:$A$313,A213)*100,2)</f>
        <v/>
      </c>
      <c r="K213" s="11">
        <f>ROUND(J213-F213,2)</f>
        <v/>
      </c>
    </row>
    <row r="214">
      <c r="A214" s="6" t="n">
        <v>2016</v>
      </c>
      <c r="B214" s="6" t="inlineStr">
        <is>
          <t>plata</t>
        </is>
      </c>
      <c r="C214" s="6" t="n">
        <v>5408.89</v>
      </c>
      <c r="D214" s="6" t="n">
        <v>551000</v>
      </c>
      <c r="E214" s="6" t="n">
        <v>2980300933</v>
      </c>
      <c r="F214" s="6" t="n">
        <v>20.47</v>
      </c>
      <c r="G214" s="6" t="inlineStr">
        <is>
          <t>si</t>
        </is>
      </c>
      <c r="H214" s="11">
        <f>C214*D214</f>
        <v/>
      </c>
      <c r="I214" s="11">
        <f>ROUND(H214-E214,0)</f>
        <v/>
      </c>
      <c r="J214" s="11">
        <f>ROUND(E214/SUMIFS($E$4:$E$313,$A$4:$A$313,A214)*100,2)</f>
        <v/>
      </c>
      <c r="K214" s="11">
        <f>ROUND(J214-F214,2)</f>
        <v/>
      </c>
    </row>
    <row r="215">
      <c r="A215" s="9" t="n">
        <v>2017</v>
      </c>
      <c r="B215" s="9" t="inlineStr">
        <is>
          <t>plata</t>
        </is>
      </c>
      <c r="C215" s="9" t="n">
        <v>5816.35</v>
      </c>
      <c r="D215" s="9" t="n">
        <v>549000</v>
      </c>
      <c r="E215" s="9" t="n">
        <v>3193176239</v>
      </c>
      <c r="F215" s="9" t="n">
        <v>19.57</v>
      </c>
      <c r="G215" s="9" t="inlineStr">
        <is>
          <t>si</t>
        </is>
      </c>
      <c r="H215" s="11">
        <f>C215*D215</f>
        <v/>
      </c>
      <c r="I215" s="11">
        <f>ROUND(H215-E215,0)</f>
        <v/>
      </c>
      <c r="J215" s="11">
        <f>ROUND(E215/SUMIFS($E$4:$E$313,$A$4:$A$313,A215)*100,2)</f>
        <v/>
      </c>
      <c r="K215" s="11">
        <f>ROUND(J215-F215,2)</f>
        <v/>
      </c>
    </row>
    <row r="216">
      <c r="A216" s="6" t="n">
        <v>2018</v>
      </c>
      <c r="B216" s="6" t="inlineStr">
        <is>
          <t>plata</t>
        </is>
      </c>
      <c r="C216" s="6" t="n">
        <v>6049.63</v>
      </c>
      <c r="D216" s="6" t="n">
        <v>506000</v>
      </c>
      <c r="E216" s="6" t="n">
        <v>3061110876</v>
      </c>
      <c r="F216" s="6" t="n">
        <v>18.68</v>
      </c>
      <c r="G216" s="6" t="inlineStr">
        <is>
          <t>si</t>
        </is>
      </c>
      <c r="H216" s="11">
        <f>C216*D216</f>
        <v/>
      </c>
      <c r="I216" s="11">
        <f>ROUND(H216-E216,0)</f>
        <v/>
      </c>
      <c r="J216" s="11">
        <f>ROUND(E216/SUMIFS($E$4:$E$313,$A$4:$A$313,A216)*100,2)</f>
        <v/>
      </c>
      <c r="K216" s="11">
        <f>ROUND(J216-F216,2)</f>
        <v/>
      </c>
    </row>
    <row r="217">
      <c r="A217" s="9" t="n">
        <v>2019</v>
      </c>
      <c r="B217" s="9" t="inlineStr">
        <is>
          <t>plata</t>
        </is>
      </c>
      <c r="C217" s="9" t="n">
        <v>5841.23</v>
      </c>
      <c r="D217" s="9" t="n">
        <v>512000</v>
      </c>
      <c r="E217" s="9" t="n">
        <v>2990711296</v>
      </c>
      <c r="F217" s="9" t="n">
        <v>19.12</v>
      </c>
      <c r="G217" s="9" t="inlineStr">
        <is>
          <t>si</t>
        </is>
      </c>
      <c r="H217" s="11">
        <f>C217*D217</f>
        <v/>
      </c>
      <c r="I217" s="11">
        <f>ROUND(H217-E217,0)</f>
        <v/>
      </c>
      <c r="J217" s="11">
        <f>ROUND(E217/SUMIFS($E$4:$E$313,$A$4:$A$313,A217)*100,2)</f>
        <v/>
      </c>
      <c r="K217" s="11">
        <f>ROUND(J217-F217,2)</f>
        <v/>
      </c>
    </row>
    <row r="218">
      <c r="A218" s="6" t="n">
        <v>2020</v>
      </c>
      <c r="B218" s="6" t="inlineStr">
        <is>
          <t>plata</t>
        </is>
      </c>
      <c r="C218" s="6" t="n">
        <v>5604.85</v>
      </c>
      <c r="D218" s="6" t="n">
        <v>661000</v>
      </c>
      <c r="E218" s="6" t="n">
        <v>3704803867</v>
      </c>
      <c r="F218" s="6" t="n">
        <v>21.83</v>
      </c>
      <c r="G218" s="6" t="inlineStr">
        <is>
          <t>si</t>
        </is>
      </c>
      <c r="H218" s="11">
        <f>C218*D218</f>
        <v/>
      </c>
      <c r="I218" s="11">
        <f>ROUND(H218-E218,0)</f>
        <v/>
      </c>
      <c r="J218" s="11">
        <f>ROUND(E218/SUMIFS($E$4:$E$313,$A$4:$A$313,A218)*100,2)</f>
        <v/>
      </c>
      <c r="K218" s="11">
        <f>ROUND(J218-F218,2)</f>
        <v/>
      </c>
    </row>
    <row r="219">
      <c r="A219" s="9" t="n">
        <v>2021</v>
      </c>
      <c r="B219" s="9" t="inlineStr">
        <is>
          <t>plata</t>
        </is>
      </c>
      <c r="C219" s="9" t="n">
        <v>6096.28</v>
      </c>
      <c r="D219" s="9" t="n">
        <v>811000</v>
      </c>
      <c r="E219" s="9" t="n">
        <v>4944083891</v>
      </c>
      <c r="F219" s="9" t="n">
        <v>21.76</v>
      </c>
      <c r="G219" s="9" t="inlineStr">
        <is>
          <t>si</t>
        </is>
      </c>
      <c r="H219" s="11">
        <f>C219*D219</f>
        <v/>
      </c>
      <c r="I219" s="11">
        <f>ROUND(H219-E219,0)</f>
        <v/>
      </c>
      <c r="J219" s="11">
        <f>ROUND(E219/SUMIFS($E$4:$E$313,$A$4:$A$313,A219)*100,2)</f>
        <v/>
      </c>
      <c r="K219" s="11">
        <f>ROUND(J219-F219,2)</f>
        <v/>
      </c>
    </row>
    <row r="220">
      <c r="A220" s="6" t="n">
        <v>2022</v>
      </c>
      <c r="B220" s="6" t="inlineStr">
        <is>
          <t>plata</t>
        </is>
      </c>
      <c r="C220" s="6" t="n">
        <v>6195.81</v>
      </c>
      <c r="D220" s="6" t="n">
        <v>701028.12</v>
      </c>
      <c r="E220" s="6" t="n">
        <v>4343439132</v>
      </c>
      <c r="F220" s="6" t="n">
        <v>19.01</v>
      </c>
      <c r="G220" s="6" t="inlineStr">
        <is>
          <t>si</t>
        </is>
      </c>
      <c r="H220" s="11">
        <f>C220*D220</f>
        <v/>
      </c>
      <c r="I220" s="11">
        <f>ROUND(H220-E220,0)</f>
        <v/>
      </c>
      <c r="J220" s="11">
        <f>ROUND(E220/SUMIFS($E$4:$E$313,$A$4:$A$313,A220)*100,2)</f>
        <v/>
      </c>
      <c r="K220" s="11">
        <f>ROUND(J220-F220,2)</f>
        <v/>
      </c>
    </row>
    <row r="221">
      <c r="A221" s="9" t="n">
        <v>1992</v>
      </c>
      <c r="B221" s="9" t="inlineStr">
        <is>
          <t>plomo</t>
        </is>
      </c>
      <c r="C221" s="9" t="n">
        <v>170000</v>
      </c>
      <c r="D221" s="9" t="n">
        <v>774</v>
      </c>
      <c r="E221" s="9" t="n">
        <v>131580000</v>
      </c>
      <c r="F221" s="9" t="n">
        <v>7.54</v>
      </c>
      <c r="G221" s="9" t="inlineStr">
        <is>
          <t>si</t>
        </is>
      </c>
      <c r="H221" s="11">
        <f>C221*D221</f>
        <v/>
      </c>
      <c r="I221" s="11">
        <f>ROUND(H221-E221,0)</f>
        <v/>
      </c>
      <c r="J221" s="11">
        <f>ROUND(E221/SUMIFS($E$4:$E$313,$A$4:$A$313,A221)*100,2)</f>
        <v/>
      </c>
      <c r="K221" s="11">
        <f>ROUND(J221-F221,2)</f>
        <v/>
      </c>
    </row>
    <row r="222">
      <c r="A222" s="6" t="n">
        <v>1993</v>
      </c>
      <c r="B222" s="6" t="inlineStr">
        <is>
          <t>plomo</t>
        </is>
      </c>
      <c r="C222" s="6" t="n">
        <v>149000</v>
      </c>
      <c r="D222" s="6" t="n">
        <v>699</v>
      </c>
      <c r="E222" s="6" t="n">
        <v>104151000</v>
      </c>
      <c r="F222" s="6" t="n">
        <v>6.31</v>
      </c>
      <c r="G222" s="6" t="inlineStr">
        <is>
          <t>si</t>
        </is>
      </c>
      <c r="H222" s="11">
        <f>C222*D222</f>
        <v/>
      </c>
      <c r="I222" s="11">
        <f>ROUND(H222-E222,0)</f>
        <v/>
      </c>
      <c r="J222" s="11">
        <f>ROUND(E222/SUMIFS($E$4:$E$313,$A$4:$A$313,A222)*100,2)</f>
        <v/>
      </c>
      <c r="K222" s="11">
        <f>ROUND(J222-F222,2)</f>
        <v/>
      </c>
    </row>
    <row r="223">
      <c r="A223" s="9" t="n">
        <v>1994</v>
      </c>
      <c r="B223" s="9" t="inlineStr">
        <is>
          <t>plomo</t>
        </is>
      </c>
      <c r="C223" s="9" t="n">
        <v>170322</v>
      </c>
      <c r="D223" s="9" t="n">
        <v>820</v>
      </c>
      <c r="E223" s="9" t="n">
        <v>139664040</v>
      </c>
      <c r="F223" s="9" t="n">
        <v>7.15</v>
      </c>
      <c r="G223" s="9" t="inlineStr">
        <is>
          <t>si</t>
        </is>
      </c>
      <c r="H223" s="11">
        <f>C223*D223</f>
        <v/>
      </c>
      <c r="I223" s="11">
        <f>ROUND(H223-E223,0)</f>
        <v/>
      </c>
      <c r="J223" s="11">
        <f>ROUND(E223/SUMIFS($E$4:$E$313,$A$4:$A$313,A223)*100,2)</f>
        <v/>
      </c>
      <c r="K223" s="11">
        <f>ROUND(J223-F223,2)</f>
        <v/>
      </c>
    </row>
    <row r="224">
      <c r="A224" s="6" t="n">
        <v>1995</v>
      </c>
      <c r="B224" s="6" t="inlineStr">
        <is>
          <t>plomo</t>
        </is>
      </c>
      <c r="C224" s="6" t="n">
        <v>164348</v>
      </c>
      <c r="D224" s="6" t="n">
        <v>933</v>
      </c>
      <c r="E224" s="6" t="n">
        <v>153336684</v>
      </c>
      <c r="F224" s="6" t="n">
        <v>6.21</v>
      </c>
      <c r="G224" s="6" t="inlineStr">
        <is>
          <t>si</t>
        </is>
      </c>
      <c r="H224" s="11">
        <f>C224*D224</f>
        <v/>
      </c>
      <c r="I224" s="11">
        <f>ROUND(H224-E224,0)</f>
        <v/>
      </c>
      <c r="J224" s="11">
        <f>ROUND(E224/SUMIFS($E$4:$E$313,$A$4:$A$313,A224)*100,2)</f>
        <v/>
      </c>
      <c r="K224" s="11">
        <f>ROUND(J224-F224,2)</f>
        <v/>
      </c>
    </row>
    <row r="225">
      <c r="A225" s="9" t="n">
        <v>1996</v>
      </c>
      <c r="B225" s="9" t="inlineStr">
        <is>
          <t>plomo</t>
        </is>
      </c>
      <c r="C225" s="9" t="n">
        <v>173831</v>
      </c>
      <c r="D225" s="9" t="n">
        <v>1080</v>
      </c>
      <c r="E225" s="9" t="n">
        <v>187737480</v>
      </c>
      <c r="F225" s="9" t="n">
        <v>7.81</v>
      </c>
      <c r="G225" s="9" t="inlineStr">
        <is>
          <t>si</t>
        </is>
      </c>
      <c r="H225" s="11">
        <f>C225*D225</f>
        <v/>
      </c>
      <c r="I225" s="11">
        <f>ROUND(H225-E225,0)</f>
        <v/>
      </c>
      <c r="J225" s="11">
        <f>ROUND(E225/SUMIFS($E$4:$E$313,$A$4:$A$313,A225)*100,2)</f>
        <v/>
      </c>
      <c r="K225" s="11">
        <f>ROUND(J225-F225,2)</f>
        <v/>
      </c>
    </row>
    <row r="226">
      <c r="A226" s="6" t="n">
        <v>1997</v>
      </c>
      <c r="B226" s="6" t="inlineStr">
        <is>
          <t>plomo</t>
        </is>
      </c>
      <c r="C226" s="6" t="n">
        <v>174661</v>
      </c>
      <c r="D226" s="6" t="n">
        <v>1030</v>
      </c>
      <c r="E226" s="6" t="n">
        <v>179900830</v>
      </c>
      <c r="F226" s="6" t="n">
        <v>6.95</v>
      </c>
      <c r="G226" s="6" t="inlineStr">
        <is>
          <t>si</t>
        </is>
      </c>
      <c r="H226" s="11">
        <f>C226*D226</f>
        <v/>
      </c>
      <c r="I226" s="11">
        <f>ROUND(H226-E226,0)</f>
        <v/>
      </c>
      <c r="J226" s="11">
        <f>ROUND(E226/SUMIFS($E$4:$E$313,$A$4:$A$313,A226)*100,2)</f>
        <v/>
      </c>
      <c r="K226" s="11">
        <f>ROUND(J226-F226,2)</f>
        <v/>
      </c>
    </row>
    <row r="227">
      <c r="A227" s="9" t="n">
        <v>1998</v>
      </c>
      <c r="B227" s="9" t="inlineStr">
        <is>
          <t>plomo</t>
        </is>
      </c>
      <c r="C227" s="9" t="n">
        <v>166060</v>
      </c>
      <c r="D227" s="9" t="n">
        <v>999</v>
      </c>
      <c r="E227" s="9" t="n">
        <v>165893940</v>
      </c>
      <c r="F227" s="9" t="n">
        <v>7.4</v>
      </c>
      <c r="G227" s="9" t="inlineStr">
        <is>
          <t>si</t>
        </is>
      </c>
      <c r="H227" s="11">
        <f>C227*D227</f>
        <v/>
      </c>
      <c r="I227" s="11">
        <f>ROUND(H227-E227,0)</f>
        <v/>
      </c>
      <c r="J227" s="11">
        <f>ROUND(E227/SUMIFS($E$4:$E$313,$A$4:$A$313,A227)*100,2)</f>
        <v/>
      </c>
      <c r="K227" s="11">
        <f>ROUND(J227-F227,2)</f>
        <v/>
      </c>
    </row>
    <row r="228">
      <c r="A228" s="6" t="n">
        <v>1999</v>
      </c>
      <c r="B228" s="6" t="inlineStr">
        <is>
          <t>plomo</t>
        </is>
      </c>
      <c r="C228" s="6" t="n">
        <v>125656</v>
      </c>
      <c r="D228" s="6" t="n">
        <v>963</v>
      </c>
      <c r="E228" s="6" t="n">
        <v>121006728</v>
      </c>
      <c r="F228" s="6" t="n">
        <v>5.98</v>
      </c>
      <c r="G228" s="6" t="inlineStr">
        <is>
          <t>si</t>
        </is>
      </c>
      <c r="H228" s="11">
        <f>C228*D228</f>
        <v/>
      </c>
      <c r="I228" s="11">
        <f>ROUND(H228-E228,0)</f>
        <v/>
      </c>
      <c r="J228" s="11">
        <f>ROUND(E228/SUMIFS($E$4:$E$313,$A$4:$A$313,A228)*100,2)</f>
        <v/>
      </c>
      <c r="K228" s="11">
        <f>ROUND(J228-F228,2)</f>
        <v/>
      </c>
    </row>
    <row r="229">
      <c r="A229" s="9" t="n">
        <v>2000</v>
      </c>
      <c r="B229" s="9" t="inlineStr">
        <is>
          <t>plomo</t>
        </is>
      </c>
      <c r="C229" s="9" t="n">
        <v>137975</v>
      </c>
      <c r="D229" s="9" t="n">
        <v>961</v>
      </c>
      <c r="E229" s="9" t="n">
        <v>132593975</v>
      </c>
      <c r="F229" s="9" t="n">
        <v>6.02</v>
      </c>
      <c r="G229" s="9" t="inlineStr">
        <is>
          <t>si</t>
        </is>
      </c>
      <c r="H229" s="11">
        <f>C229*D229</f>
        <v/>
      </c>
      <c r="I229" s="11">
        <f>ROUND(H229-E229,0)</f>
        <v/>
      </c>
      <c r="J229" s="11">
        <f>ROUND(E229/SUMIFS($E$4:$E$313,$A$4:$A$313,A229)*100,2)</f>
        <v/>
      </c>
      <c r="K229" s="11">
        <f>ROUND(J229-F229,2)</f>
        <v/>
      </c>
    </row>
    <row r="230">
      <c r="A230" s="6" t="n">
        <v>2001</v>
      </c>
      <c r="B230" s="6" t="inlineStr">
        <is>
          <t>plomo</t>
        </is>
      </c>
      <c r="C230" s="6" t="n">
        <v>136413</v>
      </c>
      <c r="D230" s="6" t="n">
        <v>962</v>
      </c>
      <c r="E230" s="6" t="n">
        <v>131229306</v>
      </c>
      <c r="F230" s="6" t="n">
        <v>6.76</v>
      </c>
      <c r="G230" s="6" t="inlineStr">
        <is>
          <t>si</t>
        </is>
      </c>
      <c r="H230" s="11">
        <f>C230*D230</f>
        <v/>
      </c>
      <c r="I230" s="11">
        <f>ROUND(H230-E230,0)</f>
        <v/>
      </c>
      <c r="J230" s="11">
        <f>ROUND(E230/SUMIFS($E$4:$E$313,$A$4:$A$313,A230)*100,2)</f>
        <v/>
      </c>
      <c r="K230" s="11">
        <f>ROUND(J230-F230,2)</f>
        <v/>
      </c>
    </row>
    <row r="231">
      <c r="A231" s="9" t="n">
        <v>2002</v>
      </c>
      <c r="B231" s="9" t="inlineStr">
        <is>
          <t>plomo</t>
        </is>
      </c>
      <c r="C231" s="9" t="n">
        <v>138707</v>
      </c>
      <c r="D231" s="9" t="n">
        <v>961</v>
      </c>
      <c r="E231" s="9" t="n">
        <v>133297427</v>
      </c>
      <c r="F231" s="9" t="n">
        <v>7.2</v>
      </c>
      <c r="G231" s="9" t="inlineStr">
        <is>
          <t>si</t>
        </is>
      </c>
      <c r="H231" s="11">
        <f>C231*D231</f>
        <v/>
      </c>
      <c r="I231" s="11">
        <f>ROUND(H231-E231,0)</f>
        <v/>
      </c>
      <c r="J231" s="11">
        <f>ROUND(E231/SUMIFS($E$4:$E$313,$A$4:$A$313,A231)*100,2)</f>
        <v/>
      </c>
      <c r="K231" s="11">
        <f>ROUND(J231-F231,2)</f>
        <v/>
      </c>
    </row>
    <row r="232">
      <c r="A232" s="6" t="n">
        <v>2003</v>
      </c>
      <c r="B232" s="6" t="inlineStr">
        <is>
          <t>plomo</t>
        </is>
      </c>
      <c r="C232" s="6" t="n">
        <v>139348</v>
      </c>
      <c r="D232" s="6" t="n">
        <v>965</v>
      </c>
      <c r="E232" s="6" t="n">
        <v>134470820</v>
      </c>
      <c r="F232" s="6" t="n">
        <v>6.6</v>
      </c>
      <c r="G232" s="6" t="inlineStr">
        <is>
          <t>si</t>
        </is>
      </c>
      <c r="H232" s="11">
        <f>C232*D232</f>
        <v/>
      </c>
      <c r="I232" s="11">
        <f>ROUND(H232-E232,0)</f>
        <v/>
      </c>
      <c r="J232" s="11">
        <f>ROUND(E232/SUMIFS($E$4:$E$313,$A$4:$A$313,A232)*100,2)</f>
        <v/>
      </c>
      <c r="K232" s="11">
        <f>ROUND(J232-F232,2)</f>
        <v/>
      </c>
    </row>
    <row r="233">
      <c r="A233" s="9" t="n">
        <v>2004</v>
      </c>
      <c r="B233" s="9" t="inlineStr">
        <is>
          <t>plomo</t>
        </is>
      </c>
      <c r="C233" s="9" t="n">
        <v>118484</v>
      </c>
      <c r="D233" s="9" t="n">
        <v>1220</v>
      </c>
      <c r="E233" s="9" t="n">
        <v>144550480</v>
      </c>
      <c r="F233" s="9" t="n">
        <v>4.72</v>
      </c>
      <c r="G233" s="9" t="inlineStr">
        <is>
          <t>si</t>
        </is>
      </c>
      <c r="H233" s="11">
        <f>C233*D233</f>
        <v/>
      </c>
      <c r="I233" s="11">
        <f>ROUND(H233-E233,0)</f>
        <v/>
      </c>
      <c r="J233" s="11">
        <f>ROUND(E233/SUMIFS($E$4:$E$313,$A$4:$A$313,A233)*100,2)</f>
        <v/>
      </c>
      <c r="K233" s="11">
        <f>ROUND(J233-F233,2)</f>
        <v/>
      </c>
    </row>
    <row r="234">
      <c r="A234" s="6" t="n">
        <v>2005</v>
      </c>
      <c r="B234" s="6" t="inlineStr">
        <is>
          <t>plomo</t>
        </is>
      </c>
      <c r="C234" s="6" t="n">
        <v>134388</v>
      </c>
      <c r="D234" s="6" t="n">
        <v>1350</v>
      </c>
      <c r="E234" s="6" t="n">
        <v>181423800</v>
      </c>
      <c r="F234" s="6" t="n">
        <v>4.57</v>
      </c>
      <c r="G234" s="6" t="inlineStr">
        <is>
          <t>si</t>
        </is>
      </c>
      <c r="H234" s="11">
        <f>C234*D234</f>
        <v/>
      </c>
      <c r="I234" s="11">
        <f>ROUND(H234-E234,0)</f>
        <v/>
      </c>
      <c r="J234" s="11">
        <f>ROUND(E234/SUMIFS($E$4:$E$313,$A$4:$A$313,A234)*100,2)</f>
        <v/>
      </c>
      <c r="K234" s="11">
        <f>ROUND(J234-F234,2)</f>
        <v/>
      </c>
    </row>
    <row r="235">
      <c r="A235" s="9" t="n">
        <v>2006</v>
      </c>
      <c r="B235" s="9" t="inlineStr">
        <is>
          <t>plomo</t>
        </is>
      </c>
      <c r="C235" s="9" t="n">
        <v>135025</v>
      </c>
      <c r="D235" s="9" t="n">
        <v>1710</v>
      </c>
      <c r="E235" s="9" t="n">
        <v>230892750</v>
      </c>
      <c r="F235" s="9" t="n">
        <v>3.6</v>
      </c>
      <c r="G235" s="9" t="inlineStr">
        <is>
          <t>si</t>
        </is>
      </c>
      <c r="H235" s="11">
        <f>C235*D235</f>
        <v/>
      </c>
      <c r="I235" s="11">
        <f>ROUND(H235-E235,0)</f>
        <v/>
      </c>
      <c r="J235" s="11">
        <f>ROUND(E235/SUMIFS($E$4:$E$313,$A$4:$A$313,A235)*100,2)</f>
        <v/>
      </c>
      <c r="K235" s="11">
        <f>ROUND(J235-F235,2)</f>
        <v/>
      </c>
    </row>
    <row r="236">
      <c r="A236" s="6" t="n">
        <v>2007</v>
      </c>
      <c r="B236" s="6" t="inlineStr">
        <is>
          <t>plomo</t>
        </is>
      </c>
      <c r="C236" s="6" t="n">
        <v>137133</v>
      </c>
      <c r="D236" s="6" t="n">
        <v>2730</v>
      </c>
      <c r="E236" s="6" t="n">
        <v>374373090</v>
      </c>
      <c r="F236" s="6" t="n">
        <v>5.32</v>
      </c>
      <c r="G236" s="6" t="inlineStr">
        <is>
          <t>si</t>
        </is>
      </c>
      <c r="H236" s="11">
        <f>C236*D236</f>
        <v/>
      </c>
      <c r="I236" s="11">
        <f>ROUND(H236-E236,0)</f>
        <v/>
      </c>
      <c r="J236" s="11">
        <f>ROUND(E236/SUMIFS($E$4:$E$313,$A$4:$A$313,A236)*100,2)</f>
        <v/>
      </c>
      <c r="K236" s="11">
        <f>ROUND(J236-F236,2)</f>
        <v/>
      </c>
    </row>
    <row r="237">
      <c r="A237" s="9" t="n">
        <v>2008</v>
      </c>
      <c r="B237" s="9" t="inlineStr">
        <is>
          <t>plomo</t>
        </is>
      </c>
      <c r="C237" s="9" t="n">
        <v>141173</v>
      </c>
      <c r="D237" s="9" t="n">
        <v>2650</v>
      </c>
      <c r="E237" s="9" t="n">
        <v>374108450</v>
      </c>
      <c r="F237" s="9" t="n">
        <v>5.44</v>
      </c>
      <c r="G237" s="9" t="inlineStr">
        <is>
          <t>si</t>
        </is>
      </c>
      <c r="H237" s="11">
        <f>C237*D237</f>
        <v/>
      </c>
      <c r="I237" s="11">
        <f>ROUND(H237-E237,0)</f>
        <v/>
      </c>
      <c r="J237" s="11">
        <f>ROUND(E237/SUMIFS($E$4:$E$313,$A$4:$A$313,A237)*100,2)</f>
        <v/>
      </c>
      <c r="K237" s="11">
        <f>ROUND(J237-F237,2)</f>
        <v/>
      </c>
    </row>
    <row r="238">
      <c r="A238" s="6" t="n">
        <v>2009</v>
      </c>
      <c r="B238" s="6" t="inlineStr">
        <is>
          <t>plomo</t>
        </is>
      </c>
      <c r="C238" s="6" t="n">
        <v>143838</v>
      </c>
      <c r="D238" s="6" t="n">
        <v>1920</v>
      </c>
      <c r="E238" s="6" t="n">
        <v>276168960</v>
      </c>
      <c r="F238" s="6" t="n">
        <v>4.23</v>
      </c>
      <c r="G238" s="6" t="inlineStr">
        <is>
          <t>si</t>
        </is>
      </c>
      <c r="H238" s="11">
        <f>C238*D238</f>
        <v/>
      </c>
      <c r="I238" s="11">
        <f>ROUND(H238-E238,0)</f>
        <v/>
      </c>
      <c r="J238" s="11">
        <f>ROUND(E238/SUMIFS($E$4:$E$313,$A$4:$A$313,A238)*100,2)</f>
        <v/>
      </c>
      <c r="K238" s="11">
        <f>ROUND(J238-F238,2)</f>
        <v/>
      </c>
    </row>
    <row r="239">
      <c r="A239" s="9" t="n">
        <v>2010</v>
      </c>
      <c r="B239" s="9" t="inlineStr">
        <is>
          <t>plomo</t>
        </is>
      </c>
      <c r="C239" s="9" t="n">
        <v>192062</v>
      </c>
      <c r="D239" s="9" t="n">
        <v>2400</v>
      </c>
      <c r="E239" s="9" t="n">
        <v>460948800</v>
      </c>
      <c r="F239" s="9" t="n">
        <v>4.44</v>
      </c>
      <c r="G239" s="9" t="inlineStr">
        <is>
          <t>si</t>
        </is>
      </c>
      <c r="H239" s="11">
        <f>C239*D239</f>
        <v/>
      </c>
      <c r="I239" s="11">
        <f>ROUND(H239-E239,0)</f>
        <v/>
      </c>
      <c r="J239" s="11">
        <f>ROUND(E239/SUMIFS($E$4:$E$313,$A$4:$A$313,A239)*100,2)</f>
        <v/>
      </c>
      <c r="K239" s="11">
        <f>ROUND(J239-F239,2)</f>
        <v/>
      </c>
    </row>
    <row r="240">
      <c r="A240" s="6" t="n">
        <v>2011</v>
      </c>
      <c r="B240" s="6" t="inlineStr">
        <is>
          <t>plomo</t>
        </is>
      </c>
      <c r="C240" s="6" t="n">
        <v>223717</v>
      </c>
      <c r="D240" s="6" t="n">
        <v>2690</v>
      </c>
      <c r="E240" s="6" t="n">
        <v>601798730</v>
      </c>
      <c r="F240" s="6" t="n">
        <v>3.63</v>
      </c>
      <c r="G240" s="6" t="inlineStr">
        <is>
          <t>si</t>
        </is>
      </c>
      <c r="H240" s="11">
        <f>C240*D240</f>
        <v/>
      </c>
      <c r="I240" s="11">
        <f>ROUND(H240-E240,0)</f>
        <v/>
      </c>
      <c r="J240" s="11">
        <f>ROUND(E240/SUMIFS($E$4:$E$313,$A$4:$A$313,A240)*100,2)</f>
        <v/>
      </c>
      <c r="K240" s="11">
        <f>ROUND(J240-F240,2)</f>
        <v/>
      </c>
    </row>
    <row r="241">
      <c r="A241" s="9" t="n">
        <v>2012</v>
      </c>
      <c r="B241" s="9" t="inlineStr">
        <is>
          <t>plomo</t>
        </is>
      </c>
      <c r="C241" s="9" t="n">
        <v>238091</v>
      </c>
      <c r="D241" s="9" t="n">
        <v>2520</v>
      </c>
      <c r="E241" s="9" t="n">
        <v>599989320</v>
      </c>
      <c r="F241" s="9" t="n">
        <v>3.38</v>
      </c>
      <c r="G241" s="9" t="inlineStr">
        <is>
          <t>si</t>
        </is>
      </c>
      <c r="H241" s="11">
        <f>C241*D241</f>
        <v/>
      </c>
      <c r="I241" s="11">
        <f>ROUND(H241-E241,0)</f>
        <v/>
      </c>
      <c r="J241" s="11">
        <f>ROUND(E241/SUMIFS($E$4:$E$313,$A$4:$A$313,A241)*100,2)</f>
        <v/>
      </c>
      <c r="K241" s="11">
        <f>ROUND(J241-F241,2)</f>
        <v/>
      </c>
    </row>
    <row r="242">
      <c r="A242" s="6" t="n">
        <v>2013</v>
      </c>
      <c r="B242" s="6" t="inlineStr">
        <is>
          <t>plomo</t>
        </is>
      </c>
      <c r="C242" s="6" t="n">
        <v>253361</v>
      </c>
      <c r="D242" s="6" t="n">
        <v>2420</v>
      </c>
      <c r="E242" s="6" t="n">
        <v>613133620</v>
      </c>
      <c r="F242" s="6" t="n">
        <v>3.79</v>
      </c>
      <c r="G242" s="6" t="inlineStr">
        <is>
          <t>si</t>
        </is>
      </c>
      <c r="H242" s="11">
        <f>C242*D242</f>
        <v/>
      </c>
      <c r="I242" s="11">
        <f>ROUND(H242-E242,0)</f>
        <v/>
      </c>
      <c r="J242" s="11">
        <f>ROUND(E242/SUMIFS($E$4:$E$313,$A$4:$A$313,A242)*100,2)</f>
        <v/>
      </c>
      <c r="K242" s="11">
        <f>ROUND(J242-F242,2)</f>
        <v/>
      </c>
    </row>
    <row r="243">
      <c r="A243" s="9" t="n">
        <v>2014</v>
      </c>
      <c r="B243" s="9" t="inlineStr">
        <is>
          <t>plomo</t>
        </is>
      </c>
      <c r="C243" s="9" t="n">
        <v>250462</v>
      </c>
      <c r="D243" s="9" t="n">
        <v>2340</v>
      </c>
      <c r="E243" s="9" t="n">
        <v>586081080</v>
      </c>
      <c r="F243" s="9" t="n">
        <v>4.23</v>
      </c>
      <c r="G243" s="9" t="inlineStr">
        <is>
          <t>si</t>
        </is>
      </c>
      <c r="H243" s="11">
        <f>C243*D243</f>
        <v/>
      </c>
      <c r="I243" s="11">
        <f>ROUND(H243-E243,0)</f>
        <v/>
      </c>
      <c r="J243" s="11">
        <f>ROUND(E243/SUMIFS($E$4:$E$313,$A$4:$A$313,A243)*100,2)</f>
        <v/>
      </c>
      <c r="K243" s="11">
        <f>ROUND(J243-F243,2)</f>
        <v/>
      </c>
    </row>
    <row r="244">
      <c r="A244" s="6" t="n">
        <v>2015</v>
      </c>
      <c r="B244" s="6" t="inlineStr">
        <is>
          <t>plomo</t>
        </is>
      </c>
      <c r="C244" s="6" t="n">
        <v>263772</v>
      </c>
      <c r="D244" s="6" t="n">
        <v>2010</v>
      </c>
      <c r="E244" s="6" t="n">
        <v>530181720</v>
      </c>
      <c r="F244" s="6" t="n">
        <v>3.76</v>
      </c>
      <c r="G244" s="6" t="inlineStr">
        <is>
          <t>si</t>
        </is>
      </c>
      <c r="H244" s="11">
        <f>C244*D244</f>
        <v/>
      </c>
      <c r="I244" s="11">
        <f>ROUND(H244-E244,0)</f>
        <v/>
      </c>
      <c r="J244" s="11">
        <f>ROUND(E244/SUMIFS($E$4:$E$313,$A$4:$A$313,A244)*100,2)</f>
        <v/>
      </c>
      <c r="K244" s="11">
        <f>ROUND(J244-F244,2)</f>
        <v/>
      </c>
    </row>
    <row r="245">
      <c r="A245" s="9" t="n">
        <v>2016</v>
      </c>
      <c r="B245" s="9" t="inlineStr">
        <is>
          <t>plomo</t>
        </is>
      </c>
      <c r="C245" s="9" t="n">
        <v>241000</v>
      </c>
      <c r="D245" s="9" t="n">
        <v>2080</v>
      </c>
      <c r="E245" s="9" t="n">
        <v>501280000</v>
      </c>
      <c r="F245" s="9" t="n">
        <v>3.44</v>
      </c>
      <c r="G245" s="9" t="inlineStr">
        <is>
          <t>si</t>
        </is>
      </c>
      <c r="H245" s="11">
        <f>C245*D245</f>
        <v/>
      </c>
      <c r="I245" s="11">
        <f>ROUND(H245-E245,0)</f>
        <v/>
      </c>
      <c r="J245" s="11">
        <f>ROUND(E245/SUMIFS($E$4:$E$313,$A$4:$A$313,A245)*100,2)</f>
        <v/>
      </c>
      <c r="K245" s="11">
        <f>ROUND(J245-F245,2)</f>
        <v/>
      </c>
    </row>
    <row r="246">
      <c r="A246" s="6" t="n">
        <v>2017</v>
      </c>
      <c r="B246" s="6" t="inlineStr">
        <is>
          <t>plomo</t>
        </is>
      </c>
      <c r="C246" s="6" t="n">
        <v>243022</v>
      </c>
      <c r="D246" s="6" t="n">
        <v>2520</v>
      </c>
      <c r="E246" s="6" t="n">
        <v>612415440</v>
      </c>
      <c r="F246" s="6" t="n">
        <v>3.75</v>
      </c>
      <c r="G246" s="6" t="inlineStr">
        <is>
          <t>si</t>
        </is>
      </c>
      <c r="H246" s="11">
        <f>C246*D246</f>
        <v/>
      </c>
      <c r="I246" s="11">
        <f>ROUND(H246-E246,0)</f>
        <v/>
      </c>
      <c r="J246" s="11">
        <f>ROUND(E246/SUMIFS($E$4:$E$313,$A$4:$A$313,A246)*100,2)</f>
        <v/>
      </c>
      <c r="K246" s="11">
        <f>ROUND(J246-F246,2)</f>
        <v/>
      </c>
    </row>
    <row r="247">
      <c r="A247" s="9" t="n">
        <v>2018</v>
      </c>
      <c r="B247" s="9" t="inlineStr">
        <is>
          <t>plomo</t>
        </is>
      </c>
      <c r="C247" s="9" t="n">
        <v>240304</v>
      </c>
      <c r="D247" s="9" t="n">
        <v>2450</v>
      </c>
      <c r="E247" s="9" t="n">
        <v>588744800</v>
      </c>
      <c r="F247" s="9" t="n">
        <v>3.59</v>
      </c>
      <c r="G247" s="9" t="inlineStr">
        <is>
          <t>si</t>
        </is>
      </c>
      <c r="H247" s="11">
        <f>C247*D247</f>
        <v/>
      </c>
      <c r="I247" s="11">
        <f>ROUND(H247-E247,0)</f>
        <v/>
      </c>
      <c r="J247" s="11">
        <f>ROUND(E247/SUMIFS($E$4:$E$313,$A$4:$A$313,A247)*100,2)</f>
        <v/>
      </c>
      <c r="K247" s="11">
        <f>ROUND(J247-F247,2)</f>
        <v/>
      </c>
    </row>
    <row r="248">
      <c r="A248" s="6" t="n">
        <v>2019</v>
      </c>
      <c r="B248" s="6" t="inlineStr">
        <is>
          <t>plomo</t>
        </is>
      </c>
      <c r="C248" s="6" t="n">
        <v>259457</v>
      </c>
      <c r="D248" s="6" t="n">
        <v>2200</v>
      </c>
      <c r="E248" s="6" t="n">
        <v>570805400</v>
      </c>
      <c r="F248" s="6" t="n">
        <v>3.65</v>
      </c>
      <c r="G248" s="6" t="inlineStr">
        <is>
          <t>si</t>
        </is>
      </c>
      <c r="H248" s="11">
        <f>C248*D248</f>
        <v/>
      </c>
      <c r="I248" s="11">
        <f>ROUND(H248-E248,0)</f>
        <v/>
      </c>
      <c r="J248" s="11">
        <f>ROUND(E248/SUMIFS($E$4:$E$313,$A$4:$A$313,A248)*100,2)</f>
        <v/>
      </c>
      <c r="K248" s="11">
        <f>ROUND(J248-F248,2)</f>
        <v/>
      </c>
    </row>
    <row r="249">
      <c r="A249" s="9" t="n">
        <v>2020</v>
      </c>
      <c r="B249" s="9" t="inlineStr">
        <is>
          <t>plomo</t>
        </is>
      </c>
      <c r="C249" s="9" t="n">
        <v>260390</v>
      </c>
      <c r="D249" s="9" t="n">
        <v>2010</v>
      </c>
      <c r="E249" s="9" t="n">
        <v>523383900</v>
      </c>
      <c r="F249" s="9" t="n">
        <v>3.08</v>
      </c>
      <c r="G249" s="9" t="inlineStr">
        <is>
          <t>si</t>
        </is>
      </c>
      <c r="H249" s="11">
        <f>C249*D249</f>
        <v/>
      </c>
      <c r="I249" s="11">
        <f>ROUND(H249-E249,0)</f>
        <v/>
      </c>
      <c r="J249" s="11">
        <f>ROUND(E249/SUMIFS($E$4:$E$313,$A$4:$A$313,A249)*100,2)</f>
        <v/>
      </c>
      <c r="K249" s="11">
        <f>ROUND(J249-F249,2)</f>
        <v/>
      </c>
    </row>
    <row r="250">
      <c r="A250" s="6" t="n">
        <v>2021</v>
      </c>
      <c r="B250" s="6" t="inlineStr">
        <is>
          <t>plomo</t>
        </is>
      </c>
      <c r="C250" s="6" t="n">
        <v>272231</v>
      </c>
      <c r="D250" s="6" t="n">
        <v>2490</v>
      </c>
      <c r="E250" s="6" t="n">
        <v>677855190</v>
      </c>
      <c r="F250" s="6" t="n">
        <v>2.98</v>
      </c>
      <c r="G250" s="6" t="inlineStr">
        <is>
          <t>si</t>
        </is>
      </c>
      <c r="H250" s="11">
        <f>C250*D250</f>
        <v/>
      </c>
      <c r="I250" s="11">
        <f>ROUND(H250-E250,0)</f>
        <v/>
      </c>
      <c r="J250" s="11">
        <f>ROUND(E250/SUMIFS($E$4:$E$313,$A$4:$A$313,A250)*100,2)</f>
        <v/>
      </c>
      <c r="K250" s="11">
        <f>ROUND(J250-F250,2)</f>
        <v/>
      </c>
    </row>
    <row r="251">
      <c r="A251" s="9" t="n">
        <v>2022</v>
      </c>
      <c r="B251" s="9" t="inlineStr">
        <is>
          <t>plomo</t>
        </is>
      </c>
      <c r="C251" s="9" t="n">
        <v>273000</v>
      </c>
      <c r="D251" s="9" t="n">
        <v>2431.91</v>
      </c>
      <c r="E251" s="9" t="n">
        <v>663910877</v>
      </c>
      <c r="F251" s="9" t="n">
        <v>2.91</v>
      </c>
      <c r="G251" s="9" t="inlineStr">
        <is>
          <t>si</t>
        </is>
      </c>
      <c r="H251" s="11">
        <f>C251*D251</f>
        <v/>
      </c>
      <c r="I251" s="11">
        <f>ROUND(H251-E251,0)</f>
        <v/>
      </c>
      <c r="J251" s="11">
        <f>ROUND(E251/SUMIFS($E$4:$E$313,$A$4:$A$313,A251)*100,2)</f>
        <v/>
      </c>
      <c r="K251" s="11">
        <f>ROUND(J251-F251,2)</f>
        <v/>
      </c>
    </row>
    <row r="252">
      <c r="A252" s="6" t="n">
        <v>1992</v>
      </c>
      <c r="B252" s="6" t="inlineStr">
        <is>
          <t>silice</t>
        </is>
      </c>
      <c r="C252" s="6" t="n">
        <v>1130000</v>
      </c>
      <c r="D252" s="6" t="n">
        <v>14</v>
      </c>
      <c r="E252" s="6" t="n">
        <v>15820000</v>
      </c>
      <c r="F252" s="6" t="n">
        <v>0.91</v>
      </c>
      <c r="G252" s="6" t="inlineStr">
        <is>
          <t>si</t>
        </is>
      </c>
      <c r="H252" s="11">
        <f>C252*D252</f>
        <v/>
      </c>
      <c r="I252" s="11">
        <f>ROUND(H252-E252,0)</f>
        <v/>
      </c>
      <c r="J252" s="11">
        <f>ROUND(E252/SUMIFS($E$4:$E$313,$A$4:$A$313,A252)*100,2)</f>
        <v/>
      </c>
      <c r="K252" s="11">
        <f>ROUND(J252-F252,2)</f>
        <v/>
      </c>
    </row>
    <row r="253">
      <c r="A253" s="9" t="n">
        <v>1993</v>
      </c>
      <c r="B253" s="9" t="inlineStr">
        <is>
          <t>silice</t>
        </is>
      </c>
      <c r="C253" s="9" t="n">
        <v>1310000</v>
      </c>
      <c r="D253" s="9" t="n">
        <v>14.1</v>
      </c>
      <c r="E253" s="9" t="n">
        <v>18471000</v>
      </c>
      <c r="F253" s="9" t="n">
        <v>1.12</v>
      </c>
      <c r="G253" s="9" t="inlineStr">
        <is>
          <t>si</t>
        </is>
      </c>
      <c r="H253" s="11">
        <f>C253*D253</f>
        <v/>
      </c>
      <c r="I253" s="11">
        <f>ROUND(H253-E253,0)</f>
        <v/>
      </c>
      <c r="J253" s="11">
        <f>ROUND(E253/SUMIFS($E$4:$E$313,$A$4:$A$313,A253)*100,2)</f>
        <v/>
      </c>
      <c r="K253" s="11">
        <f>ROUND(J253-F253,2)</f>
        <v/>
      </c>
    </row>
    <row r="254">
      <c r="A254" s="6" t="n">
        <v>1994</v>
      </c>
      <c r="B254" s="6" t="inlineStr">
        <is>
          <t>silice</t>
        </is>
      </c>
      <c r="C254" s="6" t="n">
        <v>1360549</v>
      </c>
      <c r="D254" s="6" t="n">
        <v>13.8</v>
      </c>
      <c r="E254" s="6" t="n">
        <v>18775576</v>
      </c>
      <c r="F254" s="6" t="n">
        <v>0.96</v>
      </c>
      <c r="G254" s="6" t="inlineStr">
        <is>
          <t>si</t>
        </is>
      </c>
      <c r="H254" s="11">
        <f>C254*D254</f>
        <v/>
      </c>
      <c r="I254" s="11">
        <f>ROUND(H254-E254,0)</f>
        <v/>
      </c>
      <c r="J254" s="11">
        <f>ROUND(E254/SUMIFS($E$4:$E$313,$A$4:$A$313,A254)*100,2)</f>
        <v/>
      </c>
      <c r="K254" s="11">
        <f>ROUND(J254-F254,2)</f>
        <v/>
      </c>
    </row>
    <row r="255">
      <c r="A255" s="9" t="n">
        <v>1995</v>
      </c>
      <c r="B255" s="9" t="inlineStr">
        <is>
          <t>silice</t>
        </is>
      </c>
      <c r="C255" s="9" t="n">
        <v>1292265</v>
      </c>
      <c r="D255" s="9" t="n">
        <v>13.9</v>
      </c>
      <c r="E255" s="9" t="n">
        <v>17962484</v>
      </c>
      <c r="F255" s="9" t="n">
        <v>0.73</v>
      </c>
      <c r="G255" s="9" t="inlineStr">
        <is>
          <t>si</t>
        </is>
      </c>
      <c r="H255" s="11">
        <f>C255*D255</f>
        <v/>
      </c>
      <c r="I255" s="11">
        <f>ROUND(H255-E255,0)</f>
        <v/>
      </c>
      <c r="J255" s="11">
        <f>ROUND(E255/SUMIFS($E$4:$E$313,$A$4:$A$313,A255)*100,2)</f>
        <v/>
      </c>
      <c r="K255" s="11">
        <f>ROUND(J255-F255,2)</f>
        <v/>
      </c>
    </row>
    <row r="256">
      <c r="A256" s="6" t="n">
        <v>1996</v>
      </c>
      <c r="B256" s="6" t="inlineStr">
        <is>
          <t>silice</t>
        </is>
      </c>
      <c r="C256" s="6" t="n">
        <v>1424825</v>
      </c>
      <c r="D256" s="6" t="n">
        <v>13.3</v>
      </c>
      <c r="E256" s="6" t="n">
        <v>18950172</v>
      </c>
      <c r="F256" s="6" t="n">
        <v>0.79</v>
      </c>
      <c r="G256" s="6" t="inlineStr">
        <is>
          <t>si</t>
        </is>
      </c>
      <c r="H256" s="11">
        <f>C256*D256</f>
        <v/>
      </c>
      <c r="I256" s="11">
        <f>ROUND(H256-E256,0)</f>
        <v/>
      </c>
      <c r="J256" s="11">
        <f>ROUND(E256/SUMIFS($E$4:$E$313,$A$4:$A$313,A256)*100,2)</f>
        <v/>
      </c>
      <c r="K256" s="11">
        <f>ROUND(J256-F256,2)</f>
        <v/>
      </c>
    </row>
    <row r="257">
      <c r="A257" s="9" t="n">
        <v>1997</v>
      </c>
      <c r="B257" s="9" t="inlineStr">
        <is>
          <t>silice</t>
        </is>
      </c>
      <c r="C257" s="9" t="n">
        <v>1564348</v>
      </c>
      <c r="D257" s="9" t="n">
        <v>12.4</v>
      </c>
      <c r="E257" s="9" t="n">
        <v>19397915</v>
      </c>
      <c r="F257" s="9" t="n">
        <v>0.75</v>
      </c>
      <c r="G257" s="9" t="inlineStr">
        <is>
          <t>si</t>
        </is>
      </c>
      <c r="H257" s="11">
        <f>C257*D257</f>
        <v/>
      </c>
      <c r="I257" s="11">
        <f>ROUND(H257-E257,0)</f>
        <v/>
      </c>
      <c r="J257" s="11">
        <f>ROUND(E257/SUMIFS($E$4:$E$313,$A$4:$A$313,A257)*100,2)</f>
        <v/>
      </c>
      <c r="K257" s="11">
        <f>ROUND(J257-F257,2)</f>
        <v/>
      </c>
    </row>
    <row r="258">
      <c r="A258" s="6" t="n">
        <v>1998</v>
      </c>
      <c r="B258" s="6" t="inlineStr">
        <is>
          <t>silice</t>
        </is>
      </c>
      <c r="C258" s="6" t="n">
        <v>1733439</v>
      </c>
      <c r="D258" s="6" t="n">
        <v>14.2</v>
      </c>
      <c r="E258" s="6" t="n">
        <v>24614834</v>
      </c>
      <c r="F258" s="6" t="n">
        <v>1.1</v>
      </c>
      <c r="G258" s="6" t="inlineStr">
        <is>
          <t>si</t>
        </is>
      </c>
      <c r="H258" s="11">
        <f>C258*D258</f>
        <v/>
      </c>
      <c r="I258" s="11">
        <f>ROUND(H258-E258,0)</f>
        <v/>
      </c>
      <c r="J258" s="11">
        <f>ROUND(E258/SUMIFS($E$4:$E$313,$A$4:$A$313,A258)*100,2)</f>
        <v/>
      </c>
      <c r="K258" s="11">
        <f>ROUND(J258-F258,2)</f>
        <v/>
      </c>
    </row>
    <row r="259">
      <c r="A259" s="9" t="n">
        <v>1999</v>
      </c>
      <c r="B259" s="9" t="inlineStr">
        <is>
          <t>silice</t>
        </is>
      </c>
      <c r="C259" s="9" t="n">
        <v>1700527</v>
      </c>
      <c r="D259" s="9" t="n">
        <v>15</v>
      </c>
      <c r="E259" s="9" t="n">
        <v>25507905</v>
      </c>
      <c r="F259" s="9" t="n">
        <v>1.26</v>
      </c>
      <c r="G259" s="9" t="inlineStr">
        <is>
          <t>si</t>
        </is>
      </c>
      <c r="H259" s="11">
        <f>C259*D259</f>
        <v/>
      </c>
      <c r="I259" s="11">
        <f>ROUND(H259-E259,0)</f>
        <v/>
      </c>
      <c r="J259" s="11">
        <f>ROUND(E259/SUMIFS($E$4:$E$313,$A$4:$A$313,A259)*100,2)</f>
        <v/>
      </c>
      <c r="K259" s="11">
        <f>ROUND(J259-F259,2)</f>
        <v/>
      </c>
    </row>
    <row r="260">
      <c r="A260" s="6" t="n">
        <v>2000</v>
      </c>
      <c r="B260" s="6" t="inlineStr">
        <is>
          <t>silice</t>
        </is>
      </c>
      <c r="C260" s="6" t="n">
        <v>1802545</v>
      </c>
      <c r="D260" s="6" t="n">
        <v>14.4</v>
      </c>
      <c r="E260" s="6" t="n">
        <v>25956648</v>
      </c>
      <c r="F260" s="6" t="n">
        <v>1.18</v>
      </c>
      <c r="G260" s="6" t="inlineStr">
        <is>
          <t>si</t>
        </is>
      </c>
      <c r="H260" s="11">
        <f>C260*D260</f>
        <v/>
      </c>
      <c r="I260" s="11">
        <f>ROUND(H260-E260,0)</f>
        <v/>
      </c>
      <c r="J260" s="11">
        <f>ROUND(E260/SUMIFS($E$4:$E$313,$A$4:$A$313,A260)*100,2)</f>
        <v/>
      </c>
      <c r="K260" s="11">
        <f>ROUND(J260-F260,2)</f>
        <v/>
      </c>
    </row>
    <row r="261">
      <c r="A261" s="9" t="n">
        <v>2001</v>
      </c>
      <c r="B261" s="9" t="inlineStr">
        <is>
          <t>silice</t>
        </is>
      </c>
      <c r="C261" s="9" t="n">
        <v>1720211</v>
      </c>
      <c r="D261" s="9" t="n">
        <v>16</v>
      </c>
      <c r="E261" s="9" t="n">
        <v>27523376</v>
      </c>
      <c r="F261" s="9" t="n">
        <v>1.42</v>
      </c>
      <c r="G261" s="9" t="inlineStr">
        <is>
          <t>si</t>
        </is>
      </c>
      <c r="H261" s="11">
        <f>C261*D261</f>
        <v/>
      </c>
      <c r="I261" s="11">
        <f>ROUND(H261-E261,0)</f>
        <v/>
      </c>
      <c r="J261" s="11">
        <f>ROUND(E261/SUMIFS($E$4:$E$313,$A$4:$A$313,A261)*100,2)</f>
        <v/>
      </c>
      <c r="K261" s="11">
        <f>ROUND(J261-F261,2)</f>
        <v/>
      </c>
    </row>
    <row r="262">
      <c r="A262" s="6" t="n">
        <v>2002</v>
      </c>
      <c r="B262" s="6" t="inlineStr">
        <is>
          <t>silice</t>
        </is>
      </c>
      <c r="C262" s="6" t="n">
        <v>1778715</v>
      </c>
      <c r="D262" s="6" t="n">
        <v>16.7</v>
      </c>
      <c r="E262" s="6" t="n">
        <v>29704540</v>
      </c>
      <c r="F262" s="6" t="n">
        <v>1.61</v>
      </c>
      <c r="G262" s="6" t="inlineStr">
        <is>
          <t>si</t>
        </is>
      </c>
      <c r="H262" s="11">
        <f>C262*D262</f>
        <v/>
      </c>
      <c r="I262" s="11">
        <f>ROUND(H262-E262,0)</f>
        <v/>
      </c>
      <c r="J262" s="11">
        <f>ROUND(E262/SUMIFS($E$4:$E$313,$A$4:$A$313,A262)*100,2)</f>
        <v/>
      </c>
      <c r="K262" s="11">
        <f>ROUND(J262-F262,2)</f>
        <v/>
      </c>
    </row>
    <row r="263">
      <c r="A263" s="9" t="n">
        <v>2003</v>
      </c>
      <c r="B263" s="9" t="inlineStr">
        <is>
          <t>silice</t>
        </is>
      </c>
      <c r="C263" s="9" t="n">
        <v>1689042</v>
      </c>
      <c r="D263" s="9" t="n">
        <v>18.3</v>
      </c>
      <c r="E263" s="9" t="n">
        <v>30909469</v>
      </c>
      <c r="F263" s="9" t="n">
        <v>1.52</v>
      </c>
      <c r="G263" s="9" t="inlineStr">
        <is>
          <t>si</t>
        </is>
      </c>
      <c r="H263" s="11">
        <f>C263*D263</f>
        <v/>
      </c>
      <c r="I263" s="11">
        <f>ROUND(H263-E263,0)</f>
        <v/>
      </c>
      <c r="J263" s="11">
        <f>ROUND(E263/SUMIFS($E$4:$E$313,$A$4:$A$313,A263)*100,2)</f>
        <v/>
      </c>
      <c r="K263" s="11">
        <f>ROUND(J263-F263,2)</f>
        <v/>
      </c>
    </row>
    <row r="264">
      <c r="A264" s="6" t="n">
        <v>2004</v>
      </c>
      <c r="B264" s="6" t="inlineStr">
        <is>
          <t>silice</t>
        </is>
      </c>
      <c r="C264" s="6" t="n">
        <v>2055940</v>
      </c>
      <c r="D264" s="6" t="n">
        <v>23.1</v>
      </c>
      <c r="E264" s="6" t="n">
        <v>47492214</v>
      </c>
      <c r="F264" s="6" t="n">
        <v>1.55</v>
      </c>
      <c r="G264" s="6" t="inlineStr">
        <is>
          <t>si</t>
        </is>
      </c>
      <c r="H264" s="11">
        <f>C264*D264</f>
        <v/>
      </c>
      <c r="I264" s="11">
        <f>ROUND(H264-E264,0)</f>
        <v/>
      </c>
      <c r="J264" s="11">
        <f>ROUND(E264/SUMIFS($E$4:$E$313,$A$4:$A$313,A264)*100,2)</f>
        <v/>
      </c>
      <c r="K264" s="11">
        <f>ROUND(J264-F264,2)</f>
        <v/>
      </c>
    </row>
    <row r="265">
      <c r="A265" s="9" t="n">
        <v>2005</v>
      </c>
      <c r="B265" s="9" t="inlineStr">
        <is>
          <t>silice</t>
        </is>
      </c>
      <c r="C265" s="9" t="n">
        <v>2120878</v>
      </c>
      <c r="D265" s="9" t="n">
        <v>24.6</v>
      </c>
      <c r="E265" s="9" t="n">
        <v>52173599</v>
      </c>
      <c r="F265" s="9" t="n">
        <v>1.32</v>
      </c>
      <c r="G265" s="9" t="inlineStr">
        <is>
          <t>si</t>
        </is>
      </c>
      <c r="H265" s="11">
        <f>C265*D265</f>
        <v/>
      </c>
      <c r="I265" s="11">
        <f>ROUND(H265-E265,0)</f>
        <v/>
      </c>
      <c r="J265" s="11">
        <f>ROUND(E265/SUMIFS($E$4:$E$313,$A$4:$A$313,A265)*100,2)</f>
        <v/>
      </c>
      <c r="K265" s="11">
        <f>ROUND(J265-F265,2)</f>
        <v/>
      </c>
    </row>
    <row r="266">
      <c r="A266" s="6" t="n">
        <v>2006</v>
      </c>
      <c r="B266" s="6" t="inlineStr">
        <is>
          <t>silice</t>
        </is>
      </c>
      <c r="C266" s="6" t="n">
        <v>2661770</v>
      </c>
      <c r="D266" s="6" t="n">
        <v>26.3</v>
      </c>
      <c r="E266" s="6" t="n">
        <v>70004551</v>
      </c>
      <c r="F266" s="6" t="n">
        <v>1.09</v>
      </c>
      <c r="G266" s="6" t="inlineStr">
        <is>
          <t>si</t>
        </is>
      </c>
      <c r="H266" s="11">
        <f>C266*D266</f>
        <v/>
      </c>
      <c r="I266" s="11">
        <f>ROUND(H266-E266,0)</f>
        <v/>
      </c>
      <c r="J266" s="11">
        <f>ROUND(E266/SUMIFS($E$4:$E$313,$A$4:$A$313,A266)*100,2)</f>
        <v/>
      </c>
      <c r="K266" s="11">
        <f>ROUND(J266-F266,2)</f>
        <v/>
      </c>
    </row>
    <row r="267">
      <c r="A267" s="9" t="n">
        <v>2007</v>
      </c>
      <c r="B267" s="9" t="inlineStr">
        <is>
          <t>silice</t>
        </is>
      </c>
      <c r="C267" s="9" t="n">
        <v>2904537</v>
      </c>
      <c r="D267" s="9" t="n">
        <v>27.6</v>
      </c>
      <c r="E267" s="9" t="n">
        <v>80165221</v>
      </c>
      <c r="F267" s="9" t="n">
        <v>1.14</v>
      </c>
      <c r="G267" s="9" t="inlineStr">
        <is>
          <t>si</t>
        </is>
      </c>
      <c r="H267" s="11">
        <f>C267*D267</f>
        <v/>
      </c>
      <c r="I267" s="11">
        <f>ROUND(H267-E267,0)</f>
        <v/>
      </c>
      <c r="J267" s="11">
        <f>ROUND(E267/SUMIFS($E$4:$E$313,$A$4:$A$313,A267)*100,2)</f>
        <v/>
      </c>
      <c r="K267" s="11">
        <f>ROUND(J267-F267,2)</f>
        <v/>
      </c>
    </row>
    <row r="268">
      <c r="A268" s="6" t="n">
        <v>2008</v>
      </c>
      <c r="B268" s="6" t="inlineStr">
        <is>
          <t>silice</t>
        </is>
      </c>
      <c r="C268" s="6" t="n">
        <v>2779075</v>
      </c>
      <c r="D268" s="6" t="n">
        <v>30.8</v>
      </c>
      <c r="E268" s="6" t="n">
        <v>85595510</v>
      </c>
      <c r="F268" s="6" t="n">
        <v>1.24</v>
      </c>
      <c r="G268" s="6" t="inlineStr">
        <is>
          <t>si</t>
        </is>
      </c>
      <c r="H268" s="11">
        <f>C268*D268</f>
        <v/>
      </c>
      <c r="I268" s="11">
        <f>ROUND(H268-E268,0)</f>
        <v/>
      </c>
      <c r="J268" s="11">
        <f>ROUND(E268/SUMIFS($E$4:$E$313,$A$4:$A$313,A268)*100,2)</f>
        <v/>
      </c>
      <c r="K268" s="11">
        <f>ROUND(J268-F268,2)</f>
        <v/>
      </c>
    </row>
    <row r="269">
      <c r="A269" s="9" t="n">
        <v>2009</v>
      </c>
      <c r="B269" s="9" t="inlineStr">
        <is>
          <t>silice</t>
        </is>
      </c>
      <c r="C269" s="9" t="n">
        <v>2483605</v>
      </c>
      <c r="D269" s="9" t="n">
        <v>34.3</v>
      </c>
      <c r="E269" s="9" t="n">
        <v>85187652</v>
      </c>
      <c r="F269" s="9" t="n">
        <v>1.3</v>
      </c>
      <c r="G269" s="9" t="inlineStr">
        <is>
          <t>si</t>
        </is>
      </c>
      <c r="H269" s="11">
        <f>C269*D269</f>
        <v/>
      </c>
      <c r="I269" s="11">
        <f>ROUND(H269-E269,0)</f>
        <v/>
      </c>
      <c r="J269" s="11">
        <f>ROUND(E269/SUMIFS($E$4:$E$313,$A$4:$A$313,A269)*100,2)</f>
        <v/>
      </c>
      <c r="K269" s="11">
        <f>ROUND(J269-F269,2)</f>
        <v/>
      </c>
    </row>
    <row r="270">
      <c r="A270" s="6" t="n">
        <v>2010</v>
      </c>
      <c r="B270" s="6" t="inlineStr">
        <is>
          <t>silice</t>
        </is>
      </c>
      <c r="C270" s="6" t="n">
        <v>2607650</v>
      </c>
      <c r="D270" s="6" t="n">
        <v>35.6</v>
      </c>
      <c r="E270" s="6" t="n">
        <v>92832340</v>
      </c>
      <c r="F270" s="6" t="n">
        <v>0.9</v>
      </c>
      <c r="G270" s="6" t="inlineStr">
        <is>
          <t>si</t>
        </is>
      </c>
      <c r="H270" s="11">
        <f>C270*D270</f>
        <v/>
      </c>
      <c r="I270" s="11">
        <f>ROUND(H270-E270,0)</f>
        <v/>
      </c>
      <c r="J270" s="11">
        <f>ROUND(E270/SUMIFS($E$4:$E$313,$A$4:$A$313,A270)*100,2)</f>
        <v/>
      </c>
      <c r="K270" s="11">
        <f>ROUND(J270-F270,2)</f>
        <v/>
      </c>
    </row>
    <row r="271">
      <c r="A271" s="9" t="n">
        <v>2011</v>
      </c>
      <c r="B271" s="9" t="inlineStr">
        <is>
          <t>silice</t>
        </is>
      </c>
      <c r="C271" s="9" t="n">
        <v>2542143</v>
      </c>
      <c r="D271" s="9" t="n">
        <v>45.7</v>
      </c>
      <c r="E271" s="9" t="n">
        <v>116175935</v>
      </c>
      <c r="F271" s="9" t="n">
        <v>0.7</v>
      </c>
      <c r="G271" s="9" t="inlineStr">
        <is>
          <t>si</t>
        </is>
      </c>
      <c r="H271" s="11">
        <f>C271*D271</f>
        <v/>
      </c>
      <c r="I271" s="11">
        <f>ROUND(H271-E271,0)</f>
        <v/>
      </c>
      <c r="J271" s="11">
        <f>ROUND(E271/SUMIFS($E$4:$E$313,$A$4:$A$313,A271)*100,2)</f>
        <v/>
      </c>
      <c r="K271" s="11">
        <f>ROUND(J271-F271,2)</f>
        <v/>
      </c>
    </row>
    <row r="272">
      <c r="A272" s="6" t="n">
        <v>2012</v>
      </c>
      <c r="B272" s="6" t="inlineStr">
        <is>
          <t>silice</t>
        </is>
      </c>
      <c r="C272" s="6" t="n">
        <v>3592813</v>
      </c>
      <c r="D272" s="6" t="n">
        <v>52.8</v>
      </c>
      <c r="E272" s="6" t="n">
        <v>189700526</v>
      </c>
      <c r="F272" s="6" t="n">
        <v>1.07</v>
      </c>
      <c r="G272" s="6" t="inlineStr">
        <is>
          <t>si</t>
        </is>
      </c>
      <c r="H272" s="11">
        <f>C272*D272</f>
        <v/>
      </c>
      <c r="I272" s="11">
        <f>ROUND(H272-E272,0)</f>
        <v/>
      </c>
      <c r="J272" s="11">
        <f>ROUND(E272/SUMIFS($E$4:$E$313,$A$4:$A$313,A272)*100,2)</f>
        <v/>
      </c>
      <c r="K272" s="11">
        <f>ROUND(J272-F272,2)</f>
        <v/>
      </c>
    </row>
    <row r="273">
      <c r="A273" s="9" t="n">
        <v>2013</v>
      </c>
      <c r="B273" s="9" t="inlineStr">
        <is>
          <t>silice</t>
        </is>
      </c>
      <c r="C273" s="9" t="n">
        <v>2937949</v>
      </c>
      <c r="D273" s="9" t="n">
        <v>55.8</v>
      </c>
      <c r="E273" s="9" t="n">
        <v>163937554</v>
      </c>
      <c r="F273" s="9" t="n">
        <v>1.01</v>
      </c>
      <c r="G273" s="9" t="inlineStr">
        <is>
          <t>si</t>
        </is>
      </c>
      <c r="H273" s="11">
        <f>C273*D273</f>
        <v/>
      </c>
      <c r="I273" s="11">
        <f>ROUND(H273-E273,0)</f>
        <v/>
      </c>
      <c r="J273" s="11">
        <f>ROUND(E273/SUMIFS($E$4:$E$313,$A$4:$A$313,A273)*100,2)</f>
        <v/>
      </c>
      <c r="K273" s="11">
        <f>ROUND(J273-F273,2)</f>
        <v/>
      </c>
    </row>
    <row r="274">
      <c r="A274" s="6" t="n">
        <v>2014</v>
      </c>
      <c r="B274" s="6" t="inlineStr">
        <is>
          <t>silice</t>
        </is>
      </c>
      <c r="C274" s="6" t="n">
        <v>2548336</v>
      </c>
      <c r="D274" s="6" t="n">
        <v>74.8</v>
      </c>
      <c r="E274" s="6" t="n">
        <v>190615533</v>
      </c>
      <c r="F274" s="6" t="n">
        <v>1.37</v>
      </c>
      <c r="G274" s="6" t="inlineStr">
        <is>
          <t>si</t>
        </is>
      </c>
      <c r="H274" s="11">
        <f>C274*D274</f>
        <v/>
      </c>
      <c r="I274" s="11">
        <f>ROUND(H274-E274,0)</f>
        <v/>
      </c>
      <c r="J274" s="11">
        <f>ROUND(E274/SUMIFS($E$4:$E$313,$A$4:$A$313,A274)*100,2)</f>
        <v/>
      </c>
      <c r="K274" s="11">
        <f>ROUND(J274-F274,2)</f>
        <v/>
      </c>
    </row>
    <row r="275">
      <c r="A275" s="9" t="n">
        <v>2015</v>
      </c>
      <c r="B275" s="9" t="inlineStr">
        <is>
          <t>silice</t>
        </is>
      </c>
      <c r="C275" s="9" t="n">
        <v>1750548</v>
      </c>
      <c r="D275" s="9" t="n">
        <v>47.3</v>
      </c>
      <c r="E275" s="9" t="n">
        <v>82800920</v>
      </c>
      <c r="F275" s="9" t="n">
        <v>0.59</v>
      </c>
      <c r="G275" s="9" t="inlineStr">
        <is>
          <t>si</t>
        </is>
      </c>
      <c r="H275" s="11">
        <f>C275*D275</f>
        <v/>
      </c>
      <c r="I275" s="11">
        <f>ROUND(H275-E275,0)</f>
        <v/>
      </c>
      <c r="J275" s="11">
        <f>ROUND(E275/SUMIFS($E$4:$E$313,$A$4:$A$313,A275)*100,2)</f>
        <v/>
      </c>
      <c r="K275" s="11">
        <f>ROUND(J275-F275,2)</f>
        <v/>
      </c>
    </row>
    <row r="276">
      <c r="A276" s="6" t="n">
        <v>2016</v>
      </c>
      <c r="B276" s="6" t="inlineStr">
        <is>
          <t>silice</t>
        </is>
      </c>
      <c r="C276" s="6" t="n">
        <v>2175429</v>
      </c>
      <c r="D276" s="6" t="n">
        <v>35.8</v>
      </c>
      <c r="E276" s="6" t="n">
        <v>77880358</v>
      </c>
      <c r="F276" s="6" t="n">
        <v>0.53</v>
      </c>
      <c r="G276" s="6" t="inlineStr">
        <is>
          <t>si</t>
        </is>
      </c>
      <c r="H276" s="11">
        <f>C276*D276</f>
        <v/>
      </c>
      <c r="I276" s="11">
        <f>ROUND(H276-E276,0)</f>
        <v/>
      </c>
      <c r="J276" s="11">
        <f>ROUND(E276/SUMIFS($E$4:$E$313,$A$4:$A$313,A276)*100,2)</f>
        <v/>
      </c>
      <c r="K276" s="11">
        <f>ROUND(J276-F276,2)</f>
        <v/>
      </c>
    </row>
    <row r="277">
      <c r="A277" s="9" t="n">
        <v>2017</v>
      </c>
      <c r="B277" s="9" t="inlineStr">
        <is>
          <t>silice</t>
        </is>
      </c>
      <c r="C277" s="9" t="n">
        <v>2355909</v>
      </c>
      <c r="D277" s="9" t="n">
        <v>52.1</v>
      </c>
      <c r="E277" s="9" t="n">
        <v>122742859</v>
      </c>
      <c r="F277" s="9" t="n">
        <v>0.75</v>
      </c>
      <c r="G277" s="9" t="inlineStr">
        <is>
          <t>si</t>
        </is>
      </c>
      <c r="H277" s="11">
        <f>C277*D277</f>
        <v/>
      </c>
      <c r="I277" s="11">
        <f>ROUND(H277-E277,0)</f>
        <v/>
      </c>
      <c r="J277" s="11">
        <f>ROUND(E277/SUMIFS($E$4:$E$313,$A$4:$A$313,A277)*100,2)</f>
        <v/>
      </c>
      <c r="K277" s="11">
        <f>ROUND(J277-F277,2)</f>
        <v/>
      </c>
    </row>
    <row r="278">
      <c r="A278" s="6" t="n">
        <v>2018</v>
      </c>
      <c r="B278" s="6" t="inlineStr">
        <is>
          <t>silice</t>
        </is>
      </c>
      <c r="C278" s="6" t="n">
        <v>2511246</v>
      </c>
      <c r="D278" s="6" t="n">
        <v>56.1</v>
      </c>
      <c r="E278" s="6" t="n">
        <v>140880901</v>
      </c>
      <c r="F278" s="6" t="n">
        <v>0.86</v>
      </c>
      <c r="G278" s="6" t="inlineStr">
        <is>
          <t>si</t>
        </is>
      </c>
      <c r="H278" s="11">
        <f>C278*D278</f>
        <v/>
      </c>
      <c r="I278" s="11">
        <f>ROUND(H278-E278,0)</f>
        <v/>
      </c>
      <c r="J278" s="11">
        <f>ROUND(E278/SUMIFS($E$4:$E$313,$A$4:$A$313,A278)*100,2)</f>
        <v/>
      </c>
      <c r="K278" s="11">
        <f>ROUND(J278-F278,2)</f>
        <v/>
      </c>
    </row>
    <row r="279">
      <c r="A279" s="9" t="n">
        <v>2019</v>
      </c>
      <c r="B279" s="9" t="inlineStr">
        <is>
          <t>silice</t>
        </is>
      </c>
      <c r="C279" s="9" t="n">
        <v>2671422</v>
      </c>
      <c r="D279" s="9" t="n">
        <v>46</v>
      </c>
      <c r="E279" s="9" t="n">
        <v>122885412</v>
      </c>
      <c r="F279" s="9" t="n">
        <v>0.79</v>
      </c>
      <c r="G279" s="9" t="inlineStr">
        <is>
          <t>si</t>
        </is>
      </c>
      <c r="H279" s="11">
        <f>C279*D279</f>
        <v/>
      </c>
      <c r="I279" s="11">
        <f>ROUND(H279-E279,0)</f>
        <v/>
      </c>
      <c r="J279" s="11">
        <f>ROUND(E279/SUMIFS($E$4:$E$313,$A$4:$A$313,A279)*100,2)</f>
        <v/>
      </c>
      <c r="K279" s="11">
        <f>ROUND(J279-F279,2)</f>
        <v/>
      </c>
    </row>
    <row r="280">
      <c r="A280" s="6" t="n">
        <v>2020</v>
      </c>
      <c r="B280" s="6" t="inlineStr">
        <is>
          <t>silice</t>
        </is>
      </c>
      <c r="C280" s="6" t="n">
        <v>2514378</v>
      </c>
      <c r="D280" s="6" t="n">
        <v>29.5</v>
      </c>
      <c r="E280" s="6" t="n">
        <v>74174151</v>
      </c>
      <c r="F280" s="6" t="n">
        <v>0.44</v>
      </c>
      <c r="G280" s="6" t="inlineStr">
        <is>
          <t>si</t>
        </is>
      </c>
      <c r="H280" s="11">
        <f>C280*D280</f>
        <v/>
      </c>
      <c r="I280" s="11">
        <f>ROUND(H280-E280,0)</f>
        <v/>
      </c>
      <c r="J280" s="11">
        <f>ROUND(E280/SUMIFS($E$4:$E$313,$A$4:$A$313,A280)*100,2)</f>
        <v/>
      </c>
      <c r="K280" s="11">
        <f>ROUND(J280-F280,2)</f>
        <v/>
      </c>
    </row>
    <row r="281">
      <c r="A281" s="9" t="n">
        <v>2021</v>
      </c>
      <c r="B281" s="9" t="inlineStr">
        <is>
          <t>silice</t>
        </is>
      </c>
      <c r="C281" s="9" t="n">
        <v>2500000</v>
      </c>
      <c r="D281" s="9" t="n">
        <v>40.8</v>
      </c>
      <c r="E281" s="9" t="n">
        <v>102000000</v>
      </c>
      <c r="F281" s="9" t="n">
        <v>0.45</v>
      </c>
      <c r="G281" s="9" t="inlineStr">
        <is>
          <t>si</t>
        </is>
      </c>
      <c r="H281" s="11">
        <f>C281*D281</f>
        <v/>
      </c>
      <c r="I281" s="11">
        <f>ROUND(H281-E281,0)</f>
        <v/>
      </c>
      <c r="J281" s="11">
        <f>ROUND(E281/SUMIFS($E$4:$E$313,$A$4:$A$313,A281)*100,2)</f>
        <v/>
      </c>
      <c r="K281" s="11">
        <f>ROUND(J281-F281,2)</f>
        <v/>
      </c>
    </row>
    <row r="282">
      <c r="A282" s="6" t="n">
        <v>2022</v>
      </c>
      <c r="B282" s="6" t="inlineStr">
        <is>
          <t>silice</t>
        </is>
      </c>
      <c r="C282" s="6" t="n">
        <v>2700000</v>
      </c>
      <c r="D282" s="6" t="n">
        <v>45.3</v>
      </c>
      <c r="E282" s="6" t="n">
        <v>122310000</v>
      </c>
      <c r="F282" s="6" t="n">
        <v>0.54</v>
      </c>
      <c r="G282" s="6" t="inlineStr">
        <is>
          <t>si</t>
        </is>
      </c>
      <c r="H282" s="11">
        <f>C282*D282</f>
        <v/>
      </c>
      <c r="I282" s="11">
        <f>ROUND(H282-E282,0)</f>
        <v/>
      </c>
      <c r="J282" s="11">
        <f>ROUND(E282/SUMIFS($E$4:$E$313,$A$4:$A$313,A282)*100,2)</f>
        <v/>
      </c>
      <c r="K282" s="11">
        <f>ROUND(J282-F282,2)</f>
        <v/>
      </c>
    </row>
    <row r="283">
      <c r="A283" s="9" t="n">
        <v>1992</v>
      </c>
      <c r="B283" s="9" t="inlineStr">
        <is>
          <t>zinc</t>
        </is>
      </c>
      <c r="C283" s="9" t="n">
        <v>294000</v>
      </c>
      <c r="D283" s="9" t="n">
        <v>1290</v>
      </c>
      <c r="E283" s="9" t="n">
        <v>379260000</v>
      </c>
      <c r="F283" s="9" t="n">
        <v>21.73</v>
      </c>
      <c r="G283" s="9" t="inlineStr">
        <is>
          <t>si</t>
        </is>
      </c>
      <c r="H283" s="11">
        <f>C283*D283</f>
        <v/>
      </c>
      <c r="I283" s="11">
        <f>ROUND(H283-E283,0)</f>
        <v/>
      </c>
      <c r="J283" s="11">
        <f>ROUND(E283/SUMIFS($E$4:$E$313,$A$4:$A$313,A283)*100,2)</f>
        <v/>
      </c>
      <c r="K283" s="11">
        <f>ROUND(J283-F283,2)</f>
        <v/>
      </c>
    </row>
    <row r="284">
      <c r="A284" s="6" t="n">
        <v>1993</v>
      </c>
      <c r="B284" s="6" t="inlineStr">
        <is>
          <t>zinc</t>
        </is>
      </c>
      <c r="C284" s="6" t="n">
        <v>369000</v>
      </c>
      <c r="D284" s="6" t="n">
        <v>1020</v>
      </c>
      <c r="E284" s="6" t="n">
        <v>376380000</v>
      </c>
      <c r="F284" s="6" t="n">
        <v>22.8</v>
      </c>
      <c r="G284" s="6" t="inlineStr">
        <is>
          <t>si</t>
        </is>
      </c>
      <c r="H284" s="11">
        <f>C284*D284</f>
        <v/>
      </c>
      <c r="I284" s="11">
        <f>ROUND(H284-E284,0)</f>
        <v/>
      </c>
      <c r="J284" s="11">
        <f>ROUND(E284/SUMIFS($E$4:$E$313,$A$4:$A$313,A284)*100,2)</f>
        <v/>
      </c>
      <c r="K284" s="11">
        <f>ROUND(J284-F284,2)</f>
        <v/>
      </c>
    </row>
    <row r="285">
      <c r="A285" s="9" t="n">
        <v>1994</v>
      </c>
      <c r="B285" s="9" t="inlineStr">
        <is>
          <t>zinc</t>
        </is>
      </c>
      <c r="C285" s="9" t="n">
        <v>381689</v>
      </c>
      <c r="D285" s="9" t="n">
        <v>1090</v>
      </c>
      <c r="E285" s="9" t="n">
        <v>416041010</v>
      </c>
      <c r="F285" s="9" t="n">
        <v>21.29</v>
      </c>
      <c r="G285" s="9" t="inlineStr">
        <is>
          <t>si</t>
        </is>
      </c>
      <c r="H285" s="11">
        <f>C285*D285</f>
        <v/>
      </c>
      <c r="I285" s="11">
        <f>ROUND(H285-E285,0)</f>
        <v/>
      </c>
      <c r="J285" s="11">
        <f>ROUND(E285/SUMIFS($E$4:$E$313,$A$4:$A$313,A285)*100,2)</f>
        <v/>
      </c>
      <c r="K285" s="11">
        <f>ROUND(J285-F285,2)</f>
        <v/>
      </c>
    </row>
    <row r="286">
      <c r="A286" s="6" t="n">
        <v>1995</v>
      </c>
      <c r="B286" s="6" t="inlineStr">
        <is>
          <t>zinc</t>
        </is>
      </c>
      <c r="C286" s="6" t="n">
        <v>363658</v>
      </c>
      <c r="D286" s="6" t="n">
        <v>1230</v>
      </c>
      <c r="E286" s="6" t="n">
        <v>447299340</v>
      </c>
      <c r="F286" s="6" t="n">
        <v>18.12</v>
      </c>
      <c r="G286" s="6" t="inlineStr">
        <is>
          <t>si</t>
        </is>
      </c>
      <c r="H286" s="11">
        <f>C286*D286</f>
        <v/>
      </c>
      <c r="I286" s="11">
        <f>ROUND(H286-E286,0)</f>
        <v/>
      </c>
      <c r="J286" s="11">
        <f>ROUND(E286/SUMIFS($E$4:$E$313,$A$4:$A$313,A286)*100,2)</f>
        <v/>
      </c>
      <c r="K286" s="11">
        <f>ROUND(J286-F286,2)</f>
        <v/>
      </c>
    </row>
    <row r="287">
      <c r="A287" s="9" t="n">
        <v>1996</v>
      </c>
      <c r="B287" s="9" t="inlineStr">
        <is>
          <t>zinc</t>
        </is>
      </c>
      <c r="C287" s="9" t="n">
        <v>377599</v>
      </c>
      <c r="D287" s="9" t="n">
        <v>1130</v>
      </c>
      <c r="E287" s="9" t="n">
        <v>426686870</v>
      </c>
      <c r="F287" s="9" t="n">
        <v>17.74</v>
      </c>
      <c r="G287" s="9" t="inlineStr">
        <is>
          <t>si</t>
        </is>
      </c>
      <c r="H287" s="11">
        <f>C287*D287</f>
        <v/>
      </c>
      <c r="I287" s="11">
        <f>ROUND(H287-E287,0)</f>
        <v/>
      </c>
      <c r="J287" s="11">
        <f>ROUND(E287/SUMIFS($E$4:$E$313,$A$4:$A$313,A287)*100,2)</f>
        <v/>
      </c>
      <c r="K287" s="11">
        <f>ROUND(J287-F287,2)</f>
        <v/>
      </c>
    </row>
    <row r="288">
      <c r="A288" s="6" t="n">
        <v>1997</v>
      </c>
      <c r="B288" s="6" t="inlineStr">
        <is>
          <t>zinc</t>
        </is>
      </c>
      <c r="C288" s="6" t="n">
        <v>379252</v>
      </c>
      <c r="D288" s="6" t="n">
        <v>1420</v>
      </c>
      <c r="E288" s="6" t="n">
        <v>538537840</v>
      </c>
      <c r="F288" s="6" t="n">
        <v>20.8</v>
      </c>
      <c r="G288" s="6" t="inlineStr">
        <is>
          <t>si</t>
        </is>
      </c>
      <c r="H288" s="11">
        <f>C288*D288</f>
        <v/>
      </c>
      <c r="I288" s="11">
        <f>ROUND(H288-E288,0)</f>
        <v/>
      </c>
      <c r="J288" s="11">
        <f>ROUND(E288/SUMIFS($E$4:$E$313,$A$4:$A$313,A288)*100,2)</f>
        <v/>
      </c>
      <c r="K288" s="11">
        <f>ROUND(J288-F288,2)</f>
        <v/>
      </c>
    </row>
    <row r="289">
      <c r="A289" s="9" t="n">
        <v>1998</v>
      </c>
      <c r="B289" s="9" t="inlineStr">
        <is>
          <t>zinc</t>
        </is>
      </c>
      <c r="C289" s="9" t="n">
        <v>395391</v>
      </c>
      <c r="D289" s="9" t="n">
        <v>1130</v>
      </c>
      <c r="E289" s="9" t="n">
        <v>446791830</v>
      </c>
      <c r="F289" s="9" t="n">
        <v>19.94</v>
      </c>
      <c r="G289" s="9" t="inlineStr">
        <is>
          <t>si</t>
        </is>
      </c>
      <c r="H289" s="11">
        <f>C289*D289</f>
        <v/>
      </c>
      <c r="I289" s="11">
        <f>ROUND(H289-E289,0)</f>
        <v/>
      </c>
      <c r="J289" s="11">
        <f>ROUND(E289/SUMIFS($E$4:$E$313,$A$4:$A$313,A289)*100,2)</f>
        <v/>
      </c>
      <c r="K289" s="11">
        <f>ROUND(J289-F289,2)</f>
        <v/>
      </c>
    </row>
    <row r="290">
      <c r="A290" s="6" t="n">
        <v>1999</v>
      </c>
      <c r="B290" s="6" t="inlineStr">
        <is>
          <t>zinc</t>
        </is>
      </c>
      <c r="C290" s="6" t="n">
        <v>362811</v>
      </c>
      <c r="D290" s="6" t="n">
        <v>1180</v>
      </c>
      <c r="E290" s="6" t="n">
        <v>428116980</v>
      </c>
      <c r="F290" s="6" t="n">
        <v>21.14</v>
      </c>
      <c r="G290" s="6" t="inlineStr">
        <is>
          <t>si</t>
        </is>
      </c>
      <c r="H290" s="11">
        <f>C290*D290</f>
        <v/>
      </c>
      <c r="I290" s="11">
        <f>ROUND(H290-E290,0)</f>
        <v/>
      </c>
      <c r="J290" s="11">
        <f>ROUND(E290/SUMIFS($E$4:$E$313,$A$4:$A$313,A290)*100,2)</f>
        <v/>
      </c>
      <c r="K290" s="11">
        <f>ROUND(J290-F290,2)</f>
        <v/>
      </c>
    </row>
    <row r="291">
      <c r="A291" s="9" t="n">
        <v>2000</v>
      </c>
      <c r="B291" s="9" t="inlineStr">
        <is>
          <t>zinc</t>
        </is>
      </c>
      <c r="C291" s="9" t="n">
        <v>392791</v>
      </c>
      <c r="D291" s="9" t="n">
        <v>1230</v>
      </c>
      <c r="E291" s="9" t="n">
        <v>483132930</v>
      </c>
      <c r="F291" s="9" t="n">
        <v>21.95</v>
      </c>
      <c r="G291" s="9" t="inlineStr">
        <is>
          <t>si</t>
        </is>
      </c>
      <c r="H291" s="11">
        <f>C291*D291</f>
        <v/>
      </c>
      <c r="I291" s="11">
        <f>ROUND(H291-E291,0)</f>
        <v/>
      </c>
      <c r="J291" s="11">
        <f>ROUND(E291/SUMIFS($E$4:$E$313,$A$4:$A$313,A291)*100,2)</f>
        <v/>
      </c>
      <c r="K291" s="11">
        <f>ROUND(J291-F291,2)</f>
        <v/>
      </c>
    </row>
    <row r="292">
      <c r="A292" s="6" t="n">
        <v>2001</v>
      </c>
      <c r="B292" s="6" t="inlineStr">
        <is>
          <t>zinc</t>
        </is>
      </c>
      <c r="C292" s="6" t="n">
        <v>428828</v>
      </c>
      <c r="D292" s="6" t="n">
        <v>969</v>
      </c>
      <c r="E292" s="6" t="n">
        <v>415534332</v>
      </c>
      <c r="F292" s="6" t="n">
        <v>21.41</v>
      </c>
      <c r="G292" s="6" t="inlineStr">
        <is>
          <t>si</t>
        </is>
      </c>
      <c r="H292" s="11">
        <f>C292*D292</f>
        <v/>
      </c>
      <c r="I292" s="11">
        <f>ROUND(H292-E292,0)</f>
        <v/>
      </c>
      <c r="J292" s="11">
        <f>ROUND(E292/SUMIFS($E$4:$E$313,$A$4:$A$313,A292)*100,2)</f>
        <v/>
      </c>
      <c r="K292" s="11">
        <f>ROUND(J292-F292,2)</f>
        <v/>
      </c>
    </row>
    <row r="293">
      <c r="A293" s="9" t="n">
        <v>2002</v>
      </c>
      <c r="B293" s="9" t="inlineStr">
        <is>
          <t>zinc</t>
        </is>
      </c>
      <c r="C293" s="9" t="n">
        <v>446104</v>
      </c>
      <c r="D293" s="9" t="n">
        <v>852</v>
      </c>
      <c r="E293" s="9" t="n">
        <v>380080608</v>
      </c>
      <c r="F293" s="9" t="n">
        <v>20.54</v>
      </c>
      <c r="G293" s="9" t="inlineStr">
        <is>
          <t>si</t>
        </is>
      </c>
      <c r="H293" s="11">
        <f>C293*D293</f>
        <v/>
      </c>
      <c r="I293" s="11">
        <f>ROUND(H293-E293,0)</f>
        <v/>
      </c>
      <c r="J293" s="11">
        <f>ROUND(E293/SUMIFS($E$4:$E$313,$A$4:$A$313,A293)*100,2)</f>
        <v/>
      </c>
      <c r="K293" s="11">
        <f>ROUND(J293-F293,2)</f>
        <v/>
      </c>
    </row>
    <row r="294">
      <c r="A294" s="6" t="n">
        <v>2003</v>
      </c>
      <c r="B294" s="6" t="inlineStr">
        <is>
          <t>zinc</t>
        </is>
      </c>
      <c r="C294" s="6" t="n">
        <v>413991</v>
      </c>
      <c r="D294" s="6" t="n">
        <v>895.74</v>
      </c>
      <c r="E294" s="6" t="n">
        <v>370828298</v>
      </c>
      <c r="F294" s="6" t="n">
        <v>18.21</v>
      </c>
      <c r="G294" s="6" t="inlineStr">
        <is>
          <t>si</t>
        </is>
      </c>
      <c r="H294" s="11">
        <f>C294*D294</f>
        <v/>
      </c>
      <c r="I294" s="11">
        <f>ROUND(H294-E294,0)</f>
        <v/>
      </c>
      <c r="J294" s="11">
        <f>ROUND(E294/SUMIFS($E$4:$E$313,$A$4:$A$313,A294)*100,2)</f>
        <v/>
      </c>
      <c r="K294" s="11">
        <f>ROUND(J294-F294,2)</f>
        <v/>
      </c>
    </row>
    <row r="295">
      <c r="A295" s="9" t="n">
        <v>2004</v>
      </c>
      <c r="B295" s="9" t="inlineStr">
        <is>
          <t>zinc</t>
        </is>
      </c>
      <c r="C295" s="9" t="n">
        <v>426360</v>
      </c>
      <c r="D295" s="9" t="n">
        <v>1160</v>
      </c>
      <c r="E295" s="9" t="n">
        <v>494577600</v>
      </c>
      <c r="F295" s="9" t="n">
        <v>16.15</v>
      </c>
      <c r="G295" s="9" t="inlineStr">
        <is>
          <t>si</t>
        </is>
      </c>
      <c r="H295" s="11">
        <f>C295*D295</f>
        <v/>
      </c>
      <c r="I295" s="11">
        <f>ROUND(H295-E295,0)</f>
        <v/>
      </c>
      <c r="J295" s="11">
        <f>ROUND(E295/SUMIFS($E$4:$E$313,$A$4:$A$313,A295)*100,2)</f>
        <v/>
      </c>
      <c r="K295" s="11">
        <f>ROUND(J295-F295,2)</f>
        <v/>
      </c>
    </row>
    <row r="296">
      <c r="A296" s="6" t="n">
        <v>2005</v>
      </c>
      <c r="B296" s="6" t="inlineStr">
        <is>
          <t>zinc</t>
        </is>
      </c>
      <c r="C296" s="6" t="n">
        <v>455625</v>
      </c>
      <c r="D296" s="6" t="n">
        <v>1480</v>
      </c>
      <c r="E296" s="6" t="n">
        <v>674325000</v>
      </c>
      <c r="F296" s="6" t="n">
        <v>17</v>
      </c>
      <c r="G296" s="6" t="inlineStr">
        <is>
          <t>si</t>
        </is>
      </c>
      <c r="H296" s="11">
        <f>C296*D296</f>
        <v/>
      </c>
      <c r="I296" s="11">
        <f>ROUND(H296-E296,0)</f>
        <v/>
      </c>
      <c r="J296" s="11">
        <f>ROUND(E296/SUMIFS($E$4:$E$313,$A$4:$A$313,A296)*100,2)</f>
        <v/>
      </c>
      <c r="K296" s="11">
        <f>ROUND(J296-F296,2)</f>
        <v/>
      </c>
    </row>
    <row r="297">
      <c r="A297" s="9" t="n">
        <v>2006</v>
      </c>
      <c r="B297" s="9" t="inlineStr">
        <is>
          <t>zinc</t>
        </is>
      </c>
      <c r="C297" s="9" t="n">
        <v>468924</v>
      </c>
      <c r="D297" s="9" t="n">
        <v>3500</v>
      </c>
      <c r="E297" s="9" t="n">
        <v>1641234000</v>
      </c>
      <c r="F297" s="9" t="n">
        <v>25.6</v>
      </c>
      <c r="G297" s="9" t="inlineStr">
        <is>
          <t>si</t>
        </is>
      </c>
      <c r="H297" s="11">
        <f>C297*D297</f>
        <v/>
      </c>
      <c r="I297" s="11">
        <f>ROUND(H297-E297,0)</f>
        <v/>
      </c>
      <c r="J297" s="11">
        <f>ROUND(E297/SUMIFS($E$4:$E$313,$A$4:$A$313,A297)*100,2)</f>
        <v/>
      </c>
      <c r="K297" s="11">
        <f>ROUND(J297-F297,2)</f>
        <v/>
      </c>
    </row>
    <row r="298">
      <c r="A298" s="6" t="n">
        <v>2007</v>
      </c>
      <c r="B298" s="6" t="inlineStr">
        <is>
          <t>zinc</t>
        </is>
      </c>
      <c r="C298" s="6" t="n">
        <v>452012</v>
      </c>
      <c r="D298" s="6" t="n">
        <v>3400</v>
      </c>
      <c r="E298" s="6" t="n">
        <v>1536840800</v>
      </c>
      <c r="F298" s="6" t="n">
        <v>21.85</v>
      </c>
      <c r="G298" s="6" t="inlineStr">
        <is>
          <t>si</t>
        </is>
      </c>
      <c r="H298" s="11">
        <f>C298*D298</f>
        <v/>
      </c>
      <c r="I298" s="11">
        <f>ROUND(H298-E298,0)</f>
        <v/>
      </c>
      <c r="J298" s="11">
        <f>ROUND(E298/SUMIFS($E$4:$E$313,$A$4:$A$313,A298)*100,2)</f>
        <v/>
      </c>
      <c r="K298" s="11">
        <f>ROUND(J298-F298,2)</f>
        <v/>
      </c>
    </row>
    <row r="299">
      <c r="A299" s="9" t="n">
        <v>2008</v>
      </c>
      <c r="B299" s="9" t="inlineStr">
        <is>
          <t>zinc</t>
        </is>
      </c>
      <c r="C299" s="9" t="n">
        <v>453588</v>
      </c>
      <c r="D299" s="9" t="n">
        <v>1960</v>
      </c>
      <c r="E299" s="9" t="n">
        <v>889032480</v>
      </c>
      <c r="F299" s="9" t="n">
        <v>12.92</v>
      </c>
      <c r="G299" s="9" t="inlineStr">
        <is>
          <t>si</t>
        </is>
      </c>
      <c r="H299" s="11">
        <f>C299*D299</f>
        <v/>
      </c>
      <c r="I299" s="11">
        <f>ROUND(H299-E299,0)</f>
        <v/>
      </c>
      <c r="J299" s="11">
        <f>ROUND(E299/SUMIFS($E$4:$E$313,$A$4:$A$313,A299)*100,2)</f>
        <v/>
      </c>
      <c r="K299" s="11">
        <f>ROUND(J299-F299,2)</f>
        <v/>
      </c>
    </row>
    <row r="300">
      <c r="A300" s="6" t="n">
        <v>2009</v>
      </c>
      <c r="B300" s="6" t="inlineStr">
        <is>
          <t>zinc</t>
        </is>
      </c>
      <c r="C300" s="6" t="n">
        <v>489766</v>
      </c>
      <c r="D300" s="6" t="n">
        <v>1720</v>
      </c>
      <c r="E300" s="6" t="n">
        <v>842397520</v>
      </c>
      <c r="F300" s="6" t="n">
        <v>12.89</v>
      </c>
      <c r="G300" s="6" t="inlineStr">
        <is>
          <t>si</t>
        </is>
      </c>
      <c r="H300" s="11">
        <f>C300*D300</f>
        <v/>
      </c>
      <c r="I300" s="11">
        <f>ROUND(H300-E300,0)</f>
        <v/>
      </c>
      <c r="J300" s="11">
        <f>ROUND(E300/SUMIFS($E$4:$E$313,$A$4:$A$313,A300)*100,2)</f>
        <v/>
      </c>
      <c r="K300" s="11">
        <f>ROUND(J300-F300,2)</f>
        <v/>
      </c>
    </row>
    <row r="301">
      <c r="A301" s="9" t="n">
        <v>2010</v>
      </c>
      <c r="B301" s="9" t="inlineStr">
        <is>
          <t>zinc</t>
        </is>
      </c>
      <c r="C301" s="9" t="n">
        <v>570000</v>
      </c>
      <c r="D301" s="9" t="n">
        <v>2250</v>
      </c>
      <c r="E301" s="9" t="n">
        <v>1282500000</v>
      </c>
      <c r="F301" s="9" t="n">
        <v>12.37</v>
      </c>
      <c r="G301" s="9" t="inlineStr">
        <is>
          <t>si</t>
        </is>
      </c>
      <c r="H301" s="11">
        <f>C301*D301</f>
        <v/>
      </c>
      <c r="I301" s="11">
        <f>ROUND(H301-E301,0)</f>
        <v/>
      </c>
      <c r="J301" s="11">
        <f>ROUND(E301/SUMIFS($E$4:$E$313,$A$4:$A$313,A301)*100,2)</f>
        <v/>
      </c>
      <c r="K301" s="11">
        <f>ROUND(J301-F301,2)</f>
        <v/>
      </c>
    </row>
    <row r="302">
      <c r="A302" s="6" t="n">
        <v>2011</v>
      </c>
      <c r="B302" s="6" t="inlineStr">
        <is>
          <t>zinc</t>
        </is>
      </c>
      <c r="C302" s="6" t="n">
        <v>631859</v>
      </c>
      <c r="D302" s="6" t="n">
        <v>2340</v>
      </c>
      <c r="E302" s="6" t="n">
        <v>1478550060</v>
      </c>
      <c r="F302" s="6" t="n">
        <v>8.92</v>
      </c>
      <c r="G302" s="6" t="inlineStr">
        <is>
          <t>si</t>
        </is>
      </c>
      <c r="H302" s="11">
        <f>C302*D302</f>
        <v/>
      </c>
      <c r="I302" s="11">
        <f>ROUND(H302-E302,0)</f>
        <v/>
      </c>
      <c r="J302" s="11">
        <f>ROUND(E302/SUMIFS($E$4:$E$313,$A$4:$A$313,A302)*100,2)</f>
        <v/>
      </c>
      <c r="K302" s="11">
        <f>ROUND(J302-F302,2)</f>
        <v/>
      </c>
    </row>
    <row r="303">
      <c r="A303" s="9" t="n">
        <v>2012</v>
      </c>
      <c r="B303" s="9" t="inlineStr">
        <is>
          <t>zinc</t>
        </is>
      </c>
      <c r="C303" s="9" t="n">
        <v>660349</v>
      </c>
      <c r="D303" s="9" t="n">
        <v>2110</v>
      </c>
      <c r="E303" s="9" t="n">
        <v>1393336390</v>
      </c>
      <c r="F303" s="9" t="n">
        <v>7.86</v>
      </c>
      <c r="G303" s="9" t="inlineStr">
        <is>
          <t>si</t>
        </is>
      </c>
      <c r="H303" s="11">
        <f>C303*D303</f>
        <v/>
      </c>
      <c r="I303" s="11">
        <f>ROUND(H303-E303,0)</f>
        <v/>
      </c>
      <c r="J303" s="11">
        <f>ROUND(E303/SUMIFS($E$4:$E$313,$A$4:$A$313,A303)*100,2)</f>
        <v/>
      </c>
      <c r="K303" s="11">
        <f>ROUND(J303-F303,2)</f>
        <v/>
      </c>
    </row>
    <row r="304">
      <c r="A304" s="6" t="n">
        <v>2013</v>
      </c>
      <c r="B304" s="6" t="inlineStr">
        <is>
          <t>zinc</t>
        </is>
      </c>
      <c r="C304" s="6" t="n">
        <v>642542</v>
      </c>
      <c r="D304" s="6" t="n">
        <v>2110</v>
      </c>
      <c r="E304" s="6" t="n">
        <v>1355763620</v>
      </c>
      <c r="F304" s="6" t="n">
        <v>8.369999999999999</v>
      </c>
      <c r="G304" s="6" t="inlineStr">
        <is>
          <t>si</t>
        </is>
      </c>
      <c r="H304" s="11">
        <f>C304*D304</f>
        <v/>
      </c>
      <c r="I304" s="11">
        <f>ROUND(H304-E304,0)</f>
        <v/>
      </c>
      <c r="J304" s="11">
        <f>ROUND(E304/SUMIFS($E$4:$E$313,$A$4:$A$313,A304)*100,2)</f>
        <v/>
      </c>
      <c r="K304" s="11">
        <f>ROUND(J304-F304,2)</f>
        <v/>
      </c>
    </row>
    <row r="305">
      <c r="A305" s="9" t="n">
        <v>2014</v>
      </c>
      <c r="B305" s="9" t="inlineStr">
        <is>
          <t>zinc</t>
        </is>
      </c>
      <c r="C305" s="9" t="n">
        <v>660000</v>
      </c>
      <c r="D305" s="9" t="n">
        <v>2360</v>
      </c>
      <c r="E305" s="9" t="n">
        <v>1557600000</v>
      </c>
      <c r="F305" s="9" t="n">
        <v>11.24</v>
      </c>
      <c r="G305" s="9" t="inlineStr">
        <is>
          <t>si</t>
        </is>
      </c>
      <c r="H305" s="11">
        <f>C305*D305</f>
        <v/>
      </c>
      <c r="I305" s="11">
        <f>ROUND(H305-E305,0)</f>
        <v/>
      </c>
      <c r="J305" s="11">
        <f>ROUND(E305/SUMIFS($E$4:$E$313,$A$4:$A$313,A305)*100,2)</f>
        <v/>
      </c>
      <c r="K305" s="11">
        <f>ROUND(J305-F305,2)</f>
        <v/>
      </c>
    </row>
    <row r="306">
      <c r="A306" s="6" t="n">
        <v>2015</v>
      </c>
      <c r="B306" s="6" t="inlineStr">
        <is>
          <t>zinc</t>
        </is>
      </c>
      <c r="C306" s="6" t="n">
        <v>786774</v>
      </c>
      <c r="D306" s="6" t="n">
        <v>2110</v>
      </c>
      <c r="E306" s="6" t="n">
        <v>1660093140</v>
      </c>
      <c r="F306" s="6" t="n">
        <v>11.77</v>
      </c>
      <c r="G306" s="6" t="inlineStr">
        <is>
          <t>si</t>
        </is>
      </c>
      <c r="H306" s="11">
        <f>C306*D306</f>
        <v/>
      </c>
      <c r="I306" s="11">
        <f>ROUND(H306-E306,0)</f>
        <v/>
      </c>
      <c r="J306" s="11">
        <f>ROUND(E306/SUMIFS($E$4:$E$313,$A$4:$A$313,A306)*100,2)</f>
        <v/>
      </c>
      <c r="K306" s="11">
        <f>ROUND(J306-F306,2)</f>
        <v/>
      </c>
    </row>
    <row r="307">
      <c r="A307" s="9" t="n">
        <v>2016</v>
      </c>
      <c r="B307" s="9" t="inlineStr">
        <is>
          <t>zinc</t>
        </is>
      </c>
      <c r="C307" s="9" t="n">
        <v>661188</v>
      </c>
      <c r="D307" s="9" t="n">
        <v>2240</v>
      </c>
      <c r="E307" s="9" t="n">
        <v>1481061120</v>
      </c>
      <c r="F307" s="9" t="n">
        <v>10.17</v>
      </c>
      <c r="G307" s="9" t="inlineStr">
        <is>
          <t>si</t>
        </is>
      </c>
      <c r="H307" s="11">
        <f>C307*D307</f>
        <v/>
      </c>
      <c r="I307" s="11">
        <f>ROUND(H307-E307,0)</f>
        <v/>
      </c>
      <c r="J307" s="11">
        <f>ROUND(E307/SUMIFS($E$4:$E$313,$A$4:$A$313,A307)*100,2)</f>
        <v/>
      </c>
      <c r="K307" s="11">
        <f>ROUND(J307-F307,2)</f>
        <v/>
      </c>
    </row>
    <row r="308">
      <c r="A308" s="6" t="n">
        <v>2017</v>
      </c>
      <c r="B308" s="6" t="inlineStr">
        <is>
          <t>zinc</t>
        </is>
      </c>
      <c r="C308" s="6" t="n">
        <v>671444</v>
      </c>
      <c r="D308" s="6" t="n">
        <v>3070</v>
      </c>
      <c r="E308" s="6" t="n">
        <v>2061333080</v>
      </c>
      <c r="F308" s="6" t="n">
        <v>12.63</v>
      </c>
      <c r="G308" s="6" t="inlineStr">
        <is>
          <t>si</t>
        </is>
      </c>
      <c r="H308" s="11">
        <f>C308*D308</f>
        <v/>
      </c>
      <c r="I308" s="11">
        <f>ROUND(H308-E308,0)</f>
        <v/>
      </c>
      <c r="J308" s="11">
        <f>ROUND(E308/SUMIFS($E$4:$E$313,$A$4:$A$313,A308)*100,2)</f>
        <v/>
      </c>
      <c r="K308" s="11">
        <f>ROUND(J308-F308,2)</f>
        <v/>
      </c>
    </row>
    <row r="309">
      <c r="A309" s="9" t="n">
        <v>2018</v>
      </c>
      <c r="B309" s="9" t="inlineStr">
        <is>
          <t>zinc</t>
        </is>
      </c>
      <c r="C309" s="9" t="n">
        <v>690895</v>
      </c>
      <c r="D309" s="9" t="n">
        <v>3110</v>
      </c>
      <c r="E309" s="9" t="n">
        <v>2148683450</v>
      </c>
      <c r="F309" s="9" t="n">
        <v>13.11</v>
      </c>
      <c r="G309" s="9" t="inlineStr">
        <is>
          <t>si</t>
        </is>
      </c>
      <c r="H309" s="11">
        <f>C309*D309</f>
        <v/>
      </c>
      <c r="I309" s="11">
        <f>ROUND(H309-E309,0)</f>
        <v/>
      </c>
      <c r="J309" s="11">
        <f>ROUND(E309/SUMIFS($E$4:$E$313,$A$4:$A$313,A309)*100,2)</f>
        <v/>
      </c>
      <c r="K309" s="11">
        <f>ROUND(J309-F309,2)</f>
        <v/>
      </c>
    </row>
    <row r="310">
      <c r="A310" s="6" t="n">
        <v>2019</v>
      </c>
      <c r="B310" s="6" t="inlineStr">
        <is>
          <t>zinc</t>
        </is>
      </c>
      <c r="C310" s="6" t="n">
        <v>676677</v>
      </c>
      <c r="D310" s="6" t="n">
        <v>2740</v>
      </c>
      <c r="E310" s="6" t="n">
        <v>1854094980</v>
      </c>
      <c r="F310" s="6" t="n">
        <v>11.85</v>
      </c>
      <c r="G310" s="6" t="inlineStr">
        <is>
          <t>si</t>
        </is>
      </c>
      <c r="H310" s="11">
        <f>C310*D310</f>
        <v/>
      </c>
      <c r="I310" s="11">
        <f>ROUND(H310-E310,0)</f>
        <v/>
      </c>
      <c r="J310" s="11">
        <f>ROUND(E310/SUMIFS($E$4:$E$313,$A$4:$A$313,A310)*100,2)</f>
        <v/>
      </c>
      <c r="K310" s="11">
        <f>ROUND(J310-F310,2)</f>
        <v/>
      </c>
    </row>
    <row r="311">
      <c r="A311" s="9" t="n">
        <v>2020</v>
      </c>
      <c r="B311" s="9" t="inlineStr">
        <is>
          <t>zinc</t>
        </is>
      </c>
      <c r="C311" s="9" t="n">
        <v>688461</v>
      </c>
      <c r="D311" s="9" t="n">
        <v>2440</v>
      </c>
      <c r="E311" s="9" t="n">
        <v>1679844840</v>
      </c>
      <c r="F311" s="9" t="n">
        <v>9.9</v>
      </c>
      <c r="G311" s="9" t="inlineStr">
        <is>
          <t>si</t>
        </is>
      </c>
      <c r="H311" s="11">
        <f>C311*D311</f>
        <v/>
      </c>
      <c r="I311" s="11">
        <f>ROUND(H311-E311,0)</f>
        <v/>
      </c>
      <c r="J311" s="11">
        <f>ROUND(E311/SUMIFS($E$4:$E$313,$A$4:$A$313,A311)*100,2)</f>
        <v/>
      </c>
      <c r="K311" s="11">
        <f>ROUND(J311-F311,2)</f>
        <v/>
      </c>
    </row>
    <row r="312">
      <c r="A312" s="6" t="n">
        <v>2021</v>
      </c>
      <c r="B312" s="6" t="inlineStr">
        <is>
          <t>zinc</t>
        </is>
      </c>
      <c r="C312" s="6" t="n">
        <v>742926</v>
      </c>
      <c r="D312" s="6" t="n">
        <v>3220</v>
      </c>
      <c r="E312" s="6" t="n">
        <v>2392221720</v>
      </c>
      <c r="F312" s="6" t="n">
        <v>10.53</v>
      </c>
      <c r="G312" s="6" t="inlineStr">
        <is>
          <t>si</t>
        </is>
      </c>
      <c r="H312" s="11">
        <f>C312*D312</f>
        <v/>
      </c>
      <c r="I312" s="11">
        <f>ROUND(H312-E312,0)</f>
        <v/>
      </c>
      <c r="J312" s="11">
        <f>ROUND(E312/SUMIFS($E$4:$E$313,$A$4:$A$313,A312)*100,2)</f>
        <v/>
      </c>
      <c r="K312" s="11">
        <f>ROUND(J312-F312,2)</f>
        <v/>
      </c>
    </row>
    <row r="313">
      <c r="A313" s="9" t="n">
        <v>2022</v>
      </c>
      <c r="B313" s="9" t="inlineStr">
        <is>
          <t>zinc</t>
        </is>
      </c>
      <c r="C313" s="9" t="n">
        <v>744341</v>
      </c>
      <c r="D313" s="9" t="n">
        <v>4190</v>
      </c>
      <c r="E313" s="9" t="n">
        <v>3118788790</v>
      </c>
      <c r="F313" s="9" t="n">
        <v>13.65</v>
      </c>
      <c r="G313" s="9" t="inlineStr">
        <is>
          <t>si</t>
        </is>
      </c>
      <c r="H313" s="11">
        <f>C313*D313</f>
        <v/>
      </c>
      <c r="I313" s="11">
        <f>ROUND(H313-E313,0)</f>
        <v/>
      </c>
      <c r="J313" s="11">
        <f>ROUND(E313/SUMIFS($E$4:$E$313,$A$4:$A$313,A313)*100,2)</f>
        <v/>
      </c>
      <c r="K313" s="11">
        <f>ROUND(J313-F313,2)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6" customWidth="1" min="4" max="4"/>
  </cols>
  <sheetData>
    <row r="1" ht="24" customHeight="1">
      <c r="A1" s="1" t="inlineStr">
        <is>
          <t>Peso del bloque - exportaciones (1992-2024)</t>
        </is>
      </c>
    </row>
    <row r="2" ht="40" customHeight="1">
      <c r="A2" s="2" t="inlineStr">
        <is>
          <t>share_bloque = X_bloque / X_nacional x 100. Columna verde recomputa con formula de Excel y su diferencia. X_bloque de Comtrade; X_nacional del Banco Mundial (TX.VAL.MRCH.CD.WT, coincide con INEGI).</t>
        </is>
      </c>
    </row>
    <row r="3">
      <c r="A3" s="3" t="inlineStr">
        <is>
          <t>anio</t>
        </is>
      </c>
      <c r="B3" s="3" t="inlineStr">
        <is>
          <t>X_bloque_musd</t>
        </is>
      </c>
      <c r="C3" s="3" t="inlineStr">
        <is>
          <t>X_nacional_musd</t>
        </is>
      </c>
      <c r="D3" s="3" t="inlineStr">
        <is>
          <t>share_bloque_pct</t>
        </is>
      </c>
      <c r="E3" s="10" t="inlineStr">
        <is>
          <t>share (=formula) %</t>
        </is>
      </c>
      <c r="F3" s="10" t="inlineStr">
        <is>
          <t>dif</t>
        </is>
      </c>
    </row>
    <row r="4">
      <c r="A4" s="6" t="n">
        <v>1992</v>
      </c>
      <c r="B4" s="6" t="n">
        <v>1139.7</v>
      </c>
      <c r="C4" s="6" t="n">
        <v>46196</v>
      </c>
      <c r="D4" s="6" t="n">
        <v>2.467</v>
      </c>
      <c r="E4" s="11">
        <f>ROUND(B4/C4*100,2)</f>
        <v/>
      </c>
      <c r="F4" s="11">
        <f>ROUND(E4-D4,2)</f>
        <v/>
      </c>
    </row>
    <row r="5">
      <c r="A5" s="9" t="n">
        <v>1993</v>
      </c>
      <c r="B5" s="9" t="n">
        <v>1214.1</v>
      </c>
      <c r="C5" s="9" t="n">
        <v>51886</v>
      </c>
      <c r="D5" s="9" t="n">
        <v>2.34</v>
      </c>
      <c r="E5" s="11">
        <f>ROUND(B5/C5*100,2)</f>
        <v/>
      </c>
      <c r="F5" s="11">
        <f>ROUND(E5-D5,2)</f>
        <v/>
      </c>
    </row>
    <row r="6">
      <c r="A6" s="6" t="n">
        <v>1994</v>
      </c>
      <c r="B6" s="6" t="n">
        <v>1290.4</v>
      </c>
      <c r="C6" s="6" t="n">
        <v>60882</v>
      </c>
      <c r="D6" s="6" t="n">
        <v>2.12</v>
      </c>
      <c r="E6" s="11">
        <f>ROUND(B6/C6*100,2)</f>
        <v/>
      </c>
      <c r="F6" s="11">
        <f>ROUND(E6-D6,2)</f>
        <v/>
      </c>
    </row>
    <row r="7">
      <c r="A7" s="9" t="n">
        <v>1995</v>
      </c>
      <c r="B7" s="9" t="n">
        <v>1894.5</v>
      </c>
      <c r="C7" s="9" t="n">
        <v>79542</v>
      </c>
      <c r="D7" s="9" t="n">
        <v>2.382</v>
      </c>
      <c r="E7" s="11">
        <f>ROUND(B7/C7*100,2)</f>
        <v/>
      </c>
      <c r="F7" s="11">
        <f>ROUND(E7-D7,2)</f>
        <v/>
      </c>
    </row>
    <row r="8">
      <c r="A8" s="6" t="n">
        <v>1996</v>
      </c>
      <c r="B8" s="6" t="n">
        <v>1906.9</v>
      </c>
      <c r="C8" s="6" t="n">
        <v>96000</v>
      </c>
      <c r="D8" s="6" t="n">
        <v>1.986</v>
      </c>
      <c r="E8" s="11">
        <f>ROUND(B8/C8*100,2)</f>
        <v/>
      </c>
      <c r="F8" s="11">
        <f>ROUND(E8-D8,2)</f>
        <v/>
      </c>
    </row>
    <row r="9">
      <c r="A9" s="9" t="n">
        <v>1997</v>
      </c>
      <c r="B9" s="9" t="n">
        <v>2057.5</v>
      </c>
      <c r="C9" s="9" t="n">
        <v>110431</v>
      </c>
      <c r="D9" s="9" t="n">
        <v>1.863</v>
      </c>
      <c r="E9" s="11">
        <f>ROUND(B9/C9*100,2)</f>
        <v/>
      </c>
      <c r="F9" s="11">
        <f>ROUND(E9-D9,2)</f>
        <v/>
      </c>
    </row>
    <row r="10">
      <c r="A10" s="6" t="n">
        <v>1998</v>
      </c>
      <c r="B10" s="6" t="n">
        <v>2062.5</v>
      </c>
      <c r="C10" s="6" t="n">
        <v>117460</v>
      </c>
      <c r="D10" s="6" t="n">
        <v>1.756</v>
      </c>
      <c r="E10" s="11">
        <f>ROUND(B10/C10*100,2)</f>
        <v/>
      </c>
      <c r="F10" s="11">
        <f>ROUND(E10-D10,2)</f>
        <v/>
      </c>
    </row>
    <row r="11">
      <c r="A11" s="9" t="n">
        <v>1999</v>
      </c>
      <c r="B11" s="9" t="n">
        <v>1964.2</v>
      </c>
      <c r="C11" s="9" t="n">
        <v>136391</v>
      </c>
      <c r="D11" s="9" t="n">
        <v>1.44</v>
      </c>
      <c r="E11" s="11">
        <f>ROUND(B11/C11*100,2)</f>
        <v/>
      </c>
      <c r="F11" s="11">
        <f>ROUND(E11-D11,2)</f>
        <v/>
      </c>
    </row>
    <row r="12">
      <c r="A12" s="6" t="n">
        <v>2000</v>
      </c>
      <c r="B12" s="6" t="n">
        <v>2189.1</v>
      </c>
      <c r="C12" s="6" t="n">
        <v>166367</v>
      </c>
      <c r="D12" s="6" t="n">
        <v>1.316</v>
      </c>
      <c r="E12" s="11">
        <f>ROUND(B12/C12*100,2)</f>
        <v/>
      </c>
      <c r="F12" s="11">
        <f>ROUND(E12-D12,2)</f>
        <v/>
      </c>
    </row>
    <row r="13">
      <c r="A13" s="9" t="n">
        <v>2001</v>
      </c>
      <c r="B13" s="9" t="n">
        <v>1926.9</v>
      </c>
      <c r="C13" s="9" t="n">
        <v>158547</v>
      </c>
      <c r="D13" s="9" t="n">
        <v>1.215</v>
      </c>
      <c r="E13" s="11">
        <f>ROUND(B13/C13*100,2)</f>
        <v/>
      </c>
      <c r="F13" s="11">
        <f>ROUND(E13-D13,2)</f>
        <v/>
      </c>
    </row>
    <row r="14">
      <c r="A14" s="6" t="n">
        <v>2002</v>
      </c>
      <c r="B14" s="6" t="n">
        <v>1892.2</v>
      </c>
      <c r="C14" s="6" t="n">
        <v>160682</v>
      </c>
      <c r="D14" s="6" t="n">
        <v>1.178</v>
      </c>
      <c r="E14" s="11">
        <f>ROUND(B14/C14*100,2)</f>
        <v/>
      </c>
      <c r="F14" s="11">
        <f>ROUND(E14-D14,2)</f>
        <v/>
      </c>
    </row>
    <row r="15">
      <c r="A15" s="9" t="n">
        <v>2003</v>
      </c>
      <c r="B15" s="9" t="n">
        <v>1995.5</v>
      </c>
      <c r="C15" s="9" t="n">
        <v>165396</v>
      </c>
      <c r="D15" s="9" t="n">
        <v>1.206</v>
      </c>
      <c r="E15" s="11">
        <f>ROUND(B15/C15*100,2)</f>
        <v/>
      </c>
      <c r="F15" s="11">
        <f>ROUND(E15-D15,2)</f>
        <v/>
      </c>
    </row>
    <row r="16">
      <c r="A16" s="6" t="n">
        <v>2004</v>
      </c>
      <c r="B16" s="6" t="n">
        <v>2696.1</v>
      </c>
      <c r="C16" s="6" t="n">
        <v>187980</v>
      </c>
      <c r="D16" s="6" t="n">
        <v>1.434</v>
      </c>
      <c r="E16" s="11">
        <f>ROUND(B16/C16*100,2)</f>
        <v/>
      </c>
      <c r="F16" s="11">
        <f>ROUND(E16-D16,2)</f>
        <v/>
      </c>
    </row>
    <row r="17">
      <c r="A17" s="9" t="n">
        <v>2005</v>
      </c>
      <c r="B17" s="9" t="n">
        <v>3335.5</v>
      </c>
      <c r="C17" s="9" t="n">
        <v>214207</v>
      </c>
      <c r="D17" s="9" t="n">
        <v>1.557</v>
      </c>
      <c r="E17" s="11">
        <f>ROUND(B17/C17*100,2)</f>
        <v/>
      </c>
      <c r="F17" s="11">
        <f>ROUND(E17-D17,2)</f>
        <v/>
      </c>
    </row>
    <row r="18">
      <c r="A18" s="6" t="n">
        <v>2006</v>
      </c>
      <c r="B18" s="6" t="n">
        <v>5693.4</v>
      </c>
      <c r="C18" s="6" t="n">
        <v>249961</v>
      </c>
      <c r="D18" s="6" t="n">
        <v>2.278</v>
      </c>
      <c r="E18" s="11">
        <f>ROUND(B18/C18*100,2)</f>
        <v/>
      </c>
      <c r="F18" s="11">
        <f>ROUND(E18-D18,2)</f>
        <v/>
      </c>
    </row>
    <row r="19">
      <c r="A19" s="9" t="n">
        <v>2007</v>
      </c>
      <c r="B19" s="9" t="n">
        <v>7113.2</v>
      </c>
      <c r="C19" s="9" t="n">
        <v>271821</v>
      </c>
      <c r="D19" s="9" t="n">
        <v>2.617</v>
      </c>
      <c r="E19" s="11">
        <f>ROUND(B19/C19*100,2)</f>
        <v/>
      </c>
      <c r="F19" s="11">
        <f>ROUND(E19-D19,2)</f>
        <v/>
      </c>
    </row>
    <row r="20">
      <c r="A20" s="6" t="n">
        <v>2008</v>
      </c>
      <c r="B20" s="6" t="n">
        <v>7952.2</v>
      </c>
      <c r="C20" s="6" t="n">
        <v>291265</v>
      </c>
      <c r="D20" s="6" t="n">
        <v>2.73</v>
      </c>
      <c r="E20" s="11">
        <f>ROUND(B20/C20*100,2)</f>
        <v/>
      </c>
      <c r="F20" s="11">
        <f>ROUND(E20-D20,2)</f>
        <v/>
      </c>
    </row>
    <row r="21">
      <c r="A21" s="9" t="n">
        <v>2009</v>
      </c>
      <c r="B21" s="9" t="n">
        <v>8542</v>
      </c>
      <c r="C21" s="9" t="n">
        <v>229712</v>
      </c>
      <c r="D21" s="9" t="n">
        <v>3.719</v>
      </c>
      <c r="E21" s="11">
        <f>ROUND(B21/C21*100,2)</f>
        <v/>
      </c>
      <c r="F21" s="11">
        <f>ROUND(E21-D21,2)</f>
        <v/>
      </c>
    </row>
    <row r="22">
      <c r="A22" s="6" t="n">
        <v>2010</v>
      </c>
      <c r="B22" s="6" t="n">
        <v>12943</v>
      </c>
      <c r="C22" s="6" t="n">
        <v>298305</v>
      </c>
      <c r="D22" s="6" t="n">
        <v>4.339</v>
      </c>
      <c r="E22" s="11">
        <f>ROUND(B22/C22*100,2)</f>
        <v/>
      </c>
      <c r="F22" s="11">
        <f>ROUND(E22-D22,2)</f>
        <v/>
      </c>
    </row>
    <row r="23">
      <c r="A23" s="9" t="n">
        <v>2011</v>
      </c>
      <c r="B23" s="9" t="n">
        <v>19290</v>
      </c>
      <c r="C23" s="9" t="n">
        <v>349569</v>
      </c>
      <c r="D23" s="9" t="n">
        <v>5.518</v>
      </c>
      <c r="E23" s="11">
        <f>ROUND(B23/C23*100,2)</f>
        <v/>
      </c>
      <c r="F23" s="11">
        <f>ROUND(E23-D23,2)</f>
        <v/>
      </c>
    </row>
    <row r="24">
      <c r="A24" s="6" t="n">
        <v>2012</v>
      </c>
      <c r="B24" s="6" t="n">
        <v>19632.6</v>
      </c>
      <c r="C24" s="6" t="n">
        <v>370770</v>
      </c>
      <c r="D24" s="6" t="n">
        <v>5.295</v>
      </c>
      <c r="E24" s="11">
        <f>ROUND(B24/C24*100,2)</f>
        <v/>
      </c>
      <c r="F24" s="11">
        <f>ROUND(E24-D24,2)</f>
        <v/>
      </c>
    </row>
    <row r="25">
      <c r="A25" s="9" t="n">
        <v>2013</v>
      </c>
      <c r="B25" s="9" t="n">
        <v>15348.9</v>
      </c>
      <c r="C25" s="9" t="n">
        <v>380015</v>
      </c>
      <c r="D25" s="9" t="n">
        <v>4.039</v>
      </c>
      <c r="E25" s="11">
        <f>ROUND(B25/C25*100,2)</f>
        <v/>
      </c>
      <c r="F25" s="11">
        <f>ROUND(E25-D25,2)</f>
        <v/>
      </c>
    </row>
    <row r="26">
      <c r="A26" s="6" t="n">
        <v>2014</v>
      </c>
      <c r="B26" s="6" t="n">
        <v>11314.9</v>
      </c>
      <c r="C26" s="6" t="n">
        <v>396912</v>
      </c>
      <c r="D26" s="6" t="n">
        <v>2.851</v>
      </c>
      <c r="E26" s="11">
        <f>ROUND(B26/C26*100,2)</f>
        <v/>
      </c>
      <c r="F26" s="11">
        <f>ROUND(E26-D26,2)</f>
        <v/>
      </c>
    </row>
    <row r="27">
      <c r="A27" s="9" t="n">
        <v>2015</v>
      </c>
      <c r="B27" s="9" t="n">
        <v>9903.1</v>
      </c>
      <c r="C27" s="9" t="n">
        <v>380550</v>
      </c>
      <c r="D27" s="9" t="n">
        <v>2.602</v>
      </c>
      <c r="E27" s="11">
        <f>ROUND(B27/C27*100,2)</f>
        <v/>
      </c>
      <c r="F27" s="11">
        <f>ROUND(E27-D27,2)</f>
        <v/>
      </c>
    </row>
    <row r="28">
      <c r="A28" s="6" t="n">
        <v>2016</v>
      </c>
      <c r="B28" s="6" t="n">
        <v>10550.9</v>
      </c>
      <c r="C28" s="6" t="n">
        <v>373948</v>
      </c>
      <c r="D28" s="6" t="n">
        <v>2.821</v>
      </c>
      <c r="E28" s="11">
        <f>ROUND(B28/C28*100,2)</f>
        <v/>
      </c>
      <c r="F28" s="11">
        <f>ROUND(E28-D28,2)</f>
        <v/>
      </c>
    </row>
    <row r="29">
      <c r="A29" s="9" t="n">
        <v>2017</v>
      </c>
      <c r="B29" s="9" t="n">
        <v>11180.1</v>
      </c>
      <c r="C29" s="9" t="n">
        <v>409433</v>
      </c>
      <c r="D29" s="9" t="n">
        <v>2.731</v>
      </c>
      <c r="E29" s="11">
        <f>ROUND(B29/C29*100,2)</f>
        <v/>
      </c>
      <c r="F29" s="11">
        <f>ROUND(E29-D29,2)</f>
        <v/>
      </c>
    </row>
    <row r="30">
      <c r="A30" s="6" t="n">
        <v>2018</v>
      </c>
      <c r="B30" s="6" t="n">
        <v>11938.7</v>
      </c>
      <c r="C30" s="6" t="n">
        <v>450713</v>
      </c>
      <c r="D30" s="6" t="n">
        <v>2.649</v>
      </c>
      <c r="E30" s="11">
        <f>ROUND(B30/C30*100,2)</f>
        <v/>
      </c>
      <c r="F30" s="11">
        <f>ROUND(E30-D30,2)</f>
        <v/>
      </c>
    </row>
    <row r="31">
      <c r="A31" s="9" t="n">
        <v>2019</v>
      </c>
      <c r="B31" s="9" t="n">
        <v>11939.9</v>
      </c>
      <c r="C31" s="9" t="n">
        <v>460604</v>
      </c>
      <c r="D31" s="9" t="n">
        <v>2.592</v>
      </c>
      <c r="E31" s="11">
        <f>ROUND(B31/C31*100,2)</f>
        <v/>
      </c>
      <c r="F31" s="11">
        <f>ROUND(E31-D31,2)</f>
        <v/>
      </c>
    </row>
    <row r="32">
      <c r="A32" s="6" t="n">
        <v>2020</v>
      </c>
      <c r="B32" s="6" t="n">
        <v>13623.2</v>
      </c>
      <c r="C32" s="6" t="n">
        <v>417171</v>
      </c>
      <c r="D32" s="6" t="n">
        <v>3.266</v>
      </c>
      <c r="E32" s="11">
        <f>ROUND(B32/C32*100,2)</f>
        <v/>
      </c>
      <c r="F32" s="11">
        <f>ROUND(E32-D32,2)</f>
        <v/>
      </c>
    </row>
    <row r="33">
      <c r="A33" s="9" t="n">
        <v>2021</v>
      </c>
      <c r="B33" s="9" t="n">
        <v>13298</v>
      </c>
      <c r="C33" s="9" t="n">
        <v>494949</v>
      </c>
      <c r="D33" s="9" t="n">
        <v>2.687</v>
      </c>
      <c r="E33" s="11">
        <f>ROUND(B33/C33*100,2)</f>
        <v/>
      </c>
      <c r="F33" s="11">
        <f>ROUND(E33-D33,2)</f>
        <v/>
      </c>
    </row>
    <row r="34">
      <c r="A34" s="6" t="n">
        <v>2022</v>
      </c>
      <c r="B34" s="6" t="n">
        <v>12657.7</v>
      </c>
      <c r="C34" s="6" t="n">
        <v>577697</v>
      </c>
      <c r="D34" s="6" t="n">
        <v>2.191</v>
      </c>
      <c r="E34" s="11">
        <f>ROUND(B34/C34*100,2)</f>
        <v/>
      </c>
      <c r="F34" s="11">
        <f>ROUND(E34-D34,2)</f>
        <v/>
      </c>
    </row>
    <row r="35">
      <c r="A35" s="9" t="n">
        <v>2023</v>
      </c>
      <c r="B35" s="9" t="n">
        <v>13096.7</v>
      </c>
      <c r="C35" s="9" t="n">
        <v>593001</v>
      </c>
      <c r="D35" s="9" t="n">
        <v>2.209</v>
      </c>
      <c r="E35" s="11">
        <f>ROUND(B35/C35*100,2)</f>
        <v/>
      </c>
      <c r="F35" s="11">
        <f>ROUND(E35-D35,2)</f>
        <v/>
      </c>
    </row>
    <row r="36">
      <c r="A36" s="6" t="n">
        <v>2024</v>
      </c>
      <c r="B36" s="6" t="n">
        <v>13725.7</v>
      </c>
      <c r="C36" s="6" t="n">
        <v>617677</v>
      </c>
      <c r="D36" s="6" t="n">
        <v>2.222</v>
      </c>
      <c r="E36" s="11">
        <f>ROUND(B36/C36*100,2)</f>
        <v/>
      </c>
      <c r="F36" s="11">
        <f>ROUND(E36-D36,2)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20" customWidth="1" min="4" max="4"/>
    <col width="13" customWidth="1" min="5" max="5"/>
    <col width="13" customWidth="1" min="6" max="6"/>
    <col width="12" customWidth="1" min="7" max="7"/>
    <col width="11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8" customWidth="1" min="14" max="14"/>
  </cols>
  <sheetData>
    <row r="1" ht="24" customHeight="1">
      <c r="A1" s="1" t="inlineStr">
        <is>
          <t>Peso del bloque - PIB, VBP y empleo (MIP 2013 / 2018)</t>
        </is>
      </c>
    </row>
    <row r="2" ht="40" customHeight="1">
      <c r="A2" s="2" t="inlineStr">
        <is>
          <t>Filas 'mineral' = cada mineral; 'BLOQUE_10' = suma; 'referencia' = TOTAL_economia / mineria_212 / mineria_21. pct_pib_economia = pib_mmp / PIB_total x 100 (columna verde recomputa contra la fila de referencia del mismo anio).</t>
        </is>
      </c>
    </row>
    <row r="3">
      <c r="A3" s="3" t="inlineStr">
        <is>
          <t>anio</t>
        </is>
      </c>
      <c r="B3" s="3" t="inlineStr">
        <is>
          <t>nivel</t>
        </is>
      </c>
      <c r="C3" s="3" t="inlineStr">
        <is>
          <t>codigo</t>
        </is>
      </c>
      <c r="D3" s="3" t="inlineStr">
        <is>
          <t>mineral</t>
        </is>
      </c>
      <c r="E3" s="3" t="inlineStr">
        <is>
          <t>pib_mmp</t>
        </is>
      </c>
      <c r="F3" s="3" t="inlineStr">
        <is>
          <t>vbp_mmp</t>
        </is>
      </c>
      <c r="G3" s="3" t="inlineStr">
        <is>
          <t>pt_empleos</t>
        </is>
      </c>
      <c r="H3" s="3" t="inlineStr">
        <is>
          <t>remun_mmp</t>
        </is>
      </c>
      <c r="I3" s="3" t="inlineStr">
        <is>
          <t>pct_pib_economia</t>
        </is>
      </c>
      <c r="J3" s="3" t="inlineStr">
        <is>
          <t>pct_pib_mineria212</t>
        </is>
      </c>
      <c r="K3" s="3" t="inlineStr">
        <is>
          <t>pct_vbp_economia</t>
        </is>
      </c>
      <c r="L3" s="3" t="inlineStr">
        <is>
          <t>pct_vbp_mineria212</t>
        </is>
      </c>
      <c r="M3" s="3" t="inlineStr">
        <is>
          <t>pct_empleo_economia</t>
        </is>
      </c>
      <c r="N3" s="3" t="inlineStr">
        <is>
          <t>pct_empleo_mineria212</t>
        </is>
      </c>
      <c r="O3" s="10" t="inlineStr">
        <is>
          <t>pct_pib_economia (=formula)</t>
        </is>
      </c>
      <c r="P3" s="10" t="inlineStr">
        <is>
          <t>dif</t>
        </is>
      </c>
    </row>
    <row r="4">
      <c r="A4" s="6" t="n">
        <v>2013</v>
      </c>
      <c r="B4" s="6" t="inlineStr">
        <is>
          <t>mineral</t>
        </is>
      </c>
      <c r="C4" s="6" t="n">
        <v>212393</v>
      </c>
      <c r="D4" s="6" t="inlineStr">
        <is>
          <t>barita</t>
        </is>
      </c>
      <c r="E4" s="6" t="n">
        <v>222.8</v>
      </c>
      <c r="F4" s="6" t="n">
        <v>368.3</v>
      </c>
      <c r="G4" s="6" t="n">
        <v>1003</v>
      </c>
      <c r="H4" s="6" t="n">
        <v>125.1</v>
      </c>
      <c r="I4" s="6" t="n">
        <v>0.0014</v>
      </c>
      <c r="J4" s="6" t="n">
        <v>0.132</v>
      </c>
      <c r="K4" s="6" t="n">
        <v>0.0013</v>
      </c>
      <c r="L4" s="6" t="n">
        <v>0.139</v>
      </c>
      <c r="M4" s="6" t="n">
        <v>0.0017</v>
      </c>
      <c r="N4" s="6" t="n">
        <v>0.403</v>
      </c>
      <c r="O4" s="11">
        <f>IFERROR(ROUND(E4/SUMIFS($E$4:$E$29,$A$4:$A$29,A4,$D$4:$D$29,"TOTAL_economia")*100,4),"")</f>
        <v/>
      </c>
      <c r="P4" s="11">
        <f>IF(ISNUMBER(O4),ROUND(O4-I4,4),"")</f>
        <v/>
      </c>
    </row>
    <row r="5">
      <c r="A5" s="9" t="n">
        <v>2013</v>
      </c>
      <c r="B5" s="9" t="inlineStr">
        <is>
          <t>mineral</t>
        </is>
      </c>
      <c r="C5" s="9" t="n">
        <v>212231</v>
      </c>
      <c r="D5" s="9" t="inlineStr">
        <is>
          <t>cobre</t>
        </is>
      </c>
      <c r="E5" s="9" t="n">
        <v>28083.9</v>
      </c>
      <c r="F5" s="9" t="n">
        <v>39971.4</v>
      </c>
      <c r="G5" s="9" t="n">
        <v>12523</v>
      </c>
      <c r="H5" s="9" t="n">
        <v>1105.6</v>
      </c>
      <c r="I5" s="9" t="n">
        <v>0.1794</v>
      </c>
      <c r="J5" s="9" t="n">
        <v>16.697</v>
      </c>
      <c r="K5" s="9" t="n">
        <v>0.1446</v>
      </c>
      <c r="L5" s="9" t="n">
        <v>15.135</v>
      </c>
      <c r="M5" s="9" t="n">
        <v>0.0218</v>
      </c>
      <c r="N5" s="9" t="n">
        <v>5.031</v>
      </c>
      <c r="O5" s="11">
        <f>IFERROR(ROUND(E5/SUMIFS($E$4:$E$29,$A$4:$A$29,A5,$D$4:$D$29,"TOTAL_economia")*100,4),"")</f>
        <v/>
      </c>
      <c r="P5" s="11">
        <f>IF(ISNUMBER(O5),ROUND(O5-I5,4),"")</f>
        <v/>
      </c>
    </row>
    <row r="6">
      <c r="A6" s="6" t="n">
        <v>2013</v>
      </c>
      <c r="B6" s="6" t="inlineStr">
        <is>
          <t>mineral</t>
        </is>
      </c>
      <c r="C6" s="6" t="n">
        <v>212395</v>
      </c>
      <c r="D6" s="6" t="inlineStr">
        <is>
          <t>fluorita</t>
        </is>
      </c>
      <c r="E6" s="6" t="n">
        <v>1562.8</v>
      </c>
      <c r="F6" s="6" t="n">
        <v>2218.2</v>
      </c>
      <c r="G6" s="6" t="n">
        <v>1713</v>
      </c>
      <c r="H6" s="6" t="n">
        <v>208.2</v>
      </c>
      <c r="I6" s="6" t="n">
        <v>0.01</v>
      </c>
      <c r="J6" s="6" t="n">
        <v>0.929</v>
      </c>
      <c r="K6" s="6" t="n">
        <v>0.008</v>
      </c>
      <c r="L6" s="6" t="n">
        <v>0.84</v>
      </c>
      <c r="M6" s="6" t="n">
        <v>0.003</v>
      </c>
      <c r="N6" s="6" t="n">
        <v>0.6879999999999999</v>
      </c>
      <c r="O6" s="11">
        <f>IFERROR(ROUND(E6/SUMIFS($E$4:$E$29,$A$4:$A$29,A6,$D$4:$D$29,"TOTAL_economia")*100,4),"")</f>
        <v/>
      </c>
      <c r="P6" s="11">
        <f>IF(ISNUMBER(O6),ROUND(O6-I6,4),"")</f>
        <v/>
      </c>
    </row>
    <row r="7">
      <c r="A7" s="9" t="n">
        <v>2013</v>
      </c>
      <c r="B7" s="9" t="inlineStr">
        <is>
          <t>mineral</t>
        </is>
      </c>
      <c r="C7" s="9" t="n">
        <v>212396</v>
      </c>
      <c r="D7" s="9" t="inlineStr">
        <is>
          <t>grafito</t>
        </is>
      </c>
      <c r="E7" s="9" t="n">
        <v>123.7</v>
      </c>
      <c r="F7" s="9" t="n">
        <v>164.1</v>
      </c>
      <c r="G7" s="9" t="n">
        <v>229</v>
      </c>
      <c r="H7" s="9" t="n">
        <v>31</v>
      </c>
      <c r="I7" s="9" t="n">
        <v>0.0008</v>
      </c>
      <c r="J7" s="9" t="n">
        <v>0.074</v>
      </c>
      <c r="K7" s="9" t="n">
        <v>0.0005999999999999999</v>
      </c>
      <c r="L7" s="9" t="n">
        <v>0.062</v>
      </c>
      <c r="M7" s="9" t="n">
        <v>0.0004</v>
      </c>
      <c r="N7" s="9" t="n">
        <v>0.092</v>
      </c>
      <c r="O7" s="11">
        <f>IFERROR(ROUND(E7/SUMIFS($E$4:$E$29,$A$4:$A$29,A7,$D$4:$D$29,"TOTAL_economia")*100,4),"")</f>
        <v/>
      </c>
      <c r="P7" s="11">
        <f>IF(ISNUMBER(O7),ROUND(O7-I7,4),"")</f>
        <v/>
      </c>
    </row>
    <row r="8">
      <c r="A8" s="6" t="n">
        <v>2013</v>
      </c>
      <c r="B8" s="6" t="inlineStr">
        <is>
          <t>mineral</t>
        </is>
      </c>
      <c r="C8" s="6" t="n">
        <v>212291</v>
      </c>
      <c r="D8" s="6" t="inlineStr">
        <is>
          <t>manganeso</t>
        </is>
      </c>
      <c r="E8" s="6" t="n">
        <v>373.9</v>
      </c>
      <c r="F8" s="6" t="n">
        <v>486</v>
      </c>
      <c r="G8" s="6" t="n">
        <v>672</v>
      </c>
      <c r="H8" s="6" t="n">
        <v>107.5</v>
      </c>
      <c r="I8" s="6" t="n">
        <v>0.0024</v>
      </c>
      <c r="J8" s="6" t="n">
        <v>0.222</v>
      </c>
      <c r="K8" s="6" t="n">
        <v>0.0018</v>
      </c>
      <c r="L8" s="6" t="n">
        <v>0.184</v>
      </c>
      <c r="M8" s="6" t="n">
        <v>0.0012</v>
      </c>
      <c r="N8" s="6" t="n">
        <v>0.27</v>
      </c>
      <c r="O8" s="11">
        <f>IFERROR(ROUND(E8/SUMIFS($E$4:$E$29,$A$4:$A$29,A8,$D$4:$D$29,"TOTAL_economia")*100,4),"")</f>
        <v/>
      </c>
      <c r="P8" s="11">
        <f>IF(ISNUMBER(O8),ROUND(O8-I8,4),"")</f>
        <v/>
      </c>
    </row>
    <row r="9">
      <c r="A9" s="9" t="n">
        <v>2013</v>
      </c>
      <c r="B9" s="9" t="inlineStr">
        <is>
          <t>mineral</t>
        </is>
      </c>
      <c r="C9" s="9" t="n">
        <v>212221</v>
      </c>
      <c r="D9" s="9" t="inlineStr">
        <is>
          <t>oro</t>
        </is>
      </c>
      <c r="E9" s="9" t="n">
        <v>32499</v>
      </c>
      <c r="F9" s="9" t="n">
        <v>49607.2</v>
      </c>
      <c r="G9" s="9" t="n">
        <v>12310</v>
      </c>
      <c r="H9" s="9" t="n">
        <v>169.2</v>
      </c>
      <c r="I9" s="9" t="n">
        <v>0.2076</v>
      </c>
      <c r="J9" s="9" t="n">
        <v>19.321</v>
      </c>
      <c r="K9" s="9" t="n">
        <v>0.1795</v>
      </c>
      <c r="L9" s="9" t="n">
        <v>18.783</v>
      </c>
      <c r="M9" s="9" t="n">
        <v>0.0214</v>
      </c>
      <c r="N9" s="9" t="n">
        <v>4.946</v>
      </c>
      <c r="O9" s="11">
        <f>IFERROR(ROUND(E9/SUMIFS($E$4:$E$29,$A$4:$A$29,A9,$D$4:$D$29,"TOTAL_economia")*100,4),"")</f>
        <v/>
      </c>
      <c r="P9" s="11">
        <f>IF(ISNUMBER(O9),ROUND(O9-I9,4),"")</f>
        <v/>
      </c>
    </row>
    <row r="10">
      <c r="A10" s="6" t="n">
        <v>2013</v>
      </c>
      <c r="B10" s="6" t="inlineStr">
        <is>
          <t>mineral</t>
        </is>
      </c>
      <c r="C10" s="6" t="n">
        <v>212222</v>
      </c>
      <c r="D10" s="6" t="inlineStr">
        <is>
          <t>plata</t>
        </is>
      </c>
      <c r="E10" s="6" t="n">
        <v>29754.2</v>
      </c>
      <c r="F10" s="6" t="n">
        <v>44680.4</v>
      </c>
      <c r="G10" s="6" t="n">
        <v>17983</v>
      </c>
      <c r="H10" s="6" t="n">
        <v>1614.3</v>
      </c>
      <c r="I10" s="6" t="n">
        <v>0.1901</v>
      </c>
      <c r="J10" s="6" t="n">
        <v>17.69</v>
      </c>
      <c r="K10" s="6" t="n">
        <v>0.1616</v>
      </c>
      <c r="L10" s="6" t="n">
        <v>16.918</v>
      </c>
      <c r="M10" s="6" t="n">
        <v>0.0313</v>
      </c>
      <c r="N10" s="6" t="n">
        <v>7.225</v>
      </c>
      <c r="O10" s="11">
        <f>IFERROR(ROUND(E10/SUMIFS($E$4:$E$29,$A$4:$A$29,A10,$D$4:$D$29,"TOTAL_economia")*100,4),"")</f>
        <v/>
      </c>
      <c r="P10" s="11">
        <f>IF(ISNUMBER(O10),ROUND(O10-I10,4),"")</f>
        <v/>
      </c>
    </row>
    <row r="11">
      <c r="A11" s="9" t="n">
        <v>2013</v>
      </c>
      <c r="B11" s="9" t="inlineStr">
        <is>
          <t>mineral</t>
        </is>
      </c>
      <c r="C11" s="9" t="n">
        <v>212232</v>
      </c>
      <c r="D11" s="9" t="inlineStr">
        <is>
          <t>plomo-zinc</t>
        </is>
      </c>
      <c r="E11" s="9" t="n">
        <v>13865.2</v>
      </c>
      <c r="F11" s="9" t="n">
        <v>20045.8</v>
      </c>
      <c r="G11" s="9" t="n">
        <v>10178</v>
      </c>
      <c r="H11" s="9" t="n">
        <v>1509.7</v>
      </c>
      <c r="I11" s="9" t="n">
        <v>0.0886</v>
      </c>
      <c r="J11" s="9" t="n">
        <v>8.243</v>
      </c>
      <c r="K11" s="9" t="n">
        <v>0.0725</v>
      </c>
      <c r="L11" s="9" t="n">
        <v>7.59</v>
      </c>
      <c r="M11" s="9" t="n">
        <v>0.0177</v>
      </c>
      <c r="N11" s="9" t="n">
        <v>4.089</v>
      </c>
      <c r="O11" s="11">
        <f>IFERROR(ROUND(E11/SUMIFS($E$4:$E$29,$A$4:$A$29,A11,$D$4:$D$29,"TOTAL_economia")*100,4),"")</f>
        <v/>
      </c>
      <c r="P11" s="11">
        <f>IF(ISNUMBER(O11),ROUND(O11-I11,4),"")</f>
        <v/>
      </c>
    </row>
    <row r="12">
      <c r="A12" s="6" t="n">
        <v>2013</v>
      </c>
      <c r="B12" s="6" t="inlineStr">
        <is>
          <t>mineral</t>
        </is>
      </c>
      <c r="C12" s="6" t="n">
        <v>212324</v>
      </c>
      <c r="D12" s="6" t="inlineStr">
        <is>
          <t>silice</t>
        </is>
      </c>
      <c r="E12" s="6" t="n">
        <v>3154.1</v>
      </c>
      <c r="F12" s="6" t="n">
        <v>4898.3</v>
      </c>
      <c r="G12" s="6" t="n">
        <v>2863</v>
      </c>
      <c r="H12" s="6" t="n">
        <v>391</v>
      </c>
      <c r="I12" s="6" t="n">
        <v>0.0202</v>
      </c>
      <c r="J12" s="6" t="n">
        <v>1.875</v>
      </c>
      <c r="K12" s="6" t="n">
        <v>0.0177</v>
      </c>
      <c r="L12" s="6" t="n">
        <v>1.855</v>
      </c>
      <c r="M12" s="6" t="n">
        <v>0.005</v>
      </c>
      <c r="N12" s="6" t="n">
        <v>1.15</v>
      </c>
      <c r="O12" s="11">
        <f>IFERROR(ROUND(E12/SUMIFS($E$4:$E$29,$A$4:$A$29,A12,$D$4:$D$29,"TOTAL_economia")*100,4),"")</f>
        <v/>
      </c>
      <c r="P12" s="11">
        <f>IF(ISNUMBER(O12),ROUND(O12-I12,4),"")</f>
        <v/>
      </c>
    </row>
    <row r="13">
      <c r="A13" s="9" t="n">
        <v>2013</v>
      </c>
      <c r="B13" s="9" t="inlineStr">
        <is>
          <t>BLOQUE_10</t>
        </is>
      </c>
      <c r="C13" s="9" t="n"/>
      <c r="D13" s="9" t="inlineStr">
        <is>
          <t>bloque 10 minerales</t>
        </is>
      </c>
      <c r="E13" s="9" t="n">
        <v>109639.6</v>
      </c>
      <c r="F13" s="9" t="n">
        <v>162439.8</v>
      </c>
      <c r="G13" s="9" t="n">
        <v>59474</v>
      </c>
      <c r="H13" s="9" t="n">
        <v>5261.6</v>
      </c>
      <c r="I13" s="9" t="n">
        <v>0.7005</v>
      </c>
      <c r="J13" s="9" t="n">
        <v>65.18300000000001</v>
      </c>
      <c r="K13" s="9" t="n">
        <v>0.5876</v>
      </c>
      <c r="L13" s="9" t="n">
        <v>61.506</v>
      </c>
      <c r="M13" s="9" t="n">
        <v>0.1035</v>
      </c>
      <c r="N13" s="9" t="n">
        <v>23.894</v>
      </c>
      <c r="O13" s="11">
        <f>IFERROR(ROUND(E13/SUMIFS($E$4:$E$29,$A$4:$A$29,A13,$D$4:$D$29,"TOTAL_economia")*100,4),"")</f>
        <v/>
      </c>
      <c r="P13" s="11">
        <f>IF(ISNUMBER(O13),ROUND(O13-I13,4),"")</f>
        <v/>
      </c>
    </row>
    <row r="14">
      <c r="A14" s="6" t="n">
        <v>2013</v>
      </c>
      <c r="B14" s="6" t="inlineStr">
        <is>
          <t>referencia</t>
        </is>
      </c>
      <c r="C14" s="6" t="n"/>
      <c r="D14" s="6" t="inlineStr">
        <is>
          <t>TOTAL_economia</t>
        </is>
      </c>
      <c r="E14" s="6" t="n">
        <v>15652078.6</v>
      </c>
      <c r="F14" s="6" t="n">
        <v>27642648</v>
      </c>
      <c r="G14" s="6" t="n">
        <v>57465990</v>
      </c>
      <c r="H14" s="6" t="n"/>
      <c r="I14" s="6" t="n">
        <v>100</v>
      </c>
      <c r="J14" s="6" t="n"/>
      <c r="K14" s="6" t="n">
        <v>100</v>
      </c>
      <c r="L14" s="6" t="n"/>
      <c r="M14" s="6" t="n">
        <v>100</v>
      </c>
      <c r="N14" s="6" t="n"/>
      <c r="O14" s="11">
        <f>IFERROR(ROUND(E14/SUMIFS($E$4:$E$29,$A$4:$A$29,A14,$D$4:$D$29,"TOTAL_economia")*100,4),"")</f>
        <v/>
      </c>
      <c r="P14" s="11">
        <f>IF(ISNUMBER(O14),ROUND(O14-I14,4),"")</f>
        <v/>
      </c>
    </row>
    <row r="15">
      <c r="A15" s="9" t="n">
        <v>2013</v>
      </c>
      <c r="B15" s="9" t="inlineStr">
        <is>
          <t>referencia</t>
        </is>
      </c>
      <c r="C15" s="9" t="n"/>
      <c r="D15" s="9" t="inlineStr">
        <is>
          <t>mineria_212</t>
        </is>
      </c>
      <c r="E15" s="9" t="n">
        <v>168202.3</v>
      </c>
      <c r="F15" s="9" t="n">
        <v>264101.8</v>
      </c>
      <c r="G15" s="9" t="n">
        <v>248908</v>
      </c>
      <c r="H15" s="9" t="n"/>
      <c r="I15" s="9" t="n">
        <v>1.075</v>
      </c>
      <c r="J15" s="9" t="n"/>
      <c r="K15" s="9" t="n">
        <v>0.955</v>
      </c>
      <c r="L15" s="9" t="n"/>
      <c r="M15" s="9" t="n">
        <v>0.433</v>
      </c>
      <c r="N15" s="9" t="n"/>
      <c r="O15" s="11">
        <f>IFERROR(ROUND(E15/SUMIFS($E$4:$E$29,$A$4:$A$29,A15,$D$4:$D$29,"TOTAL_economia")*100,4),"")</f>
        <v/>
      </c>
      <c r="P15" s="11">
        <f>IF(ISNUMBER(O15),ROUND(O15-I15,4),"")</f>
        <v/>
      </c>
    </row>
    <row r="16">
      <c r="A16" s="6" t="n">
        <v>2013</v>
      </c>
      <c r="B16" s="6" t="inlineStr">
        <is>
          <t>referencia</t>
        </is>
      </c>
      <c r="C16" s="6" t="n"/>
      <c r="D16" s="6" t="inlineStr">
        <is>
          <t>mineria_21</t>
        </is>
      </c>
      <c r="E16" s="6" t="n">
        <v>1147243.6</v>
      </c>
      <c r="F16" s="6" t="n">
        <v>1463213.4</v>
      </c>
      <c r="G16" s="6" t="n">
        <v>0</v>
      </c>
      <c r="H16" s="6" t="n"/>
      <c r="I16" s="6" t="n">
        <v>7.33</v>
      </c>
      <c r="J16" s="6" t="n"/>
      <c r="K16" s="6" t="n">
        <v>5.293</v>
      </c>
      <c r="L16" s="6" t="n"/>
      <c r="M16" s="6" t="n">
        <v>0</v>
      </c>
      <c r="N16" s="6" t="n"/>
      <c r="O16" s="11">
        <f>IFERROR(ROUND(E16/SUMIFS($E$4:$E$29,$A$4:$A$29,A16,$D$4:$D$29,"TOTAL_economia")*100,4),"")</f>
        <v/>
      </c>
      <c r="P16" s="11">
        <f>IF(ISNUMBER(O16),ROUND(O16-I16,4),"")</f>
        <v/>
      </c>
    </row>
    <row r="17">
      <c r="A17" s="9" t="n">
        <v>2018</v>
      </c>
      <c r="B17" s="9" t="inlineStr">
        <is>
          <t>mineral</t>
        </is>
      </c>
      <c r="C17" s="9" t="n">
        <v>212393</v>
      </c>
      <c r="D17" s="9" t="inlineStr">
        <is>
          <t>barita</t>
        </is>
      </c>
      <c r="E17" s="9" t="n">
        <v>452.4</v>
      </c>
      <c r="F17" s="9" t="n">
        <v>685.6</v>
      </c>
      <c r="G17" s="9" t="n">
        <v>1713</v>
      </c>
      <c r="H17" s="9" t="n">
        <v>228.5</v>
      </c>
      <c r="I17" s="9" t="n">
        <v>0.002</v>
      </c>
      <c r="J17" s="9" t="n">
        <v>0.169</v>
      </c>
      <c r="K17" s="9" t="n">
        <v>0.0016</v>
      </c>
      <c r="L17" s="9" t="n">
        <v>0.163</v>
      </c>
      <c r="M17" s="9" t="n">
        <v>0.0029</v>
      </c>
      <c r="N17" s="9" t="n">
        <v>0.864</v>
      </c>
      <c r="O17" s="11">
        <f>IFERROR(ROUND(E17/SUMIFS($E$4:$E$29,$A$4:$A$29,A17,$D$4:$D$29,"TOTAL_economia")*100,4),"")</f>
        <v/>
      </c>
      <c r="P17" s="11">
        <f>IF(ISNUMBER(O17),ROUND(O17-I17,4),"")</f>
        <v/>
      </c>
    </row>
    <row r="18">
      <c r="A18" s="6" t="n">
        <v>2018</v>
      </c>
      <c r="B18" s="6" t="inlineStr">
        <is>
          <t>mineral</t>
        </is>
      </c>
      <c r="C18" s="6" t="n">
        <v>212231</v>
      </c>
      <c r="D18" s="6" t="inlineStr">
        <is>
          <t>cobre</t>
        </is>
      </c>
      <c r="E18" s="6" t="n">
        <v>62412.4</v>
      </c>
      <c r="F18" s="6" t="n">
        <v>92893</v>
      </c>
      <c r="G18" s="6" t="n">
        <v>8718</v>
      </c>
      <c r="H18" s="6" t="n">
        <v>3230.4</v>
      </c>
      <c r="I18" s="6" t="n">
        <v>0.2692</v>
      </c>
      <c r="J18" s="6" t="n">
        <v>23.257</v>
      </c>
      <c r="K18" s="6" t="n">
        <v>0.2214</v>
      </c>
      <c r="L18" s="6" t="n">
        <v>22.101</v>
      </c>
      <c r="M18" s="6" t="n">
        <v>0.0147</v>
      </c>
      <c r="N18" s="6" t="n">
        <v>4.397</v>
      </c>
      <c r="O18" s="11">
        <f>IFERROR(ROUND(E18/SUMIFS($E$4:$E$29,$A$4:$A$29,A18,$D$4:$D$29,"TOTAL_economia")*100,4),"")</f>
        <v/>
      </c>
      <c r="P18" s="11">
        <f>IF(ISNUMBER(O18),ROUND(O18-I18,4),"")</f>
        <v/>
      </c>
    </row>
    <row r="19">
      <c r="A19" s="9" t="n">
        <v>2018</v>
      </c>
      <c r="B19" s="9" t="inlineStr">
        <is>
          <t>mineral</t>
        </is>
      </c>
      <c r="C19" s="9" t="n">
        <v>212395</v>
      </c>
      <c r="D19" s="9" t="inlineStr">
        <is>
          <t>fluorita</t>
        </is>
      </c>
      <c r="E19" s="9" t="n">
        <v>3717.5</v>
      </c>
      <c r="F19" s="9" t="n">
        <v>5861.8</v>
      </c>
      <c r="G19" s="9" t="n">
        <v>740</v>
      </c>
      <c r="H19" s="9" t="n">
        <v>78.5</v>
      </c>
      <c r="I19" s="9" t="n">
        <v>0.016</v>
      </c>
      <c r="J19" s="9" t="n">
        <v>1.385</v>
      </c>
      <c r="K19" s="9" t="n">
        <v>0.014</v>
      </c>
      <c r="L19" s="9" t="n">
        <v>1.395</v>
      </c>
      <c r="M19" s="9" t="n">
        <v>0.0012</v>
      </c>
      <c r="N19" s="9" t="n">
        <v>0.373</v>
      </c>
      <c r="O19" s="11">
        <f>IFERROR(ROUND(E19/SUMIFS($E$4:$E$29,$A$4:$A$29,A19,$D$4:$D$29,"TOTAL_economia")*100,4),"")</f>
        <v/>
      </c>
      <c r="P19" s="11">
        <f>IF(ISNUMBER(O19),ROUND(O19-I19,4),"")</f>
        <v/>
      </c>
    </row>
    <row r="20">
      <c r="A20" s="6" t="n">
        <v>2018</v>
      </c>
      <c r="B20" s="6" t="inlineStr">
        <is>
          <t>mineral</t>
        </is>
      </c>
      <c r="C20" s="6" t="n">
        <v>212396</v>
      </c>
      <c r="D20" s="6" t="inlineStr">
        <is>
          <t>grafito</t>
        </is>
      </c>
      <c r="E20" s="6" t="n">
        <v>568.1</v>
      </c>
      <c r="F20" s="6" t="n">
        <v>719.8</v>
      </c>
      <c r="G20" s="6" t="n">
        <v>627</v>
      </c>
      <c r="H20" s="6" t="n">
        <v>112</v>
      </c>
      <c r="I20" s="6" t="n">
        <v>0.0025</v>
      </c>
      <c r="J20" s="6" t="n">
        <v>0.212</v>
      </c>
      <c r="K20" s="6" t="n">
        <v>0.0017</v>
      </c>
      <c r="L20" s="6" t="n">
        <v>0.171</v>
      </c>
      <c r="M20" s="6" t="n">
        <v>0.0011</v>
      </c>
      <c r="N20" s="6" t="n">
        <v>0.316</v>
      </c>
      <c r="O20" s="11">
        <f>IFERROR(ROUND(E20/SUMIFS($E$4:$E$29,$A$4:$A$29,A20,$D$4:$D$29,"TOTAL_economia")*100,4),"")</f>
        <v/>
      </c>
      <c r="P20" s="11">
        <f>IF(ISNUMBER(O20),ROUND(O20-I20,4),"")</f>
        <v/>
      </c>
    </row>
    <row r="21">
      <c r="A21" s="9" t="n">
        <v>2018</v>
      </c>
      <c r="B21" s="9" t="inlineStr">
        <is>
          <t>mineral</t>
        </is>
      </c>
      <c r="C21" s="9" t="n">
        <v>212291</v>
      </c>
      <c r="D21" s="9" t="inlineStr">
        <is>
          <t>manganeso</t>
        </is>
      </c>
      <c r="E21" s="9" t="n">
        <v>309.3</v>
      </c>
      <c r="F21" s="9" t="n">
        <v>635</v>
      </c>
      <c r="G21" s="9" t="n">
        <v>523</v>
      </c>
      <c r="H21" s="9" t="n">
        <v>204.2</v>
      </c>
      <c r="I21" s="9" t="n">
        <v>0.0013</v>
      </c>
      <c r="J21" s="9" t="n">
        <v>0.115</v>
      </c>
      <c r="K21" s="9" t="n">
        <v>0.0015</v>
      </c>
      <c r="L21" s="9" t="n">
        <v>0.151</v>
      </c>
      <c r="M21" s="9" t="n">
        <v>0.0009</v>
      </c>
      <c r="N21" s="9" t="n">
        <v>0.264</v>
      </c>
      <c r="O21" s="11">
        <f>IFERROR(ROUND(E21/SUMIFS($E$4:$E$29,$A$4:$A$29,A21,$D$4:$D$29,"TOTAL_economia")*100,4),"")</f>
        <v/>
      </c>
      <c r="P21" s="11">
        <f>IF(ISNUMBER(O21),ROUND(O21-I21,4),"")</f>
        <v/>
      </c>
    </row>
    <row r="22">
      <c r="A22" s="6" t="n">
        <v>2018</v>
      </c>
      <c r="B22" s="6" t="inlineStr">
        <is>
          <t>mineral</t>
        </is>
      </c>
      <c r="C22" s="6" t="n">
        <v>212221</v>
      </c>
      <c r="D22" s="6" t="inlineStr">
        <is>
          <t>oro</t>
        </is>
      </c>
      <c r="E22" s="6" t="n">
        <v>39301.9</v>
      </c>
      <c r="F22" s="6" t="n">
        <v>69491.10000000001</v>
      </c>
      <c r="G22" s="6" t="n">
        <v>4931</v>
      </c>
      <c r="H22" s="6" t="n">
        <v>1274.5</v>
      </c>
      <c r="I22" s="6" t="n">
        <v>0.1695</v>
      </c>
      <c r="J22" s="6" t="n">
        <v>14.645</v>
      </c>
      <c r="K22" s="6" t="n">
        <v>0.1656</v>
      </c>
      <c r="L22" s="6" t="n">
        <v>16.534</v>
      </c>
      <c r="M22" s="6" t="n">
        <v>0.0083</v>
      </c>
      <c r="N22" s="6" t="n">
        <v>2.487</v>
      </c>
      <c r="O22" s="11">
        <f>IFERROR(ROUND(E22/SUMIFS($E$4:$E$29,$A$4:$A$29,A22,$D$4:$D$29,"TOTAL_economia")*100,4),"")</f>
        <v/>
      </c>
      <c r="P22" s="11">
        <f>IF(ISNUMBER(O22),ROUND(O22-I22,4),"")</f>
        <v/>
      </c>
    </row>
    <row r="23">
      <c r="A23" s="9" t="n">
        <v>2018</v>
      </c>
      <c r="B23" s="9" t="inlineStr">
        <is>
          <t>mineral</t>
        </is>
      </c>
      <c r="C23" s="9" t="n">
        <v>212222</v>
      </c>
      <c r="D23" s="9" t="inlineStr">
        <is>
          <t>plata</t>
        </is>
      </c>
      <c r="E23" s="9" t="n">
        <v>30917.3</v>
      </c>
      <c r="F23" s="9" t="n">
        <v>49784.4</v>
      </c>
      <c r="G23" s="9" t="n">
        <v>7598</v>
      </c>
      <c r="H23" s="9" t="n">
        <v>1783.5</v>
      </c>
      <c r="I23" s="9" t="n">
        <v>0.1333</v>
      </c>
      <c r="J23" s="9" t="n">
        <v>11.521</v>
      </c>
      <c r="K23" s="9" t="n">
        <v>0.1186</v>
      </c>
      <c r="L23" s="9" t="n">
        <v>11.845</v>
      </c>
      <c r="M23" s="9" t="n">
        <v>0.0128</v>
      </c>
      <c r="N23" s="9" t="n">
        <v>3.832</v>
      </c>
      <c r="O23" s="11">
        <f>IFERROR(ROUND(E23/SUMIFS($E$4:$E$29,$A$4:$A$29,A23,$D$4:$D$29,"TOTAL_economia")*100,4),"")</f>
        <v/>
      </c>
      <c r="P23" s="11">
        <f>IF(ISNUMBER(O23),ROUND(O23-I23,4),"")</f>
        <v/>
      </c>
    </row>
    <row r="24">
      <c r="A24" s="6" t="n">
        <v>2018</v>
      </c>
      <c r="B24" s="6" t="inlineStr">
        <is>
          <t>mineral</t>
        </is>
      </c>
      <c r="C24" s="6" t="n">
        <v>212232</v>
      </c>
      <c r="D24" s="6" t="inlineStr">
        <is>
          <t>plomo-zinc</t>
        </is>
      </c>
      <c r="E24" s="6" t="n">
        <v>21683.1</v>
      </c>
      <c r="F24" s="6" t="n">
        <v>34724.7</v>
      </c>
      <c r="G24" s="6" t="n">
        <v>11667</v>
      </c>
      <c r="H24" s="6" t="n">
        <v>3103.1</v>
      </c>
      <c r="I24" s="6" t="n">
        <v>0.0935</v>
      </c>
      <c r="J24" s="6" t="n">
        <v>8.08</v>
      </c>
      <c r="K24" s="6" t="n">
        <v>0.0828</v>
      </c>
      <c r="L24" s="6" t="n">
        <v>8.262</v>
      </c>
      <c r="M24" s="6" t="n">
        <v>0.0196</v>
      </c>
      <c r="N24" s="6" t="n">
        <v>5.884</v>
      </c>
      <c r="O24" s="11">
        <f>IFERROR(ROUND(E24/SUMIFS($E$4:$E$29,$A$4:$A$29,A24,$D$4:$D$29,"TOTAL_economia")*100,4),"")</f>
        <v/>
      </c>
      <c r="P24" s="11">
        <f>IF(ISNUMBER(O24),ROUND(O24-I24,4),"")</f>
        <v/>
      </c>
    </row>
    <row r="25">
      <c r="A25" s="9" t="n">
        <v>2018</v>
      </c>
      <c r="B25" s="9" t="inlineStr">
        <is>
          <t>mineral</t>
        </is>
      </c>
      <c r="C25" s="9" t="n">
        <v>212324</v>
      </c>
      <c r="D25" s="9" t="inlineStr">
        <is>
          <t>silice</t>
        </is>
      </c>
      <c r="E25" s="9" t="n">
        <v>4388.1</v>
      </c>
      <c r="F25" s="9" t="n">
        <v>6959.1</v>
      </c>
      <c r="G25" s="9" t="n">
        <v>5642</v>
      </c>
      <c r="H25" s="9" t="n">
        <v>1324.5</v>
      </c>
      <c r="I25" s="9" t="n">
        <v>0.0189</v>
      </c>
      <c r="J25" s="9" t="n">
        <v>1.635</v>
      </c>
      <c r="K25" s="9" t="n">
        <v>0.0166</v>
      </c>
      <c r="L25" s="9" t="n">
        <v>1.656</v>
      </c>
      <c r="M25" s="9" t="n">
        <v>0.0095</v>
      </c>
      <c r="N25" s="9" t="n">
        <v>2.846</v>
      </c>
      <c r="O25" s="11">
        <f>IFERROR(ROUND(E25/SUMIFS($E$4:$E$29,$A$4:$A$29,A25,$D$4:$D$29,"TOTAL_economia")*100,4),"")</f>
        <v/>
      </c>
      <c r="P25" s="11">
        <f>IF(ISNUMBER(O25),ROUND(O25-I25,4),"")</f>
        <v/>
      </c>
    </row>
    <row r="26">
      <c r="A26" s="6" t="n">
        <v>2018</v>
      </c>
      <c r="B26" s="6" t="inlineStr">
        <is>
          <t>BLOQUE_10</t>
        </is>
      </c>
      <c r="C26" s="6" t="n"/>
      <c r="D26" s="6" t="inlineStr">
        <is>
          <t>bloque 10 minerales</t>
        </is>
      </c>
      <c r="E26" s="6" t="n">
        <v>163750</v>
      </c>
      <c r="F26" s="6" t="n">
        <v>261754.4</v>
      </c>
      <c r="G26" s="6" t="n">
        <v>42159</v>
      </c>
      <c r="H26" s="6" t="n">
        <v>11339.1</v>
      </c>
      <c r="I26" s="6" t="n">
        <v>0.7062</v>
      </c>
      <c r="J26" s="6" t="n">
        <v>61.019</v>
      </c>
      <c r="K26" s="6" t="n">
        <v>0.6238</v>
      </c>
      <c r="L26" s="6" t="n">
        <v>62.277</v>
      </c>
      <c r="M26" s="6" t="n">
        <v>0.0708</v>
      </c>
      <c r="N26" s="6" t="n">
        <v>21.264</v>
      </c>
      <c r="O26" s="11">
        <f>IFERROR(ROUND(E26/SUMIFS($E$4:$E$29,$A$4:$A$29,A26,$D$4:$D$29,"TOTAL_economia")*100,4),"")</f>
        <v/>
      </c>
      <c r="P26" s="11">
        <f>IF(ISNUMBER(O26),ROUND(O26-I26,4),"")</f>
        <v/>
      </c>
    </row>
    <row r="27">
      <c r="A27" s="9" t="n">
        <v>2018</v>
      </c>
      <c r="B27" s="9" t="inlineStr">
        <is>
          <t>referencia</t>
        </is>
      </c>
      <c r="C27" s="9" t="n"/>
      <c r="D27" s="9" t="inlineStr">
        <is>
          <t>TOTAL_economia</t>
        </is>
      </c>
      <c r="E27" s="9" t="n">
        <v>23186146.6</v>
      </c>
      <c r="F27" s="9" t="n">
        <v>41959242.1</v>
      </c>
      <c r="G27" s="9" t="n">
        <v>59505022</v>
      </c>
      <c r="H27" s="9" t="n"/>
      <c r="I27" s="9" t="n">
        <v>100</v>
      </c>
      <c r="J27" s="9" t="n"/>
      <c r="K27" s="9" t="n">
        <v>100</v>
      </c>
      <c r="L27" s="9" t="n"/>
      <c r="M27" s="9" t="n">
        <v>100</v>
      </c>
      <c r="N27" s="9" t="n"/>
      <c r="O27" s="11">
        <f>IFERROR(ROUND(E27/SUMIFS($E$4:$E$29,$A$4:$A$29,A27,$D$4:$D$29,"TOTAL_economia")*100,4),"")</f>
        <v/>
      </c>
      <c r="P27" s="11">
        <f>IF(ISNUMBER(O27),ROUND(O27-I27,4),"")</f>
        <v/>
      </c>
    </row>
    <row r="28">
      <c r="A28" s="6" t="n">
        <v>2018</v>
      </c>
      <c r="B28" s="6" t="inlineStr">
        <is>
          <t>referencia</t>
        </is>
      </c>
      <c r="C28" s="6" t="n"/>
      <c r="D28" s="6" t="inlineStr">
        <is>
          <t>mineria_212</t>
        </is>
      </c>
      <c r="E28" s="6" t="n">
        <v>268357.7</v>
      </c>
      <c r="F28" s="6" t="n">
        <v>420304.1</v>
      </c>
      <c r="G28" s="6" t="n">
        <v>198267</v>
      </c>
      <c r="H28" s="6" t="n"/>
      <c r="I28" s="6" t="n">
        <v>1.157</v>
      </c>
      <c r="J28" s="6" t="n"/>
      <c r="K28" s="6" t="n">
        <v>1.002</v>
      </c>
      <c r="L28" s="6" t="n"/>
      <c r="M28" s="6" t="n">
        <v>0.333</v>
      </c>
      <c r="N28" s="6" t="n"/>
      <c r="O28" s="11">
        <f>IFERROR(ROUND(E28/SUMIFS($E$4:$E$29,$A$4:$A$29,A28,$D$4:$D$29,"TOTAL_economia")*100,4),"")</f>
        <v/>
      </c>
      <c r="P28" s="11">
        <f>IF(ISNUMBER(O28),ROUND(O28-I28,4),"")</f>
        <v/>
      </c>
    </row>
    <row r="29">
      <c r="A29" s="9" t="n">
        <v>2018</v>
      </c>
      <c r="B29" s="9" t="inlineStr">
        <is>
          <t>referencia</t>
        </is>
      </c>
      <c r="C29" s="9" t="n"/>
      <c r="D29" s="9" t="inlineStr">
        <is>
          <t>mineria_21</t>
        </is>
      </c>
      <c r="E29" s="9" t="n">
        <v>955396.1</v>
      </c>
      <c r="F29" s="9" t="n">
        <v>1458602.4</v>
      </c>
      <c r="G29" s="9" t="n">
        <v>0</v>
      </c>
      <c r="H29" s="9" t="n"/>
      <c r="I29" s="9" t="n">
        <v>4.121</v>
      </c>
      <c r="J29" s="9" t="n"/>
      <c r="K29" s="9" t="n">
        <v>3.476</v>
      </c>
      <c r="L29" s="9" t="n"/>
      <c r="M29" s="9" t="n">
        <v>0</v>
      </c>
      <c r="N29" s="9" t="n"/>
      <c r="O29" s="11">
        <f>IFERROR(ROUND(E29/SUMIFS($E$4:$E$29,$A$4:$A$29,A29,$D$4:$D$29,"TOTAL_economia")*100,4),"")</f>
        <v/>
      </c>
      <c r="P29" s="11">
        <f>IF(ISNUMBER(O29),ROUND(O29-I29,4),"")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3" customWidth="1" min="4" max="4"/>
    <col width="18" customWidth="1" min="5" max="5"/>
    <col width="12" customWidth="1" min="6" max="6"/>
    <col width="16" customWidth="1" min="7" max="7"/>
    <col width="15" customWidth="1" min="8" max="8"/>
    <col width="16" customWidth="1" min="9" max="9"/>
    <col width="16" customWidth="1" min="10" max="10"/>
    <col width="12" customWidth="1" min="11" max="11"/>
    <col width="12" customWidth="1" min="12" max="12"/>
    <col width="10" customWidth="1" min="13" max="13"/>
  </cols>
  <sheetData>
    <row r="1" ht="24" customHeight="1">
      <c r="A1" s="1" t="inlineStr">
        <is>
          <t>MIP nacional - encadenamientos por mineral (2013 y 2018)</t>
        </is>
      </c>
    </row>
    <row r="2" ht="40" customHeight="1">
      <c r="A2" s="2" t="inlineStr">
        <is>
          <t>Leontief L=(I-A)^-1 y Ghosh G=(I-B)^-1 calculados en Python y VALIDADOS contra ctec/cdi de INEGI a 1e-15. Aqui se exponen las sumas (backward_L_colsum, forward_G_rowsum). El paso de normalizacion Rasmussen (media economia=1) SI es formula viva: Rasmussen = suma / media_economia, con la media documentada por anio abajo. di_sobre_vbp tambien es formula viva. Plomo-zinc van combinados (clase 212232).</t>
        </is>
      </c>
    </row>
    <row r="3">
      <c r="A3" s="3" t="inlineStr">
        <is>
          <t>anio</t>
        </is>
      </c>
      <c r="B3" s="3" t="inlineStr">
        <is>
          <t>codigo</t>
        </is>
      </c>
      <c r="C3" s="3" t="inlineStr">
        <is>
          <t>mineral</t>
        </is>
      </c>
      <c r="D3" s="3" t="inlineStr">
        <is>
          <t>vbp_mmpesos</t>
        </is>
      </c>
      <c r="E3" s="3" t="inlineStr">
        <is>
          <t>di_domestica_mmpesos</t>
        </is>
      </c>
      <c r="F3" s="3" t="inlineStr">
        <is>
          <t>di_sobre_vbp</t>
        </is>
      </c>
      <c r="G3" s="3" t="inlineStr">
        <is>
          <t>backward_L_colsum</t>
        </is>
      </c>
      <c r="H3" s="3" t="inlineStr">
        <is>
          <t>forward_G_rowsum</t>
        </is>
      </c>
      <c r="I3" s="3" t="inlineStr">
        <is>
          <t>backward_rasmussen</t>
        </is>
      </c>
      <c r="J3" s="3" t="inlineStr">
        <is>
          <t>forward_rasmussen</t>
        </is>
      </c>
      <c r="K3" s="3" t="inlineStr">
        <is>
          <t>rank_backward</t>
        </is>
      </c>
      <c r="L3" s="3" t="inlineStr">
        <is>
          <t>rank_forward</t>
        </is>
      </c>
      <c r="M3" s="3" t="inlineStr">
        <is>
          <t>n_sectores</t>
        </is>
      </c>
      <c r="N3" s="10" t="inlineStr">
        <is>
          <t>DI/VBP (=formula)</t>
        </is>
      </c>
      <c r="O3" s="10" t="inlineStr">
        <is>
          <t>dif DI/VBP</t>
        </is>
      </c>
      <c r="P3" s="10" t="inlineStr">
        <is>
          <t>fwd Rasmussen (=formula)</t>
        </is>
      </c>
      <c r="Q3" s="10" t="inlineStr">
        <is>
          <t>dif fwd</t>
        </is>
      </c>
      <c r="R3" s="10" t="inlineStr">
        <is>
          <t>bwd Rasmussen (=formula)</t>
        </is>
      </c>
      <c r="S3" s="10" t="inlineStr">
        <is>
          <t>dif bwd</t>
        </is>
      </c>
    </row>
    <row r="4">
      <c r="A4" s="6" t="n">
        <v>2013</v>
      </c>
      <c r="B4" s="6" t="n">
        <v>212393</v>
      </c>
      <c r="C4" s="6" t="inlineStr">
        <is>
          <t>barita</t>
        </is>
      </c>
      <c r="D4" s="6" t="n">
        <v>368.345</v>
      </c>
      <c r="E4" s="6" t="n">
        <v>64.71899999999999</v>
      </c>
      <c r="F4" s="6" t="n">
        <v>0.1757</v>
      </c>
      <c r="G4" s="6" t="n">
        <v>1.442</v>
      </c>
      <c r="H4" s="6" t="n">
        <v>1.2082</v>
      </c>
      <c r="I4" s="6" t="n">
        <v>0.9554</v>
      </c>
      <c r="J4" s="6" t="n">
        <v>0.764</v>
      </c>
      <c r="K4" s="6" t="n">
        <v>482</v>
      </c>
      <c r="L4" s="6" t="n">
        <v>444</v>
      </c>
      <c r="M4" s="6" t="n">
        <v>822</v>
      </c>
      <c r="N4" s="11">
        <f>ROUND(E4/D4,4)</f>
        <v/>
      </c>
      <c r="O4" s="11">
        <f>ROUND(N4-F4,4)</f>
        <v/>
      </c>
      <c r="P4" s="11">
        <f>ROUND(H4/INDEX($B$26:$B$27,MATCH(A4,$A$26:$A$27,0)),4)</f>
        <v/>
      </c>
      <c r="Q4" s="11">
        <f>ROUND(P4-J4,4)</f>
        <v/>
      </c>
      <c r="R4" s="11">
        <f>ROUND(G4/INDEX($C$26:$C$27,MATCH(A4,$A$26:$A$27,0)),4)</f>
        <v/>
      </c>
      <c r="S4" s="11">
        <f>ROUND(R4-I4,4)</f>
        <v/>
      </c>
    </row>
    <row r="5">
      <c r="A5" s="9" t="n">
        <v>2013</v>
      </c>
      <c r="B5" s="9" t="n">
        <v>212231</v>
      </c>
      <c r="C5" s="9" t="inlineStr">
        <is>
          <t>cobre</t>
        </is>
      </c>
      <c r="D5" s="9" t="n">
        <v>39971.368</v>
      </c>
      <c r="E5" s="9" t="n">
        <v>18276.824</v>
      </c>
      <c r="F5" s="9" t="n">
        <v>0.4572</v>
      </c>
      <c r="G5" s="9" t="n">
        <v>1.3406</v>
      </c>
      <c r="H5" s="9" t="n">
        <v>1.8677</v>
      </c>
      <c r="I5" s="9" t="n">
        <v>0.8882</v>
      </c>
      <c r="J5" s="9" t="n">
        <v>1.1811</v>
      </c>
      <c r="K5" s="9" t="n">
        <v>634</v>
      </c>
      <c r="L5" s="9" t="n">
        <v>283</v>
      </c>
      <c r="M5" s="9" t="n">
        <v>822</v>
      </c>
      <c r="N5" s="11">
        <f>ROUND(E5/D5,4)</f>
        <v/>
      </c>
      <c r="O5" s="11">
        <f>ROUND(N5-F5,4)</f>
        <v/>
      </c>
      <c r="P5" s="11">
        <f>ROUND(H5/INDEX($B$26:$B$27,MATCH(A5,$A$26:$A$27,0)),4)</f>
        <v/>
      </c>
      <c r="Q5" s="11">
        <f>ROUND(P5-J5,4)</f>
        <v/>
      </c>
      <c r="R5" s="11">
        <f>ROUND(G5/INDEX($C$26:$C$27,MATCH(A5,$A$26:$A$27,0)),4)</f>
        <v/>
      </c>
      <c r="S5" s="11">
        <f>ROUND(R5-I5,4)</f>
        <v/>
      </c>
    </row>
    <row r="6">
      <c r="A6" s="6" t="n">
        <v>2013</v>
      </c>
      <c r="B6" s="6" t="n">
        <v>212395</v>
      </c>
      <c r="C6" s="6" t="inlineStr">
        <is>
          <t>fluorita</t>
        </is>
      </c>
      <c r="D6" s="6" t="n">
        <v>2218.245</v>
      </c>
      <c r="E6" s="6" t="n">
        <v>489.471</v>
      </c>
      <c r="F6" s="6" t="n">
        <v>0.2207</v>
      </c>
      <c r="G6" s="6" t="n">
        <v>1.2854</v>
      </c>
      <c r="H6" s="6" t="n">
        <v>1.3766</v>
      </c>
      <c r="I6" s="6" t="n">
        <v>0.8517</v>
      </c>
      <c r="J6" s="6" t="n">
        <v>0.8705000000000001</v>
      </c>
      <c r="K6" s="6" t="n">
        <v>682</v>
      </c>
      <c r="L6" s="6" t="n">
        <v>383</v>
      </c>
      <c r="M6" s="6" t="n">
        <v>822</v>
      </c>
      <c r="N6" s="11">
        <f>ROUND(E6/D6,4)</f>
        <v/>
      </c>
      <c r="O6" s="11">
        <f>ROUND(N6-F6,4)</f>
        <v/>
      </c>
      <c r="P6" s="11">
        <f>ROUND(H6/INDEX($B$26:$B$27,MATCH(A6,$A$26:$A$27,0)),4)</f>
        <v/>
      </c>
      <c r="Q6" s="11">
        <f>ROUND(P6-J6,4)</f>
        <v/>
      </c>
      <c r="R6" s="11">
        <f>ROUND(G6/INDEX($C$26:$C$27,MATCH(A6,$A$26:$A$27,0)),4)</f>
        <v/>
      </c>
      <c r="S6" s="11">
        <f>ROUND(R6-I6,4)</f>
        <v/>
      </c>
    </row>
    <row r="7">
      <c r="A7" s="9" t="n">
        <v>2013</v>
      </c>
      <c r="B7" s="9" t="n">
        <v>212396</v>
      </c>
      <c r="C7" s="9" t="inlineStr">
        <is>
          <t>grafito</t>
        </is>
      </c>
      <c r="D7" s="9" t="n">
        <v>164.102</v>
      </c>
      <c r="E7" s="9" t="n">
        <v>97.20099999999999</v>
      </c>
      <c r="F7" s="9" t="n">
        <v>0.5923</v>
      </c>
      <c r="G7" s="9" t="n">
        <v>1.2626</v>
      </c>
      <c r="H7" s="9" t="n">
        <v>1.9547</v>
      </c>
      <c r="I7" s="9" t="n">
        <v>0.8366</v>
      </c>
      <c r="J7" s="9" t="n">
        <v>1.2361</v>
      </c>
      <c r="K7" s="9" t="n">
        <v>700</v>
      </c>
      <c r="L7" s="9" t="n">
        <v>257</v>
      </c>
      <c r="M7" s="9" t="n">
        <v>822</v>
      </c>
      <c r="N7" s="11">
        <f>ROUND(E7/D7,4)</f>
        <v/>
      </c>
      <c r="O7" s="11">
        <f>ROUND(N7-F7,4)</f>
        <v/>
      </c>
      <c r="P7" s="11">
        <f>ROUND(H7/INDEX($B$26:$B$27,MATCH(A7,$A$26:$A$27,0)),4)</f>
        <v/>
      </c>
      <c r="Q7" s="11">
        <f>ROUND(P7-J7,4)</f>
        <v/>
      </c>
      <c r="R7" s="11">
        <f>ROUND(G7/INDEX($C$26:$C$27,MATCH(A7,$A$26:$A$27,0)),4)</f>
        <v/>
      </c>
      <c r="S7" s="11">
        <f>ROUND(R7-I7,4)</f>
        <v/>
      </c>
    </row>
    <row r="8">
      <c r="A8" s="6" t="n">
        <v>2013</v>
      </c>
      <c r="B8" s="6" t="n">
        <v>212291</v>
      </c>
      <c r="C8" s="6" t="inlineStr">
        <is>
          <t>manganeso</t>
        </is>
      </c>
      <c r="D8" s="6" t="n">
        <v>486.019</v>
      </c>
      <c r="E8" s="6" t="n">
        <v>348.529</v>
      </c>
      <c r="F8" s="6" t="n">
        <v>0.7171</v>
      </c>
      <c r="G8" s="6" t="n">
        <v>1.2518</v>
      </c>
      <c r="H8" s="6" t="n">
        <v>2.8289</v>
      </c>
      <c r="I8" s="6" t="n">
        <v>0.8294</v>
      </c>
      <c r="J8" s="6" t="n">
        <v>1.7889</v>
      </c>
      <c r="K8" s="6" t="n">
        <v>709</v>
      </c>
      <c r="L8" s="6" t="n">
        <v>34</v>
      </c>
      <c r="M8" s="6" t="n">
        <v>822</v>
      </c>
      <c r="N8" s="11">
        <f>ROUND(E8/D8,4)</f>
        <v/>
      </c>
      <c r="O8" s="11">
        <f>ROUND(N8-F8,4)</f>
        <v/>
      </c>
      <c r="P8" s="11">
        <f>ROUND(H8/INDEX($B$26:$B$27,MATCH(A8,$A$26:$A$27,0)),4)</f>
        <v/>
      </c>
      <c r="Q8" s="11">
        <f>ROUND(P8-J8,4)</f>
        <v/>
      </c>
      <c r="R8" s="11">
        <f>ROUND(G8/INDEX($C$26:$C$27,MATCH(A8,$A$26:$A$27,0)),4)</f>
        <v/>
      </c>
      <c r="S8" s="11">
        <f>ROUND(R8-I8,4)</f>
        <v/>
      </c>
    </row>
    <row r="9">
      <c r="A9" s="9" t="n">
        <v>2013</v>
      </c>
      <c r="B9" s="9" t="n">
        <v>212221</v>
      </c>
      <c r="C9" s="9" t="inlineStr">
        <is>
          <t>oro</t>
        </is>
      </c>
      <c r="D9" s="9" t="n">
        <v>49607.237</v>
      </c>
      <c r="E9" s="9" t="n">
        <v>49526.353</v>
      </c>
      <c r="F9" s="9" t="n">
        <v>0.9984</v>
      </c>
      <c r="G9" s="9" t="n">
        <v>1.386</v>
      </c>
      <c r="H9" s="9" t="n">
        <v>2.1296</v>
      </c>
      <c r="I9" s="9" t="n">
        <v>0.9183</v>
      </c>
      <c r="J9" s="9" t="n">
        <v>1.3467</v>
      </c>
      <c r="K9" s="9" t="n">
        <v>570</v>
      </c>
      <c r="L9" s="9" t="n">
        <v>173</v>
      </c>
      <c r="M9" s="9" t="n">
        <v>822</v>
      </c>
      <c r="N9" s="11">
        <f>ROUND(E9/D9,4)</f>
        <v/>
      </c>
      <c r="O9" s="11">
        <f>ROUND(N9-F9,4)</f>
        <v/>
      </c>
      <c r="P9" s="11">
        <f>ROUND(H9/INDEX($B$26:$B$27,MATCH(A9,$A$26:$A$27,0)),4)</f>
        <v/>
      </c>
      <c r="Q9" s="11">
        <f>ROUND(P9-J9,4)</f>
        <v/>
      </c>
      <c r="R9" s="11">
        <f>ROUND(G9/INDEX($C$26:$C$27,MATCH(A9,$A$26:$A$27,0)),4)</f>
        <v/>
      </c>
      <c r="S9" s="11">
        <f>ROUND(R9-I9,4)</f>
        <v/>
      </c>
    </row>
    <row r="10">
      <c r="A10" s="6" t="n">
        <v>2013</v>
      </c>
      <c r="B10" s="6" t="n">
        <v>212222</v>
      </c>
      <c r="C10" s="6" t="inlineStr">
        <is>
          <t>plata</t>
        </is>
      </c>
      <c r="D10" s="6" t="n">
        <v>44680.402</v>
      </c>
      <c r="E10" s="6" t="n">
        <v>42728.777</v>
      </c>
      <c r="F10" s="6" t="n">
        <v>0.9563</v>
      </c>
      <c r="G10" s="6" t="n">
        <v>1.3761</v>
      </c>
      <c r="H10" s="6" t="n">
        <v>2.0579</v>
      </c>
      <c r="I10" s="6" t="n">
        <v>0.9118000000000001</v>
      </c>
      <c r="J10" s="6" t="n">
        <v>1.3014</v>
      </c>
      <c r="K10" s="6" t="n">
        <v>578</v>
      </c>
      <c r="L10" s="6" t="n">
        <v>206</v>
      </c>
      <c r="M10" s="6" t="n">
        <v>822</v>
      </c>
      <c r="N10" s="11">
        <f>ROUND(E10/D10,4)</f>
        <v/>
      </c>
      <c r="O10" s="11">
        <f>ROUND(N10-F10,4)</f>
        <v/>
      </c>
      <c r="P10" s="11">
        <f>ROUND(H10/INDEX($B$26:$B$27,MATCH(A10,$A$26:$A$27,0)),4)</f>
        <v/>
      </c>
      <c r="Q10" s="11">
        <f>ROUND(P10-J10,4)</f>
        <v/>
      </c>
      <c r="R10" s="11">
        <f>ROUND(G10/INDEX($C$26:$C$27,MATCH(A10,$A$26:$A$27,0)),4)</f>
        <v/>
      </c>
      <c r="S10" s="11">
        <f>ROUND(R10-I10,4)</f>
        <v/>
      </c>
    </row>
    <row r="11">
      <c r="A11" s="9" t="n">
        <v>2013</v>
      </c>
      <c r="B11" s="9" t="n">
        <v>212232</v>
      </c>
      <c r="C11" s="9" t="inlineStr">
        <is>
          <t>plomo-zinc</t>
        </is>
      </c>
      <c r="D11" s="9" t="n">
        <v>20045.785</v>
      </c>
      <c r="E11" s="9" t="n">
        <v>2491.224</v>
      </c>
      <c r="F11" s="9" t="n">
        <v>0.1243</v>
      </c>
      <c r="G11" s="9" t="n">
        <v>1.3486</v>
      </c>
      <c r="H11" s="9" t="n">
        <v>1.1314</v>
      </c>
      <c r="I11" s="9" t="n">
        <v>0.8935</v>
      </c>
      <c r="J11" s="9" t="n">
        <v>0.7154</v>
      </c>
      <c r="K11" s="9" t="n">
        <v>623</v>
      </c>
      <c r="L11" s="9" t="n">
        <v>479</v>
      </c>
      <c r="M11" s="9" t="n">
        <v>822</v>
      </c>
      <c r="N11" s="11">
        <f>ROUND(E11/D11,4)</f>
        <v/>
      </c>
      <c r="O11" s="11">
        <f>ROUND(N11-F11,4)</f>
        <v/>
      </c>
      <c r="P11" s="11">
        <f>ROUND(H11/INDEX($B$26:$B$27,MATCH(A11,$A$26:$A$27,0)),4)</f>
        <v/>
      </c>
      <c r="Q11" s="11">
        <f>ROUND(P11-J11,4)</f>
        <v/>
      </c>
      <c r="R11" s="11">
        <f>ROUND(G11/INDEX($C$26:$C$27,MATCH(A11,$A$26:$A$27,0)),4)</f>
        <v/>
      </c>
      <c r="S11" s="11">
        <f>ROUND(R11-I11,4)</f>
        <v/>
      </c>
    </row>
    <row r="12">
      <c r="A12" s="6" t="n">
        <v>2013</v>
      </c>
      <c r="B12" s="6" t="n">
        <v>212324</v>
      </c>
      <c r="C12" s="6" t="inlineStr">
        <is>
          <t>silice</t>
        </is>
      </c>
      <c r="D12" s="6" t="n">
        <v>4898.266</v>
      </c>
      <c r="E12" s="6" t="n">
        <v>4845.318</v>
      </c>
      <c r="F12" s="6" t="n">
        <v>0.9892</v>
      </c>
      <c r="G12" s="6" t="n">
        <v>1.3743</v>
      </c>
      <c r="H12" s="6" t="n">
        <v>2.8412</v>
      </c>
      <c r="I12" s="6" t="n">
        <v>0.9106</v>
      </c>
      <c r="J12" s="6" t="n">
        <v>1.7967</v>
      </c>
      <c r="K12" s="6" t="n">
        <v>581</v>
      </c>
      <c r="L12" s="6" t="n">
        <v>31</v>
      </c>
      <c r="M12" s="6" t="n">
        <v>822</v>
      </c>
      <c r="N12" s="11">
        <f>ROUND(E12/D12,4)</f>
        <v/>
      </c>
      <c r="O12" s="11">
        <f>ROUND(N12-F12,4)</f>
        <v/>
      </c>
      <c r="P12" s="11">
        <f>ROUND(H12/INDEX($B$26:$B$27,MATCH(A12,$A$26:$A$27,0)),4)</f>
        <v/>
      </c>
      <c r="Q12" s="11">
        <f>ROUND(P12-J12,4)</f>
        <v/>
      </c>
      <c r="R12" s="11">
        <f>ROUND(G12/INDEX($C$26:$C$27,MATCH(A12,$A$26:$A$27,0)),4)</f>
        <v/>
      </c>
      <c r="S12" s="11">
        <f>ROUND(R12-I12,4)</f>
        <v/>
      </c>
    </row>
    <row r="13">
      <c r="A13" s="9" t="n">
        <v>2018</v>
      </c>
      <c r="B13" s="9" t="n">
        <v>212393</v>
      </c>
      <c r="C13" s="9" t="inlineStr">
        <is>
          <t>barita</t>
        </is>
      </c>
      <c r="D13" s="9" t="n">
        <v>685.596</v>
      </c>
      <c r="E13" s="9" t="n">
        <v>21.998</v>
      </c>
      <c r="F13" s="9" t="n">
        <v>0.0321</v>
      </c>
      <c r="G13" s="9" t="n">
        <v>1.3834</v>
      </c>
      <c r="H13" s="9" t="n">
        <v>1.0409</v>
      </c>
      <c r="I13" s="9" t="n">
        <v>0.9601</v>
      </c>
      <c r="J13" s="9" t="n">
        <v>0.6438</v>
      </c>
      <c r="K13" s="9" t="n">
        <v>471</v>
      </c>
      <c r="L13" s="9" t="n">
        <v>614</v>
      </c>
      <c r="M13" s="9" t="n">
        <v>834</v>
      </c>
      <c r="N13" s="11">
        <f>ROUND(E13/D13,4)</f>
        <v/>
      </c>
      <c r="O13" s="11">
        <f>ROUND(N13-F13,4)</f>
        <v/>
      </c>
      <c r="P13" s="11">
        <f>ROUND(H13/INDEX($B$26:$B$27,MATCH(A13,$A$26:$A$27,0)),4)</f>
        <v/>
      </c>
      <c r="Q13" s="11">
        <f>ROUND(P13-J13,4)</f>
        <v/>
      </c>
      <c r="R13" s="11">
        <f>ROUND(G13/INDEX($C$26:$C$27,MATCH(A13,$A$26:$A$27,0)),4)</f>
        <v/>
      </c>
      <c r="S13" s="11">
        <f>ROUND(R13-I13,4)</f>
        <v/>
      </c>
    </row>
    <row r="14">
      <c r="A14" s="6" t="n">
        <v>2018</v>
      </c>
      <c r="B14" s="6" t="n">
        <v>212231</v>
      </c>
      <c r="C14" s="6" t="inlineStr">
        <is>
          <t>cobre</t>
        </is>
      </c>
      <c r="D14" s="6" t="n">
        <v>92892.952</v>
      </c>
      <c r="E14" s="6" t="n">
        <v>49055.907</v>
      </c>
      <c r="F14" s="6" t="n">
        <v>0.5281</v>
      </c>
      <c r="G14" s="6" t="n">
        <v>1.354</v>
      </c>
      <c r="H14" s="6" t="n">
        <v>2.1683</v>
      </c>
      <c r="I14" s="6" t="n">
        <v>0.9397</v>
      </c>
      <c r="J14" s="6" t="n">
        <v>1.3411</v>
      </c>
      <c r="K14" s="6" t="n">
        <v>516</v>
      </c>
      <c r="L14" s="6" t="n">
        <v>185</v>
      </c>
      <c r="M14" s="6" t="n">
        <v>834</v>
      </c>
      <c r="N14" s="11">
        <f>ROUND(E14/D14,4)</f>
        <v/>
      </c>
      <c r="O14" s="11">
        <f>ROUND(N14-F14,4)</f>
        <v/>
      </c>
      <c r="P14" s="11">
        <f>ROUND(H14/INDEX($B$26:$B$27,MATCH(A14,$A$26:$A$27,0)),4)</f>
        <v/>
      </c>
      <c r="Q14" s="11">
        <f>ROUND(P14-J14,4)</f>
        <v/>
      </c>
      <c r="R14" s="11">
        <f>ROUND(G14/INDEX($C$26:$C$27,MATCH(A14,$A$26:$A$27,0)),4)</f>
        <v/>
      </c>
      <c r="S14" s="11">
        <f>ROUND(R14-I14,4)</f>
        <v/>
      </c>
    </row>
    <row r="15">
      <c r="A15" s="9" t="n">
        <v>2018</v>
      </c>
      <c r="B15" s="9" t="n">
        <v>212395</v>
      </c>
      <c r="C15" s="9" t="inlineStr">
        <is>
          <t>fluorita</t>
        </is>
      </c>
      <c r="D15" s="9" t="n">
        <v>5861.771</v>
      </c>
      <c r="E15" s="9" t="n">
        <v>2954.788</v>
      </c>
      <c r="F15" s="9" t="n">
        <v>0.5041</v>
      </c>
      <c r="G15" s="9" t="n">
        <v>1.4019</v>
      </c>
      <c r="H15" s="9" t="n">
        <v>2.1194</v>
      </c>
      <c r="I15" s="9" t="n">
        <v>0.9729</v>
      </c>
      <c r="J15" s="9" t="n">
        <v>1.3109</v>
      </c>
      <c r="K15" s="9" t="n">
        <v>433</v>
      </c>
      <c r="L15" s="9" t="n">
        <v>200</v>
      </c>
      <c r="M15" s="9" t="n">
        <v>834</v>
      </c>
      <c r="N15" s="11">
        <f>ROUND(E15/D15,4)</f>
        <v/>
      </c>
      <c r="O15" s="11">
        <f>ROUND(N15-F15,4)</f>
        <v/>
      </c>
      <c r="P15" s="11">
        <f>ROUND(H15/INDEX($B$26:$B$27,MATCH(A15,$A$26:$A$27,0)),4)</f>
        <v/>
      </c>
      <c r="Q15" s="11">
        <f>ROUND(P15-J15,4)</f>
        <v/>
      </c>
      <c r="R15" s="11">
        <f>ROUND(G15/INDEX($C$26:$C$27,MATCH(A15,$A$26:$A$27,0)),4)</f>
        <v/>
      </c>
      <c r="S15" s="11">
        <f>ROUND(R15-I15,4)</f>
        <v/>
      </c>
    </row>
    <row r="16">
      <c r="A16" s="6" t="n">
        <v>2018</v>
      </c>
      <c r="B16" s="6" t="n">
        <v>212396</v>
      </c>
      <c r="C16" s="6" t="inlineStr">
        <is>
          <t>grafito</t>
        </is>
      </c>
      <c r="D16" s="6" t="n">
        <v>719.8150000000001</v>
      </c>
      <c r="E16" s="6" t="n">
        <v>631.008</v>
      </c>
      <c r="F16" s="6" t="n">
        <v>0.8766</v>
      </c>
      <c r="G16" s="6" t="n">
        <v>1.2574</v>
      </c>
      <c r="H16" s="6" t="n">
        <v>2.7625</v>
      </c>
      <c r="I16" s="6" t="n">
        <v>0.8727</v>
      </c>
      <c r="J16" s="6" t="n">
        <v>1.7085</v>
      </c>
      <c r="K16" s="6" t="n">
        <v>683</v>
      </c>
      <c r="L16" s="6" t="n">
        <v>43</v>
      </c>
      <c r="M16" s="6" t="n">
        <v>834</v>
      </c>
      <c r="N16" s="11">
        <f>ROUND(E16/D16,4)</f>
        <v/>
      </c>
      <c r="O16" s="11">
        <f>ROUND(N16-F16,4)</f>
        <v/>
      </c>
      <c r="P16" s="11">
        <f>ROUND(H16/INDEX($B$26:$B$27,MATCH(A16,$A$26:$A$27,0)),4)</f>
        <v/>
      </c>
      <c r="Q16" s="11">
        <f>ROUND(P16-J16,4)</f>
        <v/>
      </c>
      <c r="R16" s="11">
        <f>ROUND(G16/INDEX($C$26:$C$27,MATCH(A16,$A$26:$A$27,0)),4)</f>
        <v/>
      </c>
      <c r="S16" s="11">
        <f>ROUND(R16-I16,4)</f>
        <v/>
      </c>
    </row>
    <row r="17">
      <c r="A17" s="9" t="n">
        <v>2018</v>
      </c>
      <c r="B17" s="9" t="n">
        <v>212291</v>
      </c>
      <c r="C17" s="9" t="inlineStr">
        <is>
          <t>manganeso</t>
        </is>
      </c>
      <c r="D17" s="9" t="n">
        <v>634.992</v>
      </c>
      <c r="E17" s="9" t="n">
        <v>492.404</v>
      </c>
      <c r="F17" s="9" t="n">
        <v>0.7754</v>
      </c>
      <c r="G17" s="9" t="n">
        <v>1.5192</v>
      </c>
      <c r="H17" s="9" t="n">
        <v>2.4909</v>
      </c>
      <c r="I17" s="9" t="n">
        <v>1.0543</v>
      </c>
      <c r="J17" s="9" t="n">
        <v>1.5406</v>
      </c>
      <c r="K17" s="9" t="n">
        <v>256</v>
      </c>
      <c r="L17" s="9" t="n">
        <v>77</v>
      </c>
      <c r="M17" s="9" t="n">
        <v>834</v>
      </c>
      <c r="N17" s="11">
        <f>ROUND(E17/D17,4)</f>
        <v/>
      </c>
      <c r="O17" s="11">
        <f>ROUND(N17-F17,4)</f>
        <v/>
      </c>
      <c r="P17" s="11">
        <f>ROUND(H17/INDEX($B$26:$B$27,MATCH(A17,$A$26:$A$27,0)),4)</f>
        <v/>
      </c>
      <c r="Q17" s="11">
        <f>ROUND(P17-J17,4)</f>
        <v/>
      </c>
      <c r="R17" s="11">
        <f>ROUND(G17/INDEX($C$26:$C$27,MATCH(A17,$A$26:$A$27,0)),4)</f>
        <v/>
      </c>
      <c r="S17" s="11">
        <f>ROUND(R17-I17,4)</f>
        <v/>
      </c>
    </row>
    <row r="18">
      <c r="A18" s="6" t="n">
        <v>2018</v>
      </c>
      <c r="B18" s="6" t="n">
        <v>212221</v>
      </c>
      <c r="C18" s="6" t="inlineStr">
        <is>
          <t>oro</t>
        </is>
      </c>
      <c r="D18" s="6" t="n">
        <v>69491.057</v>
      </c>
      <c r="E18" s="6" t="n">
        <v>66824.323</v>
      </c>
      <c r="F18" s="6" t="n">
        <v>0.9616</v>
      </c>
      <c r="G18" s="6" t="n">
        <v>1.4785</v>
      </c>
      <c r="H18" s="6" t="n">
        <v>1.9672</v>
      </c>
      <c r="I18" s="6" t="n">
        <v>1.0261</v>
      </c>
      <c r="J18" s="6" t="n">
        <v>1.2167</v>
      </c>
      <c r="K18" s="6" t="n">
        <v>321</v>
      </c>
      <c r="L18" s="6" t="n">
        <v>271</v>
      </c>
      <c r="M18" s="6" t="n">
        <v>834</v>
      </c>
      <c r="N18" s="11">
        <f>ROUND(E18/D18,4)</f>
        <v/>
      </c>
      <c r="O18" s="11">
        <f>ROUND(N18-F18,4)</f>
        <v/>
      </c>
      <c r="P18" s="11">
        <f>ROUND(H18/INDEX($B$26:$B$27,MATCH(A18,$A$26:$A$27,0)),4)</f>
        <v/>
      </c>
      <c r="Q18" s="11">
        <f>ROUND(P18-J18,4)</f>
        <v/>
      </c>
      <c r="R18" s="11">
        <f>ROUND(G18/INDEX($C$26:$C$27,MATCH(A18,$A$26:$A$27,0)),4)</f>
        <v/>
      </c>
      <c r="S18" s="11">
        <f>ROUND(R18-I18,4)</f>
        <v/>
      </c>
    </row>
    <row r="19">
      <c r="A19" s="9" t="n">
        <v>2018</v>
      </c>
      <c r="B19" s="9" t="n">
        <v>212222</v>
      </c>
      <c r="C19" s="9" t="inlineStr">
        <is>
          <t>plata</t>
        </is>
      </c>
      <c r="D19" s="9" t="n">
        <v>49784.436</v>
      </c>
      <c r="E19" s="9" t="n">
        <v>44325.154</v>
      </c>
      <c r="F19" s="9" t="n">
        <v>0.8903</v>
      </c>
      <c r="G19" s="9" t="n">
        <v>1.431</v>
      </c>
      <c r="H19" s="9" t="n">
        <v>1.8995</v>
      </c>
      <c r="I19" s="9" t="n">
        <v>0.9932</v>
      </c>
      <c r="J19" s="9" t="n">
        <v>1.1748</v>
      </c>
      <c r="K19" s="9" t="n">
        <v>389</v>
      </c>
      <c r="L19" s="9" t="n">
        <v>288</v>
      </c>
      <c r="M19" s="9" t="n">
        <v>834</v>
      </c>
      <c r="N19" s="11">
        <f>ROUND(E19/D19,4)</f>
        <v/>
      </c>
      <c r="O19" s="11">
        <f>ROUND(N19-F19,4)</f>
        <v/>
      </c>
      <c r="P19" s="11">
        <f>ROUND(H19/INDEX($B$26:$B$27,MATCH(A19,$A$26:$A$27,0)),4)</f>
        <v/>
      </c>
      <c r="Q19" s="11">
        <f>ROUND(P19-J19,4)</f>
        <v/>
      </c>
      <c r="R19" s="11">
        <f>ROUND(G19/INDEX($C$26:$C$27,MATCH(A19,$A$26:$A$27,0)),4)</f>
        <v/>
      </c>
      <c r="S19" s="11">
        <f>ROUND(R19-I19,4)</f>
        <v/>
      </c>
    </row>
    <row r="20">
      <c r="A20" s="6" t="n">
        <v>2018</v>
      </c>
      <c r="B20" s="6" t="n">
        <v>212232</v>
      </c>
      <c r="C20" s="6" t="inlineStr">
        <is>
          <t>plomo-zinc</t>
        </is>
      </c>
      <c r="D20" s="6" t="n">
        <v>34724.742</v>
      </c>
      <c r="E20" s="6" t="n">
        <v>4697.6</v>
      </c>
      <c r="F20" s="6" t="n">
        <v>0.1353</v>
      </c>
      <c r="G20" s="6" t="n">
        <v>1.4243</v>
      </c>
      <c r="H20" s="6" t="n">
        <v>1.1438</v>
      </c>
      <c r="I20" s="6" t="n">
        <v>0.9885</v>
      </c>
      <c r="J20" s="6" t="n">
        <v>0.7074</v>
      </c>
      <c r="K20" s="6" t="n">
        <v>401</v>
      </c>
      <c r="L20" s="6" t="n">
        <v>527</v>
      </c>
      <c r="M20" s="6" t="n">
        <v>834</v>
      </c>
      <c r="N20" s="11">
        <f>ROUND(E20/D20,4)</f>
        <v/>
      </c>
      <c r="O20" s="11">
        <f>ROUND(N20-F20,4)</f>
        <v/>
      </c>
      <c r="P20" s="11">
        <f>ROUND(H20/INDEX($B$26:$B$27,MATCH(A20,$A$26:$A$27,0)),4)</f>
        <v/>
      </c>
      <c r="Q20" s="11">
        <f>ROUND(P20-J20,4)</f>
        <v/>
      </c>
      <c r="R20" s="11">
        <f>ROUND(G20/INDEX($C$26:$C$27,MATCH(A20,$A$26:$A$27,0)),4)</f>
        <v/>
      </c>
      <c r="S20" s="11">
        <f>ROUND(R20-I20,4)</f>
        <v/>
      </c>
    </row>
    <row r="21">
      <c r="A21" s="9" t="n">
        <v>2018</v>
      </c>
      <c r="B21" s="9" t="n">
        <v>212324</v>
      </c>
      <c r="C21" s="9" t="inlineStr">
        <is>
          <t>silice</t>
        </is>
      </c>
      <c r="D21" s="9" t="n">
        <v>6959.054</v>
      </c>
      <c r="E21" s="9" t="n">
        <v>6895.377</v>
      </c>
      <c r="F21" s="9" t="n">
        <v>0.9908</v>
      </c>
      <c r="G21" s="9" t="n">
        <v>1.3517</v>
      </c>
      <c r="H21" s="9" t="n">
        <v>3.0978</v>
      </c>
      <c r="I21" s="9" t="n">
        <v>0.9381</v>
      </c>
      <c r="J21" s="9" t="n">
        <v>1.9159</v>
      </c>
      <c r="K21" s="9" t="n">
        <v>521</v>
      </c>
      <c r="L21" s="9" t="n">
        <v>18</v>
      </c>
      <c r="M21" s="9" t="n">
        <v>834</v>
      </c>
      <c r="N21" s="11">
        <f>ROUND(E21/D21,4)</f>
        <v/>
      </c>
      <c r="O21" s="11">
        <f>ROUND(N21-F21,4)</f>
        <v/>
      </c>
      <c r="P21" s="11">
        <f>ROUND(H21/INDEX($B$26:$B$27,MATCH(A21,$A$26:$A$27,0)),4)</f>
        <v/>
      </c>
      <c r="Q21" s="11">
        <f>ROUND(P21-J21,4)</f>
        <v/>
      </c>
      <c r="R21" s="11">
        <f>ROUND(G21/INDEX($C$26:$C$27,MATCH(A21,$A$26:$A$27,0)),4)</f>
        <v/>
      </c>
      <c r="S21" s="11">
        <f>ROUND(R21-I21,4)</f>
        <v/>
      </c>
    </row>
    <row r="24">
      <c r="A24" s="12" t="inlineStr">
        <is>
          <t>Medias de la economia (denominador Rasmussen; = promedio de las sumas de las 822 clases, del script)</t>
        </is>
      </c>
    </row>
    <row r="25">
      <c r="A25" t="inlineStr">
        <is>
          <t>anio</t>
        </is>
      </c>
      <c r="B25" t="inlineStr">
        <is>
          <t>media_forward_rowsum</t>
        </is>
      </c>
      <c r="C25" t="inlineStr">
        <is>
          <t>media_backward_colsum</t>
        </is>
      </c>
    </row>
    <row r="26">
      <c r="A26" t="n">
        <v>2013</v>
      </c>
      <c r="B26" t="n">
        <v>1.581368</v>
      </c>
      <c r="C26" t="n">
        <v>1.509273</v>
      </c>
    </row>
    <row r="27">
      <c r="A27" t="n">
        <v>2018</v>
      </c>
      <c r="B27" t="n">
        <v>1.616847</v>
      </c>
      <c r="C27" t="n">
        <v>1.440883</v>
      </c>
    </row>
    <row r="30">
      <c r="A30" s="12" t="inlineStr">
        <is>
          <t>Corte de referencia 2008 (base 2008 / SCIAN 2007) - NO comparable en nivel, se lee por patron</t>
        </is>
      </c>
    </row>
    <row r="31">
      <c r="A31" s="3" t="inlineStr">
        <is>
          <t>anio</t>
        </is>
      </c>
      <c r="B31" s="3" t="inlineStr">
        <is>
          <t>codigo</t>
        </is>
      </c>
      <c r="C31" s="3" t="inlineStr">
        <is>
          <t>mineral</t>
        </is>
      </c>
      <c r="D31" s="3" t="inlineStr">
        <is>
          <t>vbp_mmpesos</t>
        </is>
      </c>
      <c r="E31" s="3" t="inlineStr">
        <is>
          <t>di_domestica_mmpesos</t>
        </is>
      </c>
      <c r="F31" s="3" t="inlineStr">
        <is>
          <t>di_sobre_vbp</t>
        </is>
      </c>
      <c r="G31" s="3" t="inlineStr">
        <is>
          <t>backward_L_colsum</t>
        </is>
      </c>
      <c r="H31" s="3" t="inlineStr">
        <is>
          <t>forward_G_rowsum</t>
        </is>
      </c>
      <c r="I31" s="3" t="inlineStr">
        <is>
          <t>backward_rasmussen</t>
        </is>
      </c>
      <c r="J31" s="3" t="inlineStr">
        <is>
          <t>forward_rasmussen</t>
        </is>
      </c>
      <c r="K31" s="3" t="inlineStr">
        <is>
          <t>rank_backward</t>
        </is>
      </c>
      <c r="L31" s="3" t="inlineStr">
        <is>
          <t>rank_forward</t>
        </is>
      </c>
      <c r="M31" s="3" t="inlineStr">
        <is>
          <t>n_sectores</t>
        </is>
      </c>
      <c r="N31" s="3" t="inlineStr">
        <is>
          <t>base_scian</t>
        </is>
      </c>
      <c r="O31" s="3" t="inlineStr">
        <is>
          <t>comparabilidad</t>
        </is>
      </c>
      <c r="P31" s="3" t="inlineStr">
        <is>
          <t>nota</t>
        </is>
      </c>
    </row>
    <row r="32">
      <c r="A32" s="6" t="n">
        <v>2008</v>
      </c>
      <c r="B32" s="6" t="n">
        <v>212393</v>
      </c>
      <c r="C32" s="6" t="inlineStr">
        <is>
          <t>barita</t>
        </is>
      </c>
      <c r="D32" s="6" t="n">
        <v>270.007</v>
      </c>
      <c r="E32" s="6" t="n">
        <v>241.821</v>
      </c>
      <c r="F32" s="6" t="n">
        <v>0.8956</v>
      </c>
      <c r="G32" s="6" t="n">
        <v>1.461</v>
      </c>
      <c r="H32" s="6" t="n">
        <v>1.9905</v>
      </c>
      <c r="I32" s="6" t="n">
        <v>0.9631</v>
      </c>
      <c r="J32" s="6" t="n">
        <v>1.288</v>
      </c>
      <c r="K32" s="6" t="n">
        <v>465</v>
      </c>
      <c r="L32" s="6" t="n">
        <v>226</v>
      </c>
      <c r="M32" s="6" t="n">
        <v>814</v>
      </c>
      <c r="N32" s="6" t="inlineStr">
        <is>
          <t>SCIAN2007_base2008</t>
        </is>
      </c>
      <c r="O32" s="6" t="inlineStr">
        <is>
          <t>referencia</t>
        </is>
      </c>
      <c r="P32" s="5" t="n"/>
    </row>
    <row r="33">
      <c r="A33" s="9" t="n">
        <v>2008</v>
      </c>
      <c r="B33" s="9" t="n">
        <v>212231</v>
      </c>
      <c r="C33" s="9" t="inlineStr">
        <is>
          <t>cobre</t>
        </is>
      </c>
      <c r="D33" s="9" t="n">
        <v>12361.414</v>
      </c>
      <c r="E33" s="9" t="n">
        <v>9165.076999999999</v>
      </c>
      <c r="F33" s="9" t="n">
        <v>0.7413999999999999</v>
      </c>
      <c r="G33" s="9" t="n">
        <v>1.2752</v>
      </c>
      <c r="H33" s="9" t="n">
        <v>2.5131</v>
      </c>
      <c r="I33" s="9" t="n">
        <v>0.8406</v>
      </c>
      <c r="J33" s="9" t="n">
        <v>1.6261</v>
      </c>
      <c r="K33" s="9" t="n">
        <v>699</v>
      </c>
      <c r="L33" s="9" t="n">
        <v>57</v>
      </c>
      <c r="M33" s="9" t="n">
        <v>814</v>
      </c>
      <c r="N33" s="9" t="inlineStr">
        <is>
          <t>SCIAN2007_base2008</t>
        </is>
      </c>
      <c r="O33" s="9" t="inlineStr">
        <is>
          <t>referencia</t>
        </is>
      </c>
      <c r="P33" s="8" t="n"/>
    </row>
    <row r="34">
      <c r="A34" s="6" t="n">
        <v>2008</v>
      </c>
      <c r="B34" s="6" t="n">
        <v>212395</v>
      </c>
      <c r="C34" s="6" t="inlineStr">
        <is>
          <t>fluorita</t>
        </is>
      </c>
      <c r="D34" s="6" t="n">
        <v>1286.14</v>
      </c>
      <c r="E34" s="6" t="n">
        <v>456.84</v>
      </c>
      <c r="F34" s="6" t="n">
        <v>0.3552</v>
      </c>
      <c r="G34" s="6" t="n">
        <v>1.4899</v>
      </c>
      <c r="H34" s="6" t="n">
        <v>1.7203</v>
      </c>
      <c r="I34" s="6" t="n">
        <v>0.9821</v>
      </c>
      <c r="J34" s="6" t="n">
        <v>1.1131</v>
      </c>
      <c r="K34" s="6" t="n">
        <v>425</v>
      </c>
      <c r="L34" s="6" t="n">
        <v>292</v>
      </c>
      <c r="M34" s="6" t="n">
        <v>814</v>
      </c>
      <c r="N34" s="6" t="inlineStr">
        <is>
          <t>SCIAN2007_base2008</t>
        </is>
      </c>
      <c r="O34" s="6" t="inlineStr">
        <is>
          <t>referencia</t>
        </is>
      </c>
      <c r="P34" s="5" t="n"/>
    </row>
    <row r="35">
      <c r="A35" s="9" t="n">
        <v>2008</v>
      </c>
      <c r="B35" s="9" t="n">
        <v>212396</v>
      </c>
      <c r="C35" s="9" t="inlineStr">
        <is>
          <t>grafito</t>
        </is>
      </c>
      <c r="D35" s="9" t="n">
        <v>403.637</v>
      </c>
      <c r="E35" s="9" t="n">
        <v>368.169</v>
      </c>
      <c r="F35" s="9" t="n">
        <v>0.9121</v>
      </c>
      <c r="G35" s="9" t="n">
        <v>1.4781</v>
      </c>
      <c r="H35" s="9" t="n">
        <v>2.6035</v>
      </c>
      <c r="I35" s="9" t="n">
        <v>0.9743000000000001</v>
      </c>
      <c r="J35" s="9" t="n">
        <v>1.6846</v>
      </c>
      <c r="K35" s="9" t="n">
        <v>441</v>
      </c>
      <c r="L35" s="9" t="n">
        <v>41</v>
      </c>
      <c r="M35" s="9" t="n">
        <v>814</v>
      </c>
      <c r="N35" s="9" t="inlineStr">
        <is>
          <t>SCIAN2007_base2008</t>
        </is>
      </c>
      <c r="O35" s="9" t="inlineStr">
        <is>
          <t>referencia</t>
        </is>
      </c>
      <c r="P35" s="8" t="n"/>
    </row>
    <row r="36">
      <c r="A36" s="6" t="n">
        <v>2008</v>
      </c>
      <c r="B36" s="6" t="n">
        <v>212291</v>
      </c>
      <c r="C36" s="6" t="inlineStr">
        <is>
          <t>manganeso</t>
        </is>
      </c>
      <c r="D36" s="6" t="n">
        <v>8104.873</v>
      </c>
      <c r="E36" s="6" t="n">
        <v>2215.048</v>
      </c>
      <c r="F36" s="6" t="n">
        <v>0.2733</v>
      </c>
      <c r="G36" s="6" t="n">
        <v>1.308</v>
      </c>
      <c r="H36" s="6" t="n">
        <v>1.5504</v>
      </c>
      <c r="I36" s="6" t="n">
        <v>0.8622</v>
      </c>
      <c r="J36" s="6" t="n">
        <v>1.0032</v>
      </c>
      <c r="K36" s="6" t="n">
        <v>658</v>
      </c>
      <c r="L36" s="6" t="n">
        <v>329</v>
      </c>
      <c r="M36" s="6" t="n">
        <v>814</v>
      </c>
      <c r="N36" s="6" t="inlineStr">
        <is>
          <t>SCIAN2007_base2008</t>
        </is>
      </c>
      <c r="O36" s="6" t="inlineStr">
        <is>
          <t>referencia</t>
        </is>
      </c>
      <c r="P36" s="5" t="inlineStr">
        <is>
          <t>clase 212291 mas amplia en 2008 (agrega 212292 mercurio/antimonio y 212299 otros metalicos); en 2018 son clases aparte -&gt; nivel no comparable</t>
        </is>
      </c>
    </row>
    <row r="37">
      <c r="A37" s="9" t="n">
        <v>2008</v>
      </c>
      <c r="B37" s="9" t="n">
        <v>212221</v>
      </c>
      <c r="C37" s="9" t="inlineStr">
        <is>
          <t>oro</t>
        </is>
      </c>
      <c r="D37" s="9" t="n">
        <v>12804.416</v>
      </c>
      <c r="E37" s="9" t="n">
        <v>12531.589</v>
      </c>
      <c r="F37" s="9" t="n">
        <v>0.9787</v>
      </c>
      <c r="G37" s="9" t="n">
        <v>1.4403</v>
      </c>
      <c r="H37" s="9" t="n">
        <v>2.2881</v>
      </c>
      <c r="I37" s="9" t="n">
        <v>0.9494</v>
      </c>
      <c r="J37" s="9" t="n">
        <v>1.4805</v>
      </c>
      <c r="K37" s="9" t="n">
        <v>491</v>
      </c>
      <c r="L37" s="9" t="n">
        <v>115</v>
      </c>
      <c r="M37" s="9" t="n">
        <v>814</v>
      </c>
      <c r="N37" s="9" t="inlineStr">
        <is>
          <t>SCIAN2007_base2008</t>
        </is>
      </c>
      <c r="O37" s="9" t="inlineStr">
        <is>
          <t>referencia</t>
        </is>
      </c>
      <c r="P37" s="8" t="n"/>
    </row>
    <row r="38">
      <c r="A38" s="6" t="n">
        <v>2008</v>
      </c>
      <c r="B38" s="6" t="n">
        <v>212222</v>
      </c>
      <c r="C38" s="6" t="inlineStr">
        <is>
          <t>plata</t>
        </is>
      </c>
      <c r="D38" s="6" t="n">
        <v>19037.077</v>
      </c>
      <c r="E38" s="6" t="n">
        <v>3419.443</v>
      </c>
      <c r="F38" s="6" t="n">
        <v>0.1796</v>
      </c>
      <c r="G38" s="6" t="n">
        <v>1.4277</v>
      </c>
      <c r="H38" s="6" t="n">
        <v>1.2303</v>
      </c>
      <c r="I38" s="6" t="n">
        <v>0.9412</v>
      </c>
      <c r="J38" s="6" t="n">
        <v>0.7961</v>
      </c>
      <c r="K38" s="6" t="n">
        <v>505</v>
      </c>
      <c r="L38" s="6" t="n">
        <v>430</v>
      </c>
      <c r="M38" s="6" t="n">
        <v>814</v>
      </c>
      <c r="N38" s="6" t="inlineStr">
        <is>
          <t>SCIAN2007_base2008</t>
        </is>
      </c>
      <c r="O38" s="6" t="inlineStr">
        <is>
          <t>referencia</t>
        </is>
      </c>
      <c r="P38" s="5" t="n"/>
    </row>
    <row r="39">
      <c r="A39" s="9" t="n">
        <v>2008</v>
      </c>
      <c r="B39" s="9" t="n">
        <v>212232</v>
      </c>
      <c r="C39" s="9" t="inlineStr">
        <is>
          <t>plomo-zinc</t>
        </is>
      </c>
      <c r="D39" s="9" t="n">
        <v>7929.981</v>
      </c>
      <c r="E39" s="9" t="n">
        <v>6222.117</v>
      </c>
      <c r="F39" s="9" t="n">
        <v>0.7846</v>
      </c>
      <c r="G39" s="9" t="n">
        <v>1.4914</v>
      </c>
      <c r="H39" s="9" t="n">
        <v>2.0911</v>
      </c>
      <c r="I39" s="9" t="n">
        <v>0.9831</v>
      </c>
      <c r="J39" s="9" t="n">
        <v>1.3531</v>
      </c>
      <c r="K39" s="9" t="n">
        <v>422</v>
      </c>
      <c r="L39" s="9" t="n">
        <v>176</v>
      </c>
      <c r="M39" s="9" t="n">
        <v>814</v>
      </c>
      <c r="N39" s="9" t="inlineStr">
        <is>
          <t>SCIAN2007_base2008</t>
        </is>
      </c>
      <c r="O39" s="9" t="inlineStr">
        <is>
          <t>referencia</t>
        </is>
      </c>
      <c r="P39" s="8" t="n"/>
    </row>
    <row r="40">
      <c r="A40" s="6" t="n">
        <v>2008</v>
      </c>
      <c r="B40" s="6" t="n">
        <v>212324</v>
      </c>
      <c r="C40" s="6" t="inlineStr">
        <is>
          <t>silice</t>
        </is>
      </c>
      <c r="D40" s="6" t="n">
        <v>1216.574</v>
      </c>
      <c r="E40" s="6" t="n">
        <v>988.052</v>
      </c>
      <c r="F40" s="6" t="n">
        <v>0.8122</v>
      </c>
      <c r="G40" s="6" t="n">
        <v>1.3574</v>
      </c>
      <c r="H40" s="6" t="n">
        <v>2.4723</v>
      </c>
      <c r="I40" s="6" t="n">
        <v>0.8948</v>
      </c>
      <c r="J40" s="6" t="n">
        <v>1.5997</v>
      </c>
      <c r="K40" s="6" t="n">
        <v>605</v>
      </c>
      <c r="L40" s="6" t="n">
        <v>69</v>
      </c>
      <c r="M40" s="6" t="n">
        <v>814</v>
      </c>
      <c r="N40" s="6" t="inlineStr">
        <is>
          <t>SCIAN2007_base2008</t>
        </is>
      </c>
      <c r="O40" s="6" t="inlineStr">
        <is>
          <t>referencia</t>
        </is>
      </c>
      <c r="P40" s="5" t="n"/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9" customWidth="1" min="5" max="5"/>
    <col width="22" customWidth="1" min="6" max="6"/>
    <col width="10" customWidth="1" min="7" max="7"/>
    <col width="13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1" customWidth="1" min="14" max="14"/>
  </cols>
  <sheetData>
    <row r="1" ht="24" customHeight="1">
      <c r="A1" s="1" t="inlineStr">
        <is>
          <t>MIP nacional - encadenamiento por eslabon (extraccion / refinacion / semimanufactura)</t>
        </is>
      </c>
    </row>
    <row r="2" ht="40" customHeight="1">
      <c r="A2" s="2" t="inlineStr">
        <is>
          <t>Ghosh-Rasmussen por clase SCIAN de cada eslabon: prueba si el arrastre hacia adelante se sostiene al descender por la cadena. 'atribuible' indica si la clase SCIAN es propia del mineral o compartida. Resultado del script (mismo metodo validado que la hoja 14).</t>
        </is>
      </c>
    </row>
    <row r="3">
      <c r="A3" s="3" t="inlineStr">
        <is>
          <t>anio</t>
        </is>
      </c>
      <c r="B3" s="3" t="inlineStr">
        <is>
          <t>mineral</t>
        </is>
      </c>
      <c r="C3" s="3" t="inlineStr">
        <is>
          <t>eslabon</t>
        </is>
      </c>
      <c r="D3" s="3" t="inlineStr">
        <is>
          <t>tipo</t>
        </is>
      </c>
      <c r="E3" s="3" t="inlineStr">
        <is>
          <t>scian</t>
        </is>
      </c>
      <c r="F3" s="3" t="inlineStr">
        <is>
          <t>clase</t>
        </is>
      </c>
      <c r="G3" s="3" t="inlineStr">
        <is>
          <t>atribuible</t>
        </is>
      </c>
      <c r="H3" s="3" t="inlineStr">
        <is>
          <t>vbp_mmpesos</t>
        </is>
      </c>
      <c r="I3" s="3" t="inlineStr">
        <is>
          <t>forward_G_rowsum</t>
        </is>
      </c>
      <c r="J3" s="3" t="inlineStr">
        <is>
          <t>forward_rasmussen</t>
        </is>
      </c>
      <c r="K3" s="3" t="inlineStr">
        <is>
          <t>backward_rasmussen</t>
        </is>
      </c>
      <c r="L3" s="3" t="inlineStr">
        <is>
          <t>rank_forward</t>
        </is>
      </c>
      <c r="M3" s="3" t="inlineStr">
        <is>
          <t>rank_backward</t>
        </is>
      </c>
      <c r="N3" s="3" t="inlineStr">
        <is>
          <t>n_sectores</t>
        </is>
      </c>
    </row>
    <row r="4">
      <c r="A4" s="6" t="n">
        <v>2008</v>
      </c>
      <c r="B4" s="6" t="inlineStr">
        <is>
          <t>barita</t>
        </is>
      </c>
      <c r="C4" s="6" t="inlineStr">
        <is>
          <t>L1</t>
        </is>
      </c>
      <c r="D4" s="6" t="inlineStr">
        <is>
          <t>extraccion</t>
        </is>
      </c>
      <c r="E4" s="6" t="n">
        <v>212393</v>
      </c>
      <c r="F4" s="5" t="inlineStr">
        <is>
          <t>Minería de barita</t>
        </is>
      </c>
      <c r="G4" s="6" t="inlineStr">
        <is>
          <t>si</t>
        </is>
      </c>
      <c r="H4" s="6" t="n">
        <v>270</v>
      </c>
      <c r="I4" s="6" t="n">
        <v>1.9905</v>
      </c>
      <c r="J4" s="6" t="n">
        <v>1.288</v>
      </c>
      <c r="K4" s="6" t="n">
        <v>0.9631</v>
      </c>
      <c r="L4" s="6" t="n">
        <v>226</v>
      </c>
      <c r="M4" s="6" t="n">
        <v>465</v>
      </c>
      <c r="N4" s="6" t="n">
        <v>814</v>
      </c>
    </row>
    <row r="5">
      <c r="A5" s="9" t="n">
        <v>2008</v>
      </c>
      <c r="B5" s="9" t="inlineStr">
        <is>
          <t>barita</t>
        </is>
      </c>
      <c r="C5" s="9" t="inlineStr">
        <is>
          <t>L2</t>
        </is>
      </c>
      <c r="D5" s="9" t="inlineStr">
        <is>
          <t>refinacion</t>
        </is>
      </c>
      <c r="E5" s="9" t="n">
        <v>325180</v>
      </c>
      <c r="F5" s="8" t="inlineStr">
        <is>
          <t xml:space="preserve">Fabricación de otros productos químicos básicos </t>
        </is>
      </c>
      <c r="G5" s="9" t="inlineStr">
        <is>
          <t>no</t>
        </is>
      </c>
      <c r="H5" s="9" t="n">
        <v>27627.8</v>
      </c>
      <c r="I5" s="9" t="n">
        <v>2.0753</v>
      </c>
      <c r="J5" s="9" t="n">
        <v>1.3428</v>
      </c>
      <c r="K5" s="9" t="n">
        <v>1.125</v>
      </c>
      <c r="L5" s="9" t="n">
        <v>184</v>
      </c>
      <c r="M5" s="9" t="n">
        <v>156</v>
      </c>
      <c r="N5" s="9" t="n">
        <v>814</v>
      </c>
    </row>
    <row r="6">
      <c r="A6" s="6" t="n">
        <v>2008</v>
      </c>
      <c r="B6" s="6" t="inlineStr">
        <is>
          <t>barita</t>
        </is>
      </c>
      <c r="C6" s="6" t="inlineStr">
        <is>
          <t>L3</t>
        </is>
      </c>
      <c r="D6" s="6" t="inlineStr">
        <is>
          <t>semimanufactura</t>
        </is>
      </c>
      <c r="E6" s="6" t="n"/>
      <c r="F6" s="5" t="inlineStr">
        <is>
          <t>(sin clase separable)</t>
        </is>
      </c>
      <c r="G6" s="6" t="inlineStr">
        <is>
          <t>-</t>
        </is>
      </c>
      <c r="H6" s="6" t="n"/>
      <c r="I6" s="6" t="n"/>
      <c r="J6" s="6" t="n"/>
      <c r="K6" s="6" t="n"/>
      <c r="L6" s="6" t="n"/>
      <c r="M6" s="6" t="n"/>
      <c r="N6" s="6" t="n">
        <v>814</v>
      </c>
    </row>
    <row r="7">
      <c r="A7" s="9" t="n">
        <v>2008</v>
      </c>
      <c r="B7" s="9" t="inlineStr">
        <is>
          <t>cobre</t>
        </is>
      </c>
      <c r="C7" s="9" t="inlineStr">
        <is>
          <t>L1</t>
        </is>
      </c>
      <c r="D7" s="9" t="inlineStr">
        <is>
          <t>extraccion</t>
        </is>
      </c>
      <c r="E7" s="9" t="n">
        <v>212231</v>
      </c>
      <c r="F7" s="8" t="inlineStr">
        <is>
          <t>Minería de cobre</t>
        </is>
      </c>
      <c r="G7" s="9" t="inlineStr">
        <is>
          <t>si</t>
        </is>
      </c>
      <c r="H7" s="9" t="n">
        <v>12361.4</v>
      </c>
      <c r="I7" s="9" t="n">
        <v>2.5131</v>
      </c>
      <c r="J7" s="9" t="n">
        <v>1.6261</v>
      </c>
      <c r="K7" s="9" t="n">
        <v>0.8406</v>
      </c>
      <c r="L7" s="9" t="n">
        <v>57</v>
      </c>
      <c r="M7" s="9" t="n">
        <v>699</v>
      </c>
      <c r="N7" s="9" t="n">
        <v>814</v>
      </c>
    </row>
    <row r="8">
      <c r="A8" s="6" t="n">
        <v>2008</v>
      </c>
      <c r="B8" s="6" t="inlineStr">
        <is>
          <t>cobre</t>
        </is>
      </c>
      <c r="C8" s="6" t="inlineStr">
        <is>
          <t>L2</t>
        </is>
      </c>
      <c r="D8" s="6" t="inlineStr">
        <is>
          <t>refinacion</t>
        </is>
      </c>
      <c r="E8" s="6" t="n">
        <v>331411</v>
      </c>
      <c r="F8" s="5" t="inlineStr">
        <is>
          <t>Fundición y refinación de cobre</t>
        </is>
      </c>
      <c r="G8" s="6" t="inlineStr">
        <is>
          <t>si</t>
        </is>
      </c>
      <c r="H8" s="6" t="n">
        <v>19380.2</v>
      </c>
      <c r="I8" s="6" t="n">
        <v>2.1006</v>
      </c>
      <c r="J8" s="6" t="n">
        <v>1.3592</v>
      </c>
      <c r="K8" s="6" t="n">
        <v>1.1495</v>
      </c>
      <c r="L8" s="6" t="n">
        <v>172</v>
      </c>
      <c r="M8" s="6" t="n">
        <v>126</v>
      </c>
      <c r="N8" s="6" t="n">
        <v>814</v>
      </c>
    </row>
    <row r="9">
      <c r="A9" s="9" t="n">
        <v>2008</v>
      </c>
      <c r="B9" s="9" t="inlineStr">
        <is>
          <t>cobre</t>
        </is>
      </c>
      <c r="C9" s="9" t="inlineStr">
        <is>
          <t>L3</t>
        </is>
      </c>
      <c r="D9" s="9" t="inlineStr">
        <is>
          <t>semimanufactura</t>
        </is>
      </c>
      <c r="E9" s="9" t="n">
        <v>331420</v>
      </c>
      <c r="F9" s="8" t="inlineStr">
        <is>
          <t>Laminación secundaria de cobre</t>
        </is>
      </c>
      <c r="G9" s="9" t="inlineStr">
        <is>
          <t>si</t>
        </is>
      </c>
      <c r="H9" s="9" t="n">
        <v>32740.1</v>
      </c>
      <c r="I9" s="9" t="n">
        <v>1.7034</v>
      </c>
      <c r="J9" s="9" t="n">
        <v>1.1022</v>
      </c>
      <c r="K9" s="9" t="n">
        <v>1.1042</v>
      </c>
      <c r="L9" s="9" t="n">
        <v>296</v>
      </c>
      <c r="M9" s="9" t="n">
        <v>195</v>
      </c>
      <c r="N9" s="9" t="n">
        <v>814</v>
      </c>
    </row>
    <row r="10">
      <c r="A10" s="6" t="n">
        <v>2008</v>
      </c>
      <c r="B10" s="6" t="inlineStr">
        <is>
          <t>fluorita</t>
        </is>
      </c>
      <c r="C10" s="6" t="inlineStr">
        <is>
          <t>L1</t>
        </is>
      </c>
      <c r="D10" s="6" t="inlineStr">
        <is>
          <t>extraccion</t>
        </is>
      </c>
      <c r="E10" s="6" t="n">
        <v>212395</v>
      </c>
      <c r="F10" s="5" t="inlineStr">
        <is>
          <t>Minería de fluorita</t>
        </is>
      </c>
      <c r="G10" s="6" t="inlineStr">
        <is>
          <t>si</t>
        </is>
      </c>
      <c r="H10" s="6" t="n">
        <v>1286.1</v>
      </c>
      <c r="I10" s="6" t="n">
        <v>1.7203</v>
      </c>
      <c r="J10" s="6" t="n">
        <v>1.1131</v>
      </c>
      <c r="K10" s="6" t="n">
        <v>0.9821</v>
      </c>
      <c r="L10" s="6" t="n">
        <v>292</v>
      </c>
      <c r="M10" s="6" t="n">
        <v>425</v>
      </c>
      <c r="N10" s="6" t="n">
        <v>814</v>
      </c>
    </row>
    <row r="11">
      <c r="A11" s="9" t="n">
        <v>2008</v>
      </c>
      <c r="B11" s="9" t="inlineStr">
        <is>
          <t>fluorita</t>
        </is>
      </c>
      <c r="C11" s="9" t="inlineStr">
        <is>
          <t>L2</t>
        </is>
      </c>
      <c r="D11" s="9" t="inlineStr">
        <is>
          <t>refinacion</t>
        </is>
      </c>
      <c r="E11" s="9" t="n">
        <v>325180</v>
      </c>
      <c r="F11" s="8" t="inlineStr">
        <is>
          <t xml:space="preserve">Fabricación de otros productos químicos básicos </t>
        </is>
      </c>
      <c r="G11" s="9" t="inlineStr">
        <is>
          <t>no</t>
        </is>
      </c>
      <c r="H11" s="9" t="n">
        <v>27627.8</v>
      </c>
      <c r="I11" s="9" t="n">
        <v>2.0753</v>
      </c>
      <c r="J11" s="9" t="n">
        <v>1.3428</v>
      </c>
      <c r="K11" s="9" t="n">
        <v>1.125</v>
      </c>
      <c r="L11" s="9" t="n">
        <v>184</v>
      </c>
      <c r="M11" s="9" t="n">
        <v>156</v>
      </c>
      <c r="N11" s="9" t="n">
        <v>814</v>
      </c>
    </row>
    <row r="12">
      <c r="A12" s="6" t="n">
        <v>2008</v>
      </c>
      <c r="B12" s="6" t="inlineStr">
        <is>
          <t>fluorita</t>
        </is>
      </c>
      <c r="C12" s="6" t="inlineStr">
        <is>
          <t>L3</t>
        </is>
      </c>
      <c r="D12" s="6" t="inlineStr">
        <is>
          <t>semimanufactura</t>
        </is>
      </c>
      <c r="E12" s="6" t="n">
        <v>325211</v>
      </c>
      <c r="F12" s="5" t="inlineStr">
        <is>
          <t>Fabricación de resinas sintéticas</t>
        </is>
      </c>
      <c r="G12" s="6" t="inlineStr">
        <is>
          <t>no</t>
        </is>
      </c>
      <c r="H12" s="6" t="n">
        <v>50966.7</v>
      </c>
      <c r="I12" s="6" t="n">
        <v>2.1577</v>
      </c>
      <c r="J12" s="6" t="n">
        <v>1.3961</v>
      </c>
      <c r="K12" s="6" t="n">
        <v>1.1319</v>
      </c>
      <c r="L12" s="6" t="n">
        <v>150</v>
      </c>
      <c r="M12" s="6" t="n">
        <v>143</v>
      </c>
      <c r="N12" s="6" t="n">
        <v>814</v>
      </c>
    </row>
    <row r="13">
      <c r="A13" s="9" t="n">
        <v>2008</v>
      </c>
      <c r="B13" s="9" t="inlineStr">
        <is>
          <t>grafito</t>
        </is>
      </c>
      <c r="C13" s="9" t="inlineStr">
        <is>
          <t>L1</t>
        </is>
      </c>
      <c r="D13" s="9" t="inlineStr">
        <is>
          <t>extraccion</t>
        </is>
      </c>
      <c r="E13" s="9" t="n">
        <v>212396</v>
      </c>
      <c r="F13" s="8" t="inlineStr">
        <is>
          <t>Minería de grafito</t>
        </is>
      </c>
      <c r="G13" s="9" t="inlineStr">
        <is>
          <t>si</t>
        </is>
      </c>
      <c r="H13" s="9" t="n">
        <v>403.6</v>
      </c>
      <c r="I13" s="9" t="n">
        <v>2.6035</v>
      </c>
      <c r="J13" s="9" t="n">
        <v>1.6846</v>
      </c>
      <c r="K13" s="9" t="n">
        <v>0.9743000000000001</v>
      </c>
      <c r="L13" s="9" t="n">
        <v>41</v>
      </c>
      <c r="M13" s="9" t="n">
        <v>441</v>
      </c>
      <c r="N13" s="9" t="n">
        <v>814</v>
      </c>
    </row>
    <row r="14">
      <c r="A14" s="6" t="n">
        <v>2008</v>
      </c>
      <c r="B14" s="6" t="inlineStr">
        <is>
          <t>grafito</t>
        </is>
      </c>
      <c r="C14" s="6" t="inlineStr">
        <is>
          <t>L2</t>
        </is>
      </c>
      <c r="D14" s="6" t="inlineStr">
        <is>
          <t>refinacion</t>
        </is>
      </c>
      <c r="E14" s="6" t="n">
        <v>325180</v>
      </c>
      <c r="F14" s="5" t="inlineStr">
        <is>
          <t xml:space="preserve">Fabricación de otros productos químicos básicos </t>
        </is>
      </c>
      <c r="G14" s="6" t="inlineStr">
        <is>
          <t>no</t>
        </is>
      </c>
      <c r="H14" s="6" t="n">
        <v>27627.8</v>
      </c>
      <c r="I14" s="6" t="n">
        <v>2.0753</v>
      </c>
      <c r="J14" s="6" t="n">
        <v>1.3428</v>
      </c>
      <c r="K14" s="6" t="n">
        <v>1.125</v>
      </c>
      <c r="L14" s="6" t="n">
        <v>184</v>
      </c>
      <c r="M14" s="6" t="n">
        <v>156</v>
      </c>
      <c r="N14" s="6" t="n">
        <v>814</v>
      </c>
    </row>
    <row r="15">
      <c r="A15" s="9" t="n">
        <v>2008</v>
      </c>
      <c r="B15" s="9" t="inlineStr">
        <is>
          <t>grafito</t>
        </is>
      </c>
      <c r="C15" s="9" t="inlineStr">
        <is>
          <t>L3</t>
        </is>
      </c>
      <c r="D15" s="9" t="inlineStr">
        <is>
          <t>semimanufactura</t>
        </is>
      </c>
      <c r="E15" s="9" t="n">
        <v>327999</v>
      </c>
      <c r="F15" s="8" t="inlineStr">
        <is>
          <t>Fabricación de otros productos a base de mineral</t>
        </is>
      </c>
      <c r="G15" s="9" t="inlineStr">
        <is>
          <t>no</t>
        </is>
      </c>
      <c r="H15" s="9" t="n">
        <v>4310.1</v>
      </c>
      <c r="I15" s="9" t="n">
        <v>1.821</v>
      </c>
      <c r="J15" s="9" t="n">
        <v>1.1783</v>
      </c>
      <c r="K15" s="9" t="n">
        <v>1.1776</v>
      </c>
      <c r="L15" s="9" t="n">
        <v>273</v>
      </c>
      <c r="M15" s="9" t="n">
        <v>91</v>
      </c>
      <c r="N15" s="9" t="n">
        <v>814</v>
      </c>
    </row>
    <row r="16">
      <c r="A16" s="6" t="n">
        <v>2008</v>
      </c>
      <c r="B16" s="6" t="inlineStr">
        <is>
          <t>manganeso</t>
        </is>
      </c>
      <c r="C16" s="6" t="inlineStr">
        <is>
          <t>L1</t>
        </is>
      </c>
      <c r="D16" s="6" t="inlineStr">
        <is>
          <t>extraccion</t>
        </is>
      </c>
      <c r="E16" s="6" t="n">
        <v>212291</v>
      </c>
      <c r="F16" s="5" t="inlineStr">
        <is>
          <t>Minería de manganeso (incluye a la 212292 "Miner</t>
        </is>
      </c>
      <c r="G16" s="6" t="inlineStr">
        <is>
          <t>si</t>
        </is>
      </c>
      <c r="H16" s="6" t="n">
        <v>8104.9</v>
      </c>
      <c r="I16" s="6" t="n">
        <v>1.5504</v>
      </c>
      <c r="J16" s="6" t="n">
        <v>1.0032</v>
      </c>
      <c r="K16" s="6" t="n">
        <v>0.8622</v>
      </c>
      <c r="L16" s="6" t="n">
        <v>329</v>
      </c>
      <c r="M16" s="6" t="n">
        <v>658</v>
      </c>
      <c r="N16" s="6" t="n">
        <v>814</v>
      </c>
    </row>
    <row r="17">
      <c r="A17" s="9" t="n">
        <v>2008</v>
      </c>
      <c r="B17" s="9" t="inlineStr">
        <is>
          <t>manganeso</t>
        </is>
      </c>
      <c r="C17" s="9" t="inlineStr">
        <is>
          <t>L2</t>
        </is>
      </c>
      <c r="D17" s="9" t="inlineStr">
        <is>
          <t>refinacion</t>
        </is>
      </c>
      <c r="E17" s="9" t="n">
        <v>331112</v>
      </c>
      <c r="F17" s="8" t="inlineStr">
        <is>
          <t>Fabricación de desbastes primarios y ferroaleaci</t>
        </is>
      </c>
      <c r="G17" s="9" t="inlineStr">
        <is>
          <t>comp</t>
        </is>
      </c>
      <c r="H17" s="9" t="n">
        <v>37451.2</v>
      </c>
      <c r="I17" s="9" t="n">
        <v>1.9581</v>
      </c>
      <c r="J17" s="9" t="n">
        <v>1.267</v>
      </c>
      <c r="K17" s="9" t="n">
        <v>1.3342</v>
      </c>
      <c r="L17" s="9" t="n">
        <v>236</v>
      </c>
      <c r="M17" s="9" t="n">
        <v>21</v>
      </c>
      <c r="N17" s="9" t="n">
        <v>814</v>
      </c>
    </row>
    <row r="18">
      <c r="A18" s="6" t="n">
        <v>2008</v>
      </c>
      <c r="B18" s="6" t="inlineStr">
        <is>
          <t>manganeso</t>
        </is>
      </c>
      <c r="C18" s="6" t="inlineStr">
        <is>
          <t>L3</t>
        </is>
      </c>
      <c r="D18" s="6" t="inlineStr">
        <is>
          <t>semimanufactura</t>
        </is>
      </c>
      <c r="E18" s="6" t="n"/>
      <c r="F18" s="5" t="inlineStr">
        <is>
          <t>(sin clase separable)</t>
        </is>
      </c>
      <c r="G18" s="6" t="inlineStr">
        <is>
          <t>-</t>
        </is>
      </c>
      <c r="H18" s="6" t="n"/>
      <c r="I18" s="6" t="n"/>
      <c r="J18" s="6" t="n"/>
      <c r="K18" s="6" t="n"/>
      <c r="L18" s="6" t="n"/>
      <c r="M18" s="6" t="n"/>
      <c r="N18" s="6" t="n">
        <v>814</v>
      </c>
    </row>
    <row r="19">
      <c r="A19" s="9" t="n">
        <v>2008</v>
      </c>
      <c r="B19" s="9" t="inlineStr">
        <is>
          <t>oro</t>
        </is>
      </c>
      <c r="C19" s="9" t="inlineStr">
        <is>
          <t>L1</t>
        </is>
      </c>
      <c r="D19" s="9" t="inlineStr">
        <is>
          <t>extraccion</t>
        </is>
      </c>
      <c r="E19" s="9" t="n">
        <v>212221</v>
      </c>
      <c r="F19" s="8" t="inlineStr">
        <is>
          <t>Minería de oro</t>
        </is>
      </c>
      <c r="G19" s="9" t="inlineStr">
        <is>
          <t>si</t>
        </is>
      </c>
      <c r="H19" s="9" t="n">
        <v>12804.4</v>
      </c>
      <c r="I19" s="9" t="n">
        <v>2.2881</v>
      </c>
      <c r="J19" s="9" t="n">
        <v>1.4805</v>
      </c>
      <c r="K19" s="9" t="n">
        <v>0.9494</v>
      </c>
      <c r="L19" s="9" t="n">
        <v>115</v>
      </c>
      <c r="M19" s="9" t="n">
        <v>491</v>
      </c>
      <c r="N19" s="9" t="n">
        <v>814</v>
      </c>
    </row>
    <row r="20">
      <c r="A20" s="6" t="n">
        <v>2008</v>
      </c>
      <c r="B20" s="6" t="inlineStr">
        <is>
          <t>oro</t>
        </is>
      </c>
      <c r="C20" s="6" t="inlineStr">
        <is>
          <t>L2</t>
        </is>
      </c>
      <c r="D20" s="6" t="inlineStr">
        <is>
          <t>refinacion</t>
        </is>
      </c>
      <c r="E20" s="6" t="n">
        <v>331412</v>
      </c>
      <c r="F20" s="5" t="inlineStr">
        <is>
          <t>Fundición y refinación de metales preciosos</t>
        </is>
      </c>
      <c r="G20" s="6" t="inlineStr">
        <is>
          <t>comp</t>
        </is>
      </c>
      <c r="H20" s="6" t="n">
        <v>30578.1</v>
      </c>
      <c r="I20" s="6" t="n">
        <v>1</v>
      </c>
      <c r="J20" s="6" t="n">
        <v>0.6471</v>
      </c>
      <c r="K20" s="6" t="n">
        <v>1.3397</v>
      </c>
      <c r="L20" s="6" t="n">
        <v>752</v>
      </c>
      <c r="M20" s="6" t="n">
        <v>19</v>
      </c>
      <c r="N20" s="6" t="n">
        <v>814</v>
      </c>
    </row>
    <row r="21">
      <c r="A21" s="9" t="n">
        <v>2008</v>
      </c>
      <c r="B21" s="9" t="inlineStr">
        <is>
          <t>oro</t>
        </is>
      </c>
      <c r="C21" s="9" t="inlineStr">
        <is>
          <t>L3</t>
        </is>
      </c>
      <c r="D21" s="9" t="inlineStr">
        <is>
          <t>semimanufactura</t>
        </is>
      </c>
      <c r="E21" s="9" t="n">
        <v>331490</v>
      </c>
      <c r="F21" s="8" t="inlineStr">
        <is>
          <t>Laminación secundaria de otros metales no ferros</t>
        </is>
      </c>
      <c r="G21" s="9" t="inlineStr">
        <is>
          <t>comp</t>
        </is>
      </c>
      <c r="H21" s="9" t="n">
        <v>23564.1</v>
      </c>
      <c r="I21" s="9" t="n">
        <v>1.7144</v>
      </c>
      <c r="J21" s="9" t="n">
        <v>1.1093</v>
      </c>
      <c r="K21" s="9" t="n">
        <v>1.2706</v>
      </c>
      <c r="L21" s="9" t="n">
        <v>295</v>
      </c>
      <c r="M21" s="9" t="n">
        <v>37</v>
      </c>
      <c r="N21" s="9" t="n">
        <v>814</v>
      </c>
    </row>
    <row r="22">
      <c r="A22" s="6" t="n">
        <v>2008</v>
      </c>
      <c r="B22" s="6" t="inlineStr">
        <is>
          <t>plata</t>
        </is>
      </c>
      <c r="C22" s="6" t="inlineStr">
        <is>
          <t>L1</t>
        </is>
      </c>
      <c r="D22" s="6" t="inlineStr">
        <is>
          <t>extraccion</t>
        </is>
      </c>
      <c r="E22" s="6" t="n">
        <v>212222</v>
      </c>
      <c r="F22" s="5" t="inlineStr">
        <is>
          <t>Minería de plata</t>
        </is>
      </c>
      <c r="G22" s="6" t="inlineStr">
        <is>
          <t>si</t>
        </is>
      </c>
      <c r="H22" s="6" t="n">
        <v>19037.1</v>
      </c>
      <c r="I22" s="6" t="n">
        <v>1.2303</v>
      </c>
      <c r="J22" s="6" t="n">
        <v>0.7961</v>
      </c>
      <c r="K22" s="6" t="n">
        <v>0.9412</v>
      </c>
      <c r="L22" s="6" t="n">
        <v>430</v>
      </c>
      <c r="M22" s="6" t="n">
        <v>505</v>
      </c>
      <c r="N22" s="6" t="n">
        <v>814</v>
      </c>
    </row>
    <row r="23">
      <c r="A23" s="9" t="n">
        <v>2008</v>
      </c>
      <c r="B23" s="9" t="inlineStr">
        <is>
          <t>plata</t>
        </is>
      </c>
      <c r="C23" s="9" t="inlineStr">
        <is>
          <t>L2</t>
        </is>
      </c>
      <c r="D23" s="9" t="inlineStr">
        <is>
          <t>refinacion</t>
        </is>
      </c>
      <c r="E23" s="9" t="n">
        <v>331412</v>
      </c>
      <c r="F23" s="8" t="inlineStr">
        <is>
          <t>Fundición y refinación de metales preciosos</t>
        </is>
      </c>
      <c r="G23" s="9" t="inlineStr">
        <is>
          <t>comp</t>
        </is>
      </c>
      <c r="H23" s="9" t="n">
        <v>30578.1</v>
      </c>
      <c r="I23" s="9" t="n">
        <v>1</v>
      </c>
      <c r="J23" s="9" t="n">
        <v>0.6471</v>
      </c>
      <c r="K23" s="9" t="n">
        <v>1.3397</v>
      </c>
      <c r="L23" s="9" t="n">
        <v>752</v>
      </c>
      <c r="M23" s="9" t="n">
        <v>19</v>
      </c>
      <c r="N23" s="9" t="n">
        <v>814</v>
      </c>
    </row>
    <row r="24">
      <c r="A24" s="6" t="n">
        <v>2008</v>
      </c>
      <c r="B24" s="6" t="inlineStr">
        <is>
          <t>plata</t>
        </is>
      </c>
      <c r="C24" s="6" t="inlineStr">
        <is>
          <t>L3</t>
        </is>
      </c>
      <c r="D24" s="6" t="inlineStr">
        <is>
          <t>semimanufactura</t>
        </is>
      </c>
      <c r="E24" s="6" t="n">
        <v>331490</v>
      </c>
      <c r="F24" s="5" t="inlineStr">
        <is>
          <t>Laminación secundaria de otros metales no ferros</t>
        </is>
      </c>
      <c r="G24" s="6" t="inlineStr">
        <is>
          <t>comp</t>
        </is>
      </c>
      <c r="H24" s="6" t="n">
        <v>23564.1</v>
      </c>
      <c r="I24" s="6" t="n">
        <v>1.7144</v>
      </c>
      <c r="J24" s="6" t="n">
        <v>1.1093</v>
      </c>
      <c r="K24" s="6" t="n">
        <v>1.2706</v>
      </c>
      <c r="L24" s="6" t="n">
        <v>295</v>
      </c>
      <c r="M24" s="6" t="n">
        <v>37</v>
      </c>
      <c r="N24" s="6" t="n">
        <v>814</v>
      </c>
    </row>
    <row r="25">
      <c r="A25" s="9" t="n">
        <v>2008</v>
      </c>
      <c r="B25" s="9" t="inlineStr">
        <is>
          <t>plomo-zinc</t>
        </is>
      </c>
      <c r="C25" s="9" t="inlineStr">
        <is>
          <t>L1</t>
        </is>
      </c>
      <c r="D25" s="9" t="inlineStr">
        <is>
          <t>extraccion</t>
        </is>
      </c>
      <c r="E25" s="9" t="n">
        <v>212232</v>
      </c>
      <c r="F25" s="8" t="inlineStr">
        <is>
          <t>Minería de plomo y zinc</t>
        </is>
      </c>
      <c r="G25" s="9" t="inlineStr">
        <is>
          <t>si</t>
        </is>
      </c>
      <c r="H25" s="9" t="n">
        <v>7930</v>
      </c>
      <c r="I25" s="9" t="n">
        <v>2.0911</v>
      </c>
      <c r="J25" s="9" t="n">
        <v>1.3531</v>
      </c>
      <c r="K25" s="9" t="n">
        <v>0.9831</v>
      </c>
      <c r="L25" s="9" t="n">
        <v>176</v>
      </c>
      <c r="M25" s="9" t="n">
        <v>422</v>
      </c>
      <c r="N25" s="9" t="n">
        <v>814</v>
      </c>
    </row>
    <row r="26">
      <c r="A26" s="6" t="n">
        <v>2008</v>
      </c>
      <c r="B26" s="6" t="inlineStr">
        <is>
          <t>plomo-zinc</t>
        </is>
      </c>
      <c r="C26" s="6" t="inlineStr">
        <is>
          <t>L2</t>
        </is>
      </c>
      <c r="D26" s="6" t="inlineStr">
        <is>
          <t>refinacion</t>
        </is>
      </c>
      <c r="E26" s="6" t="n">
        <v>331419</v>
      </c>
      <c r="F26" s="5" t="inlineStr">
        <is>
          <t>Fundición y refinación de otros metales no ferro</t>
        </is>
      </c>
      <c r="G26" s="6" t="inlineStr">
        <is>
          <t>comp</t>
        </is>
      </c>
      <c r="H26" s="6" t="n">
        <v>7252.7</v>
      </c>
      <c r="I26" s="6" t="n">
        <v>1.2351</v>
      </c>
      <c r="J26" s="6" t="n">
        <v>0.7992</v>
      </c>
      <c r="K26" s="6" t="n">
        <v>1.0535</v>
      </c>
      <c r="L26" s="6" t="n">
        <v>427</v>
      </c>
      <c r="M26" s="6" t="n">
        <v>279</v>
      </c>
      <c r="N26" s="6" t="n">
        <v>814</v>
      </c>
    </row>
    <row r="27">
      <c r="A27" s="9" t="n">
        <v>2008</v>
      </c>
      <c r="B27" s="9" t="inlineStr">
        <is>
          <t>plomo-zinc</t>
        </is>
      </c>
      <c r="C27" s="9" t="inlineStr">
        <is>
          <t>L3</t>
        </is>
      </c>
      <c r="D27" s="9" t="inlineStr">
        <is>
          <t>semimanufactura</t>
        </is>
      </c>
      <c r="E27" s="9" t="n">
        <v>331490</v>
      </c>
      <c r="F27" s="8" t="inlineStr">
        <is>
          <t>Laminación secundaria de otros metales no ferros</t>
        </is>
      </c>
      <c r="G27" s="9" t="inlineStr">
        <is>
          <t>comp</t>
        </is>
      </c>
      <c r="H27" s="9" t="n">
        <v>23564.1</v>
      </c>
      <c r="I27" s="9" t="n">
        <v>1.7144</v>
      </c>
      <c r="J27" s="9" t="n">
        <v>1.1093</v>
      </c>
      <c r="K27" s="9" t="n">
        <v>1.2706</v>
      </c>
      <c r="L27" s="9" t="n">
        <v>295</v>
      </c>
      <c r="M27" s="9" t="n">
        <v>37</v>
      </c>
      <c r="N27" s="9" t="n">
        <v>814</v>
      </c>
    </row>
    <row r="28">
      <c r="A28" s="6" t="n">
        <v>2008</v>
      </c>
      <c r="B28" s="6" t="inlineStr">
        <is>
          <t>silice</t>
        </is>
      </c>
      <c r="C28" s="6" t="inlineStr">
        <is>
          <t>L1</t>
        </is>
      </c>
      <c r="D28" s="6" t="inlineStr">
        <is>
          <t>extraccion</t>
        </is>
      </c>
      <c r="E28" s="6" t="n">
        <v>212324</v>
      </c>
      <c r="F28" s="5" t="inlineStr">
        <is>
          <t>Minería de sílice</t>
        </is>
      </c>
      <c r="G28" s="6" t="inlineStr">
        <is>
          <t>si</t>
        </is>
      </c>
      <c r="H28" s="6" t="n">
        <v>1216.6</v>
      </c>
      <c r="I28" s="6" t="n">
        <v>2.4723</v>
      </c>
      <c r="J28" s="6" t="n">
        <v>1.5997</v>
      </c>
      <c r="K28" s="6" t="n">
        <v>0.8948</v>
      </c>
      <c r="L28" s="6" t="n">
        <v>69</v>
      </c>
      <c r="M28" s="6" t="n">
        <v>605</v>
      </c>
      <c r="N28" s="6" t="n">
        <v>814</v>
      </c>
    </row>
    <row r="29">
      <c r="A29" s="9" t="n">
        <v>2008</v>
      </c>
      <c r="B29" s="9" t="inlineStr">
        <is>
          <t>silice</t>
        </is>
      </c>
      <c r="C29" s="9" t="inlineStr">
        <is>
          <t>L2</t>
        </is>
      </c>
      <c r="D29" s="9" t="inlineStr">
        <is>
          <t>refinacion</t>
        </is>
      </c>
      <c r="E29" s="9" t="n">
        <v>325180</v>
      </c>
      <c r="F29" s="8" t="inlineStr">
        <is>
          <t xml:space="preserve">Fabricación de otros productos químicos básicos </t>
        </is>
      </c>
      <c r="G29" s="9" t="inlineStr">
        <is>
          <t>no</t>
        </is>
      </c>
      <c r="H29" s="9" t="n">
        <v>27627.8</v>
      </c>
      <c r="I29" s="9" t="n">
        <v>2.0753</v>
      </c>
      <c r="J29" s="9" t="n">
        <v>1.3428</v>
      </c>
      <c r="K29" s="9" t="n">
        <v>1.125</v>
      </c>
      <c r="L29" s="9" t="n">
        <v>184</v>
      </c>
      <c r="M29" s="9" t="n">
        <v>156</v>
      </c>
      <c r="N29" s="9" t="n">
        <v>814</v>
      </c>
    </row>
    <row r="30">
      <c r="A30" s="6" t="n">
        <v>2008</v>
      </c>
      <c r="B30" s="6" t="inlineStr">
        <is>
          <t>silice</t>
        </is>
      </c>
      <c r="C30" s="6" t="inlineStr">
        <is>
          <t>L3</t>
        </is>
      </c>
      <c r="D30" s="6" t="inlineStr">
        <is>
          <t>semimanufactura</t>
        </is>
      </c>
      <c r="E30" s="6" t="n">
        <v>327211</v>
      </c>
      <c r="F30" s="5" t="inlineStr">
        <is>
          <t>Fabricación de vidrio</t>
        </is>
      </c>
      <c r="G30" s="6" t="inlineStr">
        <is>
          <t>no</t>
        </is>
      </c>
      <c r="H30" s="6" t="n">
        <v>13476.5</v>
      </c>
      <c r="I30" s="6" t="n">
        <v>1.7157</v>
      </c>
      <c r="J30" s="6" t="n">
        <v>1.1101</v>
      </c>
      <c r="K30" s="6" t="n">
        <v>1.2158</v>
      </c>
      <c r="L30" s="6" t="n">
        <v>293</v>
      </c>
      <c r="M30" s="6" t="n">
        <v>61</v>
      </c>
      <c r="N30" s="6" t="n">
        <v>814</v>
      </c>
    </row>
    <row r="31">
      <c r="A31" s="9" t="n">
        <v>2013</v>
      </c>
      <c r="B31" s="9" t="inlineStr">
        <is>
          <t>barita</t>
        </is>
      </c>
      <c r="C31" s="9" t="inlineStr">
        <is>
          <t>L1</t>
        </is>
      </c>
      <c r="D31" s="9" t="inlineStr">
        <is>
          <t>extraccion</t>
        </is>
      </c>
      <c r="E31" s="9" t="n">
        <v>212393</v>
      </c>
      <c r="F31" s="8" t="inlineStr">
        <is>
          <t>MinerÃ­a de barita</t>
        </is>
      </c>
      <c r="G31" s="9" t="inlineStr">
        <is>
          <t>si</t>
        </is>
      </c>
      <c r="H31" s="9" t="n">
        <v>368.3</v>
      </c>
      <c r="I31" s="9" t="n">
        <v>1.2082</v>
      </c>
      <c r="J31" s="9" t="n">
        <v>0.764</v>
      </c>
      <c r="K31" s="9" t="n">
        <v>0.9554</v>
      </c>
      <c r="L31" s="9" t="n">
        <v>444</v>
      </c>
      <c r="M31" s="9" t="n">
        <v>482</v>
      </c>
      <c r="N31" s="9" t="n">
        <v>822</v>
      </c>
    </row>
    <row r="32">
      <c r="A32" s="6" t="n">
        <v>2013</v>
      </c>
      <c r="B32" s="6" t="inlineStr">
        <is>
          <t>barita</t>
        </is>
      </c>
      <c r="C32" s="6" t="inlineStr">
        <is>
          <t>L2</t>
        </is>
      </c>
      <c r="D32" s="6" t="inlineStr">
        <is>
          <t>refinacion</t>
        </is>
      </c>
      <c r="E32" s="6" t="n">
        <v>325180</v>
      </c>
      <c r="F32" s="5" t="inlineStr">
        <is>
          <t>FabricaciÃ³n de otros productos quÃ­micos bÃ¡sic</t>
        </is>
      </c>
      <c r="G32" s="6" t="inlineStr">
        <is>
          <t>no</t>
        </is>
      </c>
      <c r="H32" s="6" t="n">
        <v>29781.2</v>
      </c>
      <c r="I32" s="6" t="n">
        <v>2.1251</v>
      </c>
      <c r="J32" s="6" t="n">
        <v>1.3438</v>
      </c>
      <c r="K32" s="6" t="n">
        <v>0.9933999999999999</v>
      </c>
      <c r="L32" s="6" t="n">
        <v>174</v>
      </c>
      <c r="M32" s="6" t="n">
        <v>398</v>
      </c>
      <c r="N32" s="6" t="n">
        <v>822</v>
      </c>
    </row>
    <row r="33">
      <c r="A33" s="9" t="n">
        <v>2013</v>
      </c>
      <c r="B33" s="9" t="inlineStr">
        <is>
          <t>barita</t>
        </is>
      </c>
      <c r="C33" s="9" t="inlineStr">
        <is>
          <t>L3</t>
        </is>
      </c>
      <c r="D33" s="9" t="inlineStr">
        <is>
          <t>semimanufactura</t>
        </is>
      </c>
      <c r="E33" s="9" t="n"/>
      <c r="F33" s="8" t="inlineStr">
        <is>
          <t>(sin clase separable)</t>
        </is>
      </c>
      <c r="G33" s="9" t="inlineStr">
        <is>
          <t>-</t>
        </is>
      </c>
      <c r="H33" s="9" t="n"/>
      <c r="I33" s="9" t="n"/>
      <c r="J33" s="9" t="n"/>
      <c r="K33" s="9" t="n"/>
      <c r="L33" s="9" t="n"/>
      <c r="M33" s="9" t="n"/>
      <c r="N33" s="9" t="n">
        <v>822</v>
      </c>
    </row>
    <row r="34">
      <c r="A34" s="6" t="n">
        <v>2013</v>
      </c>
      <c r="B34" s="6" t="inlineStr">
        <is>
          <t>cobre</t>
        </is>
      </c>
      <c r="C34" s="6" t="inlineStr">
        <is>
          <t>L1</t>
        </is>
      </c>
      <c r="D34" s="6" t="inlineStr">
        <is>
          <t>extraccion</t>
        </is>
      </c>
      <c r="E34" s="6" t="n">
        <v>212231</v>
      </c>
      <c r="F34" s="5" t="inlineStr">
        <is>
          <t>MinerÃ­a de cobre</t>
        </is>
      </c>
      <c r="G34" s="6" t="inlineStr">
        <is>
          <t>si</t>
        </is>
      </c>
      <c r="H34" s="6" t="n">
        <v>39971.4</v>
      </c>
      <c r="I34" s="6" t="n">
        <v>1.8677</v>
      </c>
      <c r="J34" s="6" t="n">
        <v>1.1811</v>
      </c>
      <c r="K34" s="6" t="n">
        <v>0.8882</v>
      </c>
      <c r="L34" s="6" t="n">
        <v>283</v>
      </c>
      <c r="M34" s="6" t="n">
        <v>634</v>
      </c>
      <c r="N34" s="6" t="n">
        <v>822</v>
      </c>
    </row>
    <row r="35">
      <c r="A35" s="9" t="n">
        <v>2013</v>
      </c>
      <c r="B35" s="9" t="inlineStr">
        <is>
          <t>cobre</t>
        </is>
      </c>
      <c r="C35" s="9" t="inlineStr">
        <is>
          <t>L2</t>
        </is>
      </c>
      <c r="D35" s="9" t="inlineStr">
        <is>
          <t>refinacion</t>
        </is>
      </c>
      <c r="E35" s="9" t="n">
        <v>331411</v>
      </c>
      <c r="F35" s="8" t="inlineStr">
        <is>
          <t>FundiciÃ³n y refinaciÃ³n de cobre</t>
        </is>
      </c>
      <c r="G35" s="9" t="inlineStr">
        <is>
          <t>si</t>
        </is>
      </c>
      <c r="H35" s="9" t="n">
        <v>29375.5</v>
      </c>
      <c r="I35" s="9" t="n">
        <v>1.875</v>
      </c>
      <c r="J35" s="9" t="n">
        <v>1.1857</v>
      </c>
      <c r="K35" s="9" t="n">
        <v>1.0386</v>
      </c>
      <c r="L35" s="9" t="n">
        <v>281</v>
      </c>
      <c r="M35" s="9" t="n">
        <v>320</v>
      </c>
      <c r="N35" s="9" t="n">
        <v>822</v>
      </c>
    </row>
    <row r="36">
      <c r="A36" s="6" t="n">
        <v>2013</v>
      </c>
      <c r="B36" s="6" t="inlineStr">
        <is>
          <t>cobre</t>
        </is>
      </c>
      <c r="C36" s="6" t="inlineStr">
        <is>
          <t>L3</t>
        </is>
      </c>
      <c r="D36" s="6" t="inlineStr">
        <is>
          <t>semimanufactura</t>
        </is>
      </c>
      <c r="E36" s="6" t="n">
        <v>331420</v>
      </c>
      <c r="F36" s="5" t="inlineStr">
        <is>
          <t>LaminaciÃ³n secundaria de cobre</t>
        </is>
      </c>
      <c r="G36" s="6" t="inlineStr">
        <is>
          <t>si</t>
        </is>
      </c>
      <c r="H36" s="6" t="n">
        <v>48774.4</v>
      </c>
      <c r="I36" s="6" t="n">
        <v>1.9255</v>
      </c>
      <c r="J36" s="6" t="n">
        <v>1.2176</v>
      </c>
      <c r="K36" s="6" t="n">
        <v>1.2146</v>
      </c>
      <c r="L36" s="6" t="n">
        <v>270</v>
      </c>
      <c r="M36" s="6" t="n">
        <v>71</v>
      </c>
      <c r="N36" s="6" t="n">
        <v>822</v>
      </c>
    </row>
    <row r="37">
      <c r="A37" s="9" t="n">
        <v>2013</v>
      </c>
      <c r="B37" s="9" t="inlineStr">
        <is>
          <t>fluorita</t>
        </is>
      </c>
      <c r="C37" s="9" t="inlineStr">
        <is>
          <t>L1</t>
        </is>
      </c>
      <c r="D37" s="9" t="inlineStr">
        <is>
          <t>extraccion</t>
        </is>
      </c>
      <c r="E37" s="9" t="n">
        <v>212395</v>
      </c>
      <c r="F37" s="8" t="inlineStr">
        <is>
          <t>MinerÃ­a de fluorita</t>
        </is>
      </c>
      <c r="G37" s="9" t="inlineStr">
        <is>
          <t>si</t>
        </is>
      </c>
      <c r="H37" s="9" t="n">
        <v>2218.2</v>
      </c>
      <c r="I37" s="9" t="n">
        <v>1.3766</v>
      </c>
      <c r="J37" s="9" t="n">
        <v>0.8705000000000001</v>
      </c>
      <c r="K37" s="9" t="n">
        <v>0.8517</v>
      </c>
      <c r="L37" s="9" t="n">
        <v>383</v>
      </c>
      <c r="M37" s="9" t="n">
        <v>682</v>
      </c>
      <c r="N37" s="9" t="n">
        <v>822</v>
      </c>
    </row>
    <row r="38">
      <c r="A38" s="6" t="n">
        <v>2013</v>
      </c>
      <c r="B38" s="6" t="inlineStr">
        <is>
          <t>fluorita</t>
        </is>
      </c>
      <c r="C38" s="6" t="inlineStr">
        <is>
          <t>L2</t>
        </is>
      </c>
      <c r="D38" s="6" t="inlineStr">
        <is>
          <t>refinacion</t>
        </is>
      </c>
      <c r="E38" s="6" t="n">
        <v>325180</v>
      </c>
      <c r="F38" s="5" t="inlineStr">
        <is>
          <t>FabricaciÃ³n de otros productos quÃ­micos bÃ¡sic</t>
        </is>
      </c>
      <c r="G38" s="6" t="inlineStr">
        <is>
          <t>no</t>
        </is>
      </c>
      <c r="H38" s="6" t="n">
        <v>29781.2</v>
      </c>
      <c r="I38" s="6" t="n">
        <v>2.1251</v>
      </c>
      <c r="J38" s="6" t="n">
        <v>1.3438</v>
      </c>
      <c r="K38" s="6" t="n">
        <v>0.9933999999999999</v>
      </c>
      <c r="L38" s="6" t="n">
        <v>174</v>
      </c>
      <c r="M38" s="6" t="n">
        <v>398</v>
      </c>
      <c r="N38" s="6" t="n">
        <v>822</v>
      </c>
    </row>
    <row r="39">
      <c r="A39" s="9" t="n">
        <v>2013</v>
      </c>
      <c r="B39" s="9" t="inlineStr">
        <is>
          <t>fluorita</t>
        </is>
      </c>
      <c r="C39" s="9" t="inlineStr">
        <is>
          <t>L3</t>
        </is>
      </c>
      <c r="D39" s="9" t="inlineStr">
        <is>
          <t>semimanufactura</t>
        </is>
      </c>
      <c r="E39" s="9" t="n">
        <v>325211</v>
      </c>
      <c r="F39" s="8" t="inlineStr">
        <is>
          <t>FabricaciÃ³n de resinas sintÃ©ticas</t>
        </is>
      </c>
      <c r="G39" s="9" t="inlineStr">
        <is>
          <t>no</t>
        </is>
      </c>
      <c r="H39" s="9" t="n">
        <v>78302.2</v>
      </c>
      <c r="I39" s="9" t="n">
        <v>1.789</v>
      </c>
      <c r="J39" s="9" t="n">
        <v>1.1313</v>
      </c>
      <c r="K39" s="9" t="n">
        <v>1.012</v>
      </c>
      <c r="L39" s="9" t="n">
        <v>296</v>
      </c>
      <c r="M39" s="9" t="n">
        <v>369</v>
      </c>
      <c r="N39" s="9" t="n">
        <v>822</v>
      </c>
    </row>
    <row r="40">
      <c r="A40" s="6" t="n">
        <v>2013</v>
      </c>
      <c r="B40" s="6" t="inlineStr">
        <is>
          <t>grafito</t>
        </is>
      </c>
      <c r="C40" s="6" t="inlineStr">
        <is>
          <t>L1</t>
        </is>
      </c>
      <c r="D40" s="6" t="inlineStr">
        <is>
          <t>extraccion</t>
        </is>
      </c>
      <c r="E40" s="6" t="n">
        <v>212396</v>
      </c>
      <c r="F40" s="5" t="inlineStr">
        <is>
          <t>MinerÃ­a de grafito</t>
        </is>
      </c>
      <c r="G40" s="6" t="inlineStr">
        <is>
          <t>si</t>
        </is>
      </c>
      <c r="H40" s="6" t="n">
        <v>164.1</v>
      </c>
      <c r="I40" s="6" t="n">
        <v>1.9547</v>
      </c>
      <c r="J40" s="6" t="n">
        <v>1.2361</v>
      </c>
      <c r="K40" s="6" t="n">
        <v>0.8366</v>
      </c>
      <c r="L40" s="6" t="n">
        <v>257</v>
      </c>
      <c r="M40" s="6" t="n">
        <v>700</v>
      </c>
      <c r="N40" s="6" t="n">
        <v>822</v>
      </c>
    </row>
    <row r="41">
      <c r="A41" s="9" t="n">
        <v>2013</v>
      </c>
      <c r="B41" s="9" t="inlineStr">
        <is>
          <t>grafito</t>
        </is>
      </c>
      <c r="C41" s="9" t="inlineStr">
        <is>
          <t>L2</t>
        </is>
      </c>
      <c r="D41" s="9" t="inlineStr">
        <is>
          <t>refinacion</t>
        </is>
      </c>
      <c r="E41" s="9" t="n">
        <v>325180</v>
      </c>
      <c r="F41" s="8" t="inlineStr">
        <is>
          <t>FabricaciÃ³n de otros productos quÃ­micos bÃ¡sic</t>
        </is>
      </c>
      <c r="G41" s="9" t="inlineStr">
        <is>
          <t>no</t>
        </is>
      </c>
      <c r="H41" s="9" t="n">
        <v>29781.2</v>
      </c>
      <c r="I41" s="9" t="n">
        <v>2.1251</v>
      </c>
      <c r="J41" s="9" t="n">
        <v>1.3438</v>
      </c>
      <c r="K41" s="9" t="n">
        <v>0.9933999999999999</v>
      </c>
      <c r="L41" s="9" t="n">
        <v>174</v>
      </c>
      <c r="M41" s="9" t="n">
        <v>398</v>
      </c>
      <c r="N41" s="9" t="n">
        <v>822</v>
      </c>
    </row>
    <row r="42">
      <c r="A42" s="6" t="n">
        <v>2013</v>
      </c>
      <c r="B42" s="6" t="inlineStr">
        <is>
          <t>grafito</t>
        </is>
      </c>
      <c r="C42" s="6" t="inlineStr">
        <is>
          <t>L3</t>
        </is>
      </c>
      <c r="D42" s="6" t="inlineStr">
        <is>
          <t>semimanufactura</t>
        </is>
      </c>
      <c r="E42" s="6" t="n">
        <v>327999</v>
      </c>
      <c r="F42" s="5" t="inlineStr">
        <is>
          <t>FabricaciÃ³n de otros productos a base de minera</t>
        </is>
      </c>
      <c r="G42" s="6" t="inlineStr">
        <is>
          <t>no</t>
        </is>
      </c>
      <c r="H42" s="6" t="n">
        <v>13582.9</v>
      </c>
      <c r="I42" s="6" t="n">
        <v>2.5563</v>
      </c>
      <c r="J42" s="6" t="n">
        <v>1.6165</v>
      </c>
      <c r="K42" s="6" t="n">
        <v>1.2691</v>
      </c>
      <c r="L42" s="6" t="n">
        <v>68</v>
      </c>
      <c r="M42" s="6" t="n">
        <v>34</v>
      </c>
      <c r="N42" s="6" t="n">
        <v>822</v>
      </c>
    </row>
    <row r="43">
      <c r="A43" s="9" t="n">
        <v>2013</v>
      </c>
      <c r="B43" s="9" t="inlineStr">
        <is>
          <t>manganeso</t>
        </is>
      </c>
      <c r="C43" s="9" t="inlineStr">
        <is>
          <t>L1</t>
        </is>
      </c>
      <c r="D43" s="9" t="inlineStr">
        <is>
          <t>extraccion</t>
        </is>
      </c>
      <c r="E43" s="9" t="n">
        <v>212291</v>
      </c>
      <c r="F43" s="8" t="inlineStr">
        <is>
          <t>MinerÃ­a de manganeso</t>
        </is>
      </c>
      <c r="G43" s="9" t="inlineStr">
        <is>
          <t>si</t>
        </is>
      </c>
      <c r="H43" s="9" t="n">
        <v>486</v>
      </c>
      <c r="I43" s="9" t="n">
        <v>2.8289</v>
      </c>
      <c r="J43" s="9" t="n">
        <v>1.7889</v>
      </c>
      <c r="K43" s="9" t="n">
        <v>0.8294</v>
      </c>
      <c r="L43" s="9" t="n">
        <v>34</v>
      </c>
      <c r="M43" s="9" t="n">
        <v>709</v>
      </c>
      <c r="N43" s="9" t="n">
        <v>822</v>
      </c>
    </row>
    <row r="44">
      <c r="A44" s="6" t="n">
        <v>2013</v>
      </c>
      <c r="B44" s="6" t="inlineStr">
        <is>
          <t>manganeso</t>
        </is>
      </c>
      <c r="C44" s="6" t="inlineStr">
        <is>
          <t>L2</t>
        </is>
      </c>
      <c r="D44" s="6" t="inlineStr">
        <is>
          <t>refinacion</t>
        </is>
      </c>
      <c r="E44" s="6" t="n">
        <v>331112</v>
      </c>
      <c r="F44" s="5" t="inlineStr">
        <is>
          <t>FabricaciÃ³n de desbastes primarios y ferroaleac</t>
        </is>
      </c>
      <c r="G44" s="6" t="inlineStr">
        <is>
          <t>comp</t>
        </is>
      </c>
      <c r="H44" s="6" t="n">
        <v>39821.9</v>
      </c>
      <c r="I44" s="6" t="n">
        <v>2.6033</v>
      </c>
      <c r="J44" s="6" t="n">
        <v>1.6462</v>
      </c>
      <c r="K44" s="6" t="n">
        <v>1.0538</v>
      </c>
      <c r="L44" s="6" t="n">
        <v>62</v>
      </c>
      <c r="M44" s="6" t="n">
        <v>287</v>
      </c>
      <c r="N44" s="6" t="n">
        <v>822</v>
      </c>
    </row>
    <row r="45">
      <c r="A45" s="9" t="n">
        <v>2013</v>
      </c>
      <c r="B45" s="9" t="inlineStr">
        <is>
          <t>manganeso</t>
        </is>
      </c>
      <c r="C45" s="9" t="inlineStr">
        <is>
          <t>L3</t>
        </is>
      </c>
      <c r="D45" s="9" t="inlineStr">
        <is>
          <t>semimanufactura</t>
        </is>
      </c>
      <c r="E45" s="9" t="n"/>
      <c r="F45" s="8" t="inlineStr">
        <is>
          <t>(sin clase separable)</t>
        </is>
      </c>
      <c r="G45" s="9" t="inlineStr">
        <is>
          <t>-</t>
        </is>
      </c>
      <c r="H45" s="9" t="n"/>
      <c r="I45" s="9" t="n"/>
      <c r="J45" s="9" t="n"/>
      <c r="K45" s="9" t="n"/>
      <c r="L45" s="9" t="n"/>
      <c r="M45" s="9" t="n"/>
      <c r="N45" s="9" t="n">
        <v>822</v>
      </c>
    </row>
    <row r="46">
      <c r="A46" s="6" t="n">
        <v>2013</v>
      </c>
      <c r="B46" s="6" t="inlineStr">
        <is>
          <t>oro</t>
        </is>
      </c>
      <c r="C46" s="6" t="inlineStr">
        <is>
          <t>L1</t>
        </is>
      </c>
      <c r="D46" s="6" t="inlineStr">
        <is>
          <t>extraccion</t>
        </is>
      </c>
      <c r="E46" s="6" t="n">
        <v>212221</v>
      </c>
      <c r="F46" s="5" t="inlineStr">
        <is>
          <t>MinerÃ­a de oro</t>
        </is>
      </c>
      <c r="G46" s="6" t="inlineStr">
        <is>
          <t>si</t>
        </is>
      </c>
      <c r="H46" s="6" t="n">
        <v>49607.2</v>
      </c>
      <c r="I46" s="6" t="n">
        <v>2.1296</v>
      </c>
      <c r="J46" s="6" t="n">
        <v>1.3467</v>
      </c>
      <c r="K46" s="6" t="n">
        <v>0.9183</v>
      </c>
      <c r="L46" s="6" t="n">
        <v>173</v>
      </c>
      <c r="M46" s="6" t="n">
        <v>570</v>
      </c>
      <c r="N46" s="6" t="n">
        <v>822</v>
      </c>
    </row>
    <row r="47">
      <c r="A47" s="9" t="n">
        <v>2013</v>
      </c>
      <c r="B47" s="9" t="inlineStr">
        <is>
          <t>oro</t>
        </is>
      </c>
      <c r="C47" s="9" t="inlineStr">
        <is>
          <t>L2</t>
        </is>
      </c>
      <c r="D47" s="9" t="inlineStr">
        <is>
          <t>refinacion</t>
        </is>
      </c>
      <c r="E47" s="9" t="n">
        <v>331412</v>
      </c>
      <c r="F47" s="8" t="inlineStr">
        <is>
          <t>FundiciÃ³n y refinaciÃ³n de metales preciosos</t>
        </is>
      </c>
      <c r="G47" s="9" t="inlineStr">
        <is>
          <t>comp</t>
        </is>
      </c>
      <c r="H47" s="9" t="n">
        <v>143518.8</v>
      </c>
      <c r="I47" s="9" t="n">
        <v>1.0401</v>
      </c>
      <c r="J47" s="9" t="n">
        <v>0.6577</v>
      </c>
      <c r="K47" s="9" t="n">
        <v>1.3573</v>
      </c>
      <c r="L47" s="9" t="n">
        <v>559</v>
      </c>
      <c r="M47" s="9" t="n">
        <v>19</v>
      </c>
      <c r="N47" s="9" t="n">
        <v>822</v>
      </c>
    </row>
    <row r="48">
      <c r="A48" s="6" t="n">
        <v>2013</v>
      </c>
      <c r="B48" s="6" t="inlineStr">
        <is>
          <t>oro</t>
        </is>
      </c>
      <c r="C48" s="6" t="inlineStr">
        <is>
          <t>L3</t>
        </is>
      </c>
      <c r="D48" s="6" t="inlineStr">
        <is>
          <t>semimanufactura</t>
        </is>
      </c>
      <c r="E48" s="6" t="n">
        <v>331490</v>
      </c>
      <c r="F48" s="5" t="inlineStr">
        <is>
          <t>LaminaciÃ³n secundaria de otros metales no ferro</t>
        </is>
      </c>
      <c r="G48" s="6" t="inlineStr">
        <is>
          <t>comp</t>
        </is>
      </c>
      <c r="H48" s="6" t="n">
        <v>10404.9</v>
      </c>
      <c r="I48" s="6" t="n">
        <v>2.0707</v>
      </c>
      <c r="J48" s="6" t="n">
        <v>1.3095</v>
      </c>
      <c r="K48" s="6" t="n">
        <v>1.2316</v>
      </c>
      <c r="L48" s="6" t="n">
        <v>200</v>
      </c>
      <c r="M48" s="6" t="n">
        <v>60</v>
      </c>
      <c r="N48" s="6" t="n">
        <v>822</v>
      </c>
    </row>
    <row r="49">
      <c r="A49" s="9" t="n">
        <v>2013</v>
      </c>
      <c r="B49" s="9" t="inlineStr">
        <is>
          <t>plata</t>
        </is>
      </c>
      <c r="C49" s="9" t="inlineStr">
        <is>
          <t>L1</t>
        </is>
      </c>
      <c r="D49" s="9" t="inlineStr">
        <is>
          <t>extraccion</t>
        </is>
      </c>
      <c r="E49" s="9" t="n">
        <v>212222</v>
      </c>
      <c r="F49" s="8" t="inlineStr">
        <is>
          <t>MinerÃ­a de plata</t>
        </is>
      </c>
      <c r="G49" s="9" t="inlineStr">
        <is>
          <t>si</t>
        </is>
      </c>
      <c r="H49" s="9" t="n">
        <v>44680.4</v>
      </c>
      <c r="I49" s="9" t="n">
        <v>2.0579</v>
      </c>
      <c r="J49" s="9" t="n">
        <v>1.3014</v>
      </c>
      <c r="K49" s="9" t="n">
        <v>0.9118000000000001</v>
      </c>
      <c r="L49" s="9" t="n">
        <v>206</v>
      </c>
      <c r="M49" s="9" t="n">
        <v>578</v>
      </c>
      <c r="N49" s="9" t="n">
        <v>822</v>
      </c>
    </row>
    <row r="50">
      <c r="A50" s="6" t="n">
        <v>2013</v>
      </c>
      <c r="B50" s="6" t="inlineStr">
        <is>
          <t>plata</t>
        </is>
      </c>
      <c r="C50" s="6" t="inlineStr">
        <is>
          <t>L2</t>
        </is>
      </c>
      <c r="D50" s="6" t="inlineStr">
        <is>
          <t>refinacion</t>
        </is>
      </c>
      <c r="E50" s="6" t="n">
        <v>331412</v>
      </c>
      <c r="F50" s="5" t="inlineStr">
        <is>
          <t>FundiciÃ³n y refinaciÃ³n de metales preciosos</t>
        </is>
      </c>
      <c r="G50" s="6" t="inlineStr">
        <is>
          <t>comp</t>
        </is>
      </c>
      <c r="H50" s="6" t="n">
        <v>143518.8</v>
      </c>
      <c r="I50" s="6" t="n">
        <v>1.0401</v>
      </c>
      <c r="J50" s="6" t="n">
        <v>0.6577</v>
      </c>
      <c r="K50" s="6" t="n">
        <v>1.3573</v>
      </c>
      <c r="L50" s="6" t="n">
        <v>559</v>
      </c>
      <c r="M50" s="6" t="n">
        <v>19</v>
      </c>
      <c r="N50" s="6" t="n">
        <v>822</v>
      </c>
    </row>
    <row r="51">
      <c r="A51" s="9" t="n">
        <v>2013</v>
      </c>
      <c r="B51" s="9" t="inlineStr">
        <is>
          <t>plata</t>
        </is>
      </c>
      <c r="C51" s="9" t="inlineStr">
        <is>
          <t>L3</t>
        </is>
      </c>
      <c r="D51" s="9" t="inlineStr">
        <is>
          <t>semimanufactura</t>
        </is>
      </c>
      <c r="E51" s="9" t="n">
        <v>331490</v>
      </c>
      <c r="F51" s="8" t="inlineStr">
        <is>
          <t>LaminaciÃ³n secundaria de otros metales no ferro</t>
        </is>
      </c>
      <c r="G51" s="9" t="inlineStr">
        <is>
          <t>comp</t>
        </is>
      </c>
      <c r="H51" s="9" t="n">
        <v>10404.9</v>
      </c>
      <c r="I51" s="9" t="n">
        <v>2.0707</v>
      </c>
      <c r="J51" s="9" t="n">
        <v>1.3095</v>
      </c>
      <c r="K51" s="9" t="n">
        <v>1.2316</v>
      </c>
      <c r="L51" s="9" t="n">
        <v>200</v>
      </c>
      <c r="M51" s="9" t="n">
        <v>60</v>
      </c>
      <c r="N51" s="9" t="n">
        <v>822</v>
      </c>
    </row>
    <row r="52">
      <c r="A52" s="6" t="n">
        <v>2013</v>
      </c>
      <c r="B52" s="6" t="inlineStr">
        <is>
          <t>plomo-zinc</t>
        </is>
      </c>
      <c r="C52" s="6" t="inlineStr">
        <is>
          <t>L1</t>
        </is>
      </c>
      <c r="D52" s="6" t="inlineStr">
        <is>
          <t>extraccion</t>
        </is>
      </c>
      <c r="E52" s="6" t="n">
        <v>212232</v>
      </c>
      <c r="F52" s="5" t="inlineStr">
        <is>
          <t>MinerÃ­a de plomo y zinc</t>
        </is>
      </c>
      <c r="G52" s="6" t="inlineStr">
        <is>
          <t>si</t>
        </is>
      </c>
      <c r="H52" s="6" t="n">
        <v>20045.8</v>
      </c>
      <c r="I52" s="6" t="n">
        <v>1.1314</v>
      </c>
      <c r="J52" s="6" t="n">
        <v>0.7154</v>
      </c>
      <c r="K52" s="6" t="n">
        <v>0.8935</v>
      </c>
      <c r="L52" s="6" t="n">
        <v>479</v>
      </c>
      <c r="M52" s="6" t="n">
        <v>623</v>
      </c>
      <c r="N52" s="6" t="n">
        <v>822</v>
      </c>
    </row>
    <row r="53">
      <c r="A53" s="9" t="n">
        <v>2013</v>
      </c>
      <c r="B53" s="9" t="inlineStr">
        <is>
          <t>plomo-zinc</t>
        </is>
      </c>
      <c r="C53" s="9" t="inlineStr">
        <is>
          <t>L2</t>
        </is>
      </c>
      <c r="D53" s="9" t="inlineStr">
        <is>
          <t>refinacion</t>
        </is>
      </c>
      <c r="E53" s="9" t="n">
        <v>331419</v>
      </c>
      <c r="F53" s="8" t="inlineStr">
        <is>
          <t>FundiciÃ³n y refinaciÃ³n de otros metales no fer</t>
        </is>
      </c>
      <c r="G53" s="9" t="inlineStr">
        <is>
          <t>comp</t>
        </is>
      </c>
      <c r="H53" s="9" t="n">
        <v>11583.1</v>
      </c>
      <c r="I53" s="9" t="n">
        <v>1.0521</v>
      </c>
      <c r="J53" s="9" t="n">
        <v>0.6653</v>
      </c>
      <c r="K53" s="9" t="n">
        <v>1.13</v>
      </c>
      <c r="L53" s="9" t="n">
        <v>538</v>
      </c>
      <c r="M53" s="9" t="n">
        <v>148</v>
      </c>
      <c r="N53" s="9" t="n">
        <v>822</v>
      </c>
    </row>
    <row r="54">
      <c r="A54" s="6" t="n">
        <v>2013</v>
      </c>
      <c r="B54" s="6" t="inlineStr">
        <is>
          <t>plomo-zinc</t>
        </is>
      </c>
      <c r="C54" s="6" t="inlineStr">
        <is>
          <t>L3</t>
        </is>
      </c>
      <c r="D54" s="6" t="inlineStr">
        <is>
          <t>semimanufactura</t>
        </is>
      </c>
      <c r="E54" s="6" t="n">
        <v>331490</v>
      </c>
      <c r="F54" s="5" t="inlineStr">
        <is>
          <t>LaminaciÃ³n secundaria de otros metales no ferro</t>
        </is>
      </c>
      <c r="G54" s="6" t="inlineStr">
        <is>
          <t>comp</t>
        </is>
      </c>
      <c r="H54" s="6" t="n">
        <v>10404.9</v>
      </c>
      <c r="I54" s="6" t="n">
        <v>2.0707</v>
      </c>
      <c r="J54" s="6" t="n">
        <v>1.3095</v>
      </c>
      <c r="K54" s="6" t="n">
        <v>1.2316</v>
      </c>
      <c r="L54" s="6" t="n">
        <v>200</v>
      </c>
      <c r="M54" s="6" t="n">
        <v>60</v>
      </c>
      <c r="N54" s="6" t="n">
        <v>822</v>
      </c>
    </row>
    <row r="55">
      <c r="A55" s="9" t="n">
        <v>2013</v>
      </c>
      <c r="B55" s="9" t="inlineStr">
        <is>
          <t>silice</t>
        </is>
      </c>
      <c r="C55" s="9" t="inlineStr">
        <is>
          <t>L1</t>
        </is>
      </c>
      <c r="D55" s="9" t="inlineStr">
        <is>
          <t>extraccion</t>
        </is>
      </c>
      <c r="E55" s="9" t="n">
        <v>212324</v>
      </c>
      <c r="F55" s="8" t="inlineStr">
        <is>
          <t>MinerÃ­a de sÃ­lice</t>
        </is>
      </c>
      <c r="G55" s="9" t="inlineStr">
        <is>
          <t>si</t>
        </is>
      </c>
      <c r="H55" s="9" t="n">
        <v>4898.3</v>
      </c>
      <c r="I55" s="9" t="n">
        <v>2.8412</v>
      </c>
      <c r="J55" s="9" t="n">
        <v>1.7967</v>
      </c>
      <c r="K55" s="9" t="n">
        <v>0.9106</v>
      </c>
      <c r="L55" s="9" t="n">
        <v>31</v>
      </c>
      <c r="M55" s="9" t="n">
        <v>581</v>
      </c>
      <c r="N55" s="9" t="n">
        <v>822</v>
      </c>
    </row>
    <row r="56">
      <c r="A56" s="6" t="n">
        <v>2013</v>
      </c>
      <c r="B56" s="6" t="inlineStr">
        <is>
          <t>silice</t>
        </is>
      </c>
      <c r="C56" s="6" t="inlineStr">
        <is>
          <t>L2</t>
        </is>
      </c>
      <c r="D56" s="6" t="inlineStr">
        <is>
          <t>refinacion</t>
        </is>
      </c>
      <c r="E56" s="6" t="n">
        <v>325180</v>
      </c>
      <c r="F56" s="5" t="inlineStr">
        <is>
          <t>FabricaciÃ³n de otros productos quÃ­micos bÃ¡sic</t>
        </is>
      </c>
      <c r="G56" s="6" t="inlineStr">
        <is>
          <t>no</t>
        </is>
      </c>
      <c r="H56" s="6" t="n">
        <v>29781.2</v>
      </c>
      <c r="I56" s="6" t="n">
        <v>2.1251</v>
      </c>
      <c r="J56" s="6" t="n">
        <v>1.3438</v>
      </c>
      <c r="K56" s="6" t="n">
        <v>0.9933999999999999</v>
      </c>
      <c r="L56" s="6" t="n">
        <v>174</v>
      </c>
      <c r="M56" s="6" t="n">
        <v>398</v>
      </c>
      <c r="N56" s="6" t="n">
        <v>822</v>
      </c>
    </row>
    <row r="57">
      <c r="A57" s="9" t="n">
        <v>2013</v>
      </c>
      <c r="B57" s="9" t="inlineStr">
        <is>
          <t>silice</t>
        </is>
      </c>
      <c r="C57" s="9" t="inlineStr">
        <is>
          <t>L3</t>
        </is>
      </c>
      <c r="D57" s="9" t="inlineStr">
        <is>
          <t>semimanufactura</t>
        </is>
      </c>
      <c r="E57" s="9" t="n">
        <v>327211</v>
      </c>
      <c r="F57" s="8" t="inlineStr">
        <is>
          <t>FabricaciÃ³n de vidrio</t>
        </is>
      </c>
      <c r="G57" s="9" t="inlineStr">
        <is>
          <t>no</t>
        </is>
      </c>
      <c r="H57" s="9" t="n">
        <v>23027.1</v>
      </c>
      <c r="I57" s="9" t="n">
        <v>1.947</v>
      </c>
      <c r="J57" s="9" t="n">
        <v>1.2312</v>
      </c>
      <c r="K57" s="9" t="n">
        <v>0.9702</v>
      </c>
      <c r="L57" s="9" t="n">
        <v>261</v>
      </c>
      <c r="M57" s="9" t="n">
        <v>449</v>
      </c>
      <c r="N57" s="9" t="n">
        <v>822</v>
      </c>
    </row>
    <row r="58">
      <c r="A58" s="6" t="n">
        <v>2018</v>
      </c>
      <c r="B58" s="6" t="inlineStr">
        <is>
          <t>barita</t>
        </is>
      </c>
      <c r="C58" s="6" t="inlineStr">
        <is>
          <t>L1</t>
        </is>
      </c>
      <c r="D58" s="6" t="inlineStr">
        <is>
          <t>extraccion</t>
        </is>
      </c>
      <c r="E58" s="6" t="n">
        <v>212393</v>
      </c>
      <c r="F58" s="5" t="inlineStr">
        <is>
          <t>MinerÃ­a de barita</t>
        </is>
      </c>
      <c r="G58" s="6" t="inlineStr">
        <is>
          <t>si</t>
        </is>
      </c>
      <c r="H58" s="6" t="n">
        <v>685.6</v>
      </c>
      <c r="I58" s="6" t="n">
        <v>1.0409</v>
      </c>
      <c r="J58" s="6" t="n">
        <v>0.6438</v>
      </c>
      <c r="K58" s="6" t="n">
        <v>0.9601</v>
      </c>
      <c r="L58" s="6" t="n">
        <v>614</v>
      </c>
      <c r="M58" s="6" t="n">
        <v>471</v>
      </c>
      <c r="N58" s="6" t="n">
        <v>834</v>
      </c>
    </row>
    <row r="59">
      <c r="A59" s="9" t="n">
        <v>2018</v>
      </c>
      <c r="B59" s="9" t="inlineStr">
        <is>
          <t>barita</t>
        </is>
      </c>
      <c r="C59" s="9" t="inlineStr">
        <is>
          <t>L2</t>
        </is>
      </c>
      <c r="D59" s="9" t="inlineStr">
        <is>
          <t>refinacion</t>
        </is>
      </c>
      <c r="E59" s="9" t="n">
        <v>325180</v>
      </c>
      <c r="F59" s="8" t="inlineStr">
        <is>
          <t>FabricaciÃ³n de otros productos quÃ­micos bÃ¡sic</t>
        </is>
      </c>
      <c r="G59" s="9" t="inlineStr">
        <is>
          <t>no</t>
        </is>
      </c>
      <c r="H59" s="9" t="n">
        <v>67911</v>
      </c>
      <c r="I59" s="9" t="n">
        <v>2.3289</v>
      </c>
      <c r="J59" s="9" t="n">
        <v>1.4404</v>
      </c>
      <c r="K59" s="9" t="n">
        <v>1.0444</v>
      </c>
      <c r="L59" s="9" t="n">
        <v>132</v>
      </c>
      <c r="M59" s="9" t="n">
        <v>280</v>
      </c>
      <c r="N59" s="9" t="n">
        <v>834</v>
      </c>
    </row>
    <row r="60">
      <c r="A60" s="6" t="n">
        <v>2018</v>
      </c>
      <c r="B60" s="6" t="inlineStr">
        <is>
          <t>barita</t>
        </is>
      </c>
      <c r="C60" s="6" t="inlineStr">
        <is>
          <t>L3</t>
        </is>
      </c>
      <c r="D60" s="6" t="inlineStr">
        <is>
          <t>semimanufactura</t>
        </is>
      </c>
      <c r="E60" s="6" t="n"/>
      <c r="F60" s="5" t="inlineStr">
        <is>
          <t>(sin clase separable)</t>
        </is>
      </c>
      <c r="G60" s="6" t="inlineStr">
        <is>
          <t>-</t>
        </is>
      </c>
      <c r="H60" s="6" t="n"/>
      <c r="I60" s="6" t="n"/>
      <c r="J60" s="6" t="n"/>
      <c r="K60" s="6" t="n"/>
      <c r="L60" s="6" t="n"/>
      <c r="M60" s="6" t="n"/>
      <c r="N60" s="6" t="n">
        <v>834</v>
      </c>
    </row>
    <row r="61">
      <c r="A61" s="9" t="n">
        <v>2018</v>
      </c>
      <c r="B61" s="9" t="inlineStr">
        <is>
          <t>cobre</t>
        </is>
      </c>
      <c r="C61" s="9" t="inlineStr">
        <is>
          <t>L1</t>
        </is>
      </c>
      <c r="D61" s="9" t="inlineStr">
        <is>
          <t>extraccion</t>
        </is>
      </c>
      <c r="E61" s="9" t="n">
        <v>212231</v>
      </c>
      <c r="F61" s="8" t="inlineStr">
        <is>
          <t>MinerÃ­a de cobre</t>
        </is>
      </c>
      <c r="G61" s="9" t="inlineStr">
        <is>
          <t>si</t>
        </is>
      </c>
      <c r="H61" s="9" t="n">
        <v>92893</v>
      </c>
      <c r="I61" s="9" t="n">
        <v>2.1683</v>
      </c>
      <c r="J61" s="9" t="n">
        <v>1.3411</v>
      </c>
      <c r="K61" s="9" t="n">
        <v>0.9397</v>
      </c>
      <c r="L61" s="9" t="n">
        <v>185</v>
      </c>
      <c r="M61" s="9" t="n">
        <v>516</v>
      </c>
      <c r="N61" s="9" t="n">
        <v>834</v>
      </c>
    </row>
    <row r="62">
      <c r="A62" s="6" t="n">
        <v>2018</v>
      </c>
      <c r="B62" s="6" t="inlineStr">
        <is>
          <t>cobre</t>
        </is>
      </c>
      <c r="C62" s="6" t="inlineStr">
        <is>
          <t>L2</t>
        </is>
      </c>
      <c r="D62" s="6" t="inlineStr">
        <is>
          <t>refinacion</t>
        </is>
      </c>
      <c r="E62" s="6" t="n">
        <v>331411</v>
      </c>
      <c r="F62" s="5" t="inlineStr">
        <is>
          <t>FundiciÃ³n y refinaciÃ³n de cobre</t>
        </is>
      </c>
      <c r="G62" s="6" t="inlineStr">
        <is>
          <t>si</t>
        </is>
      </c>
      <c r="H62" s="6" t="n">
        <v>80889.3</v>
      </c>
      <c r="I62" s="6" t="n">
        <v>2.2155</v>
      </c>
      <c r="J62" s="6" t="n">
        <v>1.3702</v>
      </c>
      <c r="K62" s="6" t="n">
        <v>1.2742</v>
      </c>
      <c r="L62" s="6" t="n">
        <v>170</v>
      </c>
      <c r="M62" s="6" t="n">
        <v>37</v>
      </c>
      <c r="N62" s="6" t="n">
        <v>834</v>
      </c>
    </row>
    <row r="63">
      <c r="A63" s="9" t="n">
        <v>2018</v>
      </c>
      <c r="B63" s="9" t="inlineStr">
        <is>
          <t>cobre</t>
        </is>
      </c>
      <c r="C63" s="9" t="inlineStr">
        <is>
          <t>L3</t>
        </is>
      </c>
      <c r="D63" s="9" t="inlineStr">
        <is>
          <t>semimanufactura</t>
        </is>
      </c>
      <c r="E63" s="9" t="n">
        <v>331420</v>
      </c>
      <c r="F63" s="8" t="inlineStr">
        <is>
          <t>LaminaciÃ³n secundaria de cobre</t>
        </is>
      </c>
      <c r="G63" s="9" t="inlineStr">
        <is>
          <t>si</t>
        </is>
      </c>
      <c r="H63" s="9" t="n">
        <v>35975.3</v>
      </c>
      <c r="I63" s="9" t="n">
        <v>1.542</v>
      </c>
      <c r="J63" s="9" t="n">
        <v>0.9537</v>
      </c>
      <c r="K63" s="9" t="n">
        <v>1.0035</v>
      </c>
      <c r="L63" s="9" t="n">
        <v>375</v>
      </c>
      <c r="M63" s="9" t="n">
        <v>368</v>
      </c>
      <c r="N63" s="9" t="n">
        <v>834</v>
      </c>
    </row>
    <row r="64">
      <c r="A64" s="6" t="n">
        <v>2018</v>
      </c>
      <c r="B64" s="6" t="inlineStr">
        <is>
          <t>fluorita</t>
        </is>
      </c>
      <c r="C64" s="6" t="inlineStr">
        <is>
          <t>L1</t>
        </is>
      </c>
      <c r="D64" s="6" t="inlineStr">
        <is>
          <t>extraccion</t>
        </is>
      </c>
      <c r="E64" s="6" t="n">
        <v>212395</v>
      </c>
      <c r="F64" s="5" t="inlineStr">
        <is>
          <t>MinerÃ­a de fluorita</t>
        </is>
      </c>
      <c r="G64" s="6" t="inlineStr">
        <is>
          <t>si</t>
        </is>
      </c>
      <c r="H64" s="6" t="n">
        <v>5861.8</v>
      </c>
      <c r="I64" s="6" t="n">
        <v>2.1194</v>
      </c>
      <c r="J64" s="6" t="n">
        <v>1.3109</v>
      </c>
      <c r="K64" s="6" t="n">
        <v>0.9729</v>
      </c>
      <c r="L64" s="6" t="n">
        <v>200</v>
      </c>
      <c r="M64" s="6" t="n">
        <v>433</v>
      </c>
      <c r="N64" s="6" t="n">
        <v>834</v>
      </c>
    </row>
    <row r="65">
      <c r="A65" s="9" t="n">
        <v>2018</v>
      </c>
      <c r="B65" s="9" t="inlineStr">
        <is>
          <t>fluorita</t>
        </is>
      </c>
      <c r="C65" s="9" t="inlineStr">
        <is>
          <t>L2</t>
        </is>
      </c>
      <c r="D65" s="9" t="inlineStr">
        <is>
          <t>refinacion</t>
        </is>
      </c>
      <c r="E65" s="9" t="n">
        <v>325180</v>
      </c>
      <c r="F65" s="8" t="inlineStr">
        <is>
          <t>FabricaciÃ³n de otros productos quÃ­micos bÃ¡sic</t>
        </is>
      </c>
      <c r="G65" s="9" t="inlineStr">
        <is>
          <t>no</t>
        </is>
      </c>
      <c r="H65" s="9" t="n">
        <v>67911</v>
      </c>
      <c r="I65" s="9" t="n">
        <v>2.3289</v>
      </c>
      <c r="J65" s="9" t="n">
        <v>1.4404</v>
      </c>
      <c r="K65" s="9" t="n">
        <v>1.0444</v>
      </c>
      <c r="L65" s="9" t="n">
        <v>132</v>
      </c>
      <c r="M65" s="9" t="n">
        <v>280</v>
      </c>
      <c r="N65" s="9" t="n">
        <v>834</v>
      </c>
    </row>
    <row r="66">
      <c r="A66" s="6" t="n">
        <v>2018</v>
      </c>
      <c r="B66" s="6" t="inlineStr">
        <is>
          <t>fluorita</t>
        </is>
      </c>
      <c r="C66" s="6" t="inlineStr">
        <is>
          <t>L3</t>
        </is>
      </c>
      <c r="D66" s="6" t="inlineStr">
        <is>
          <t>semimanufactura</t>
        </is>
      </c>
      <c r="E66" s="6" t="n">
        <v>325211</v>
      </c>
      <c r="F66" s="5" t="inlineStr">
        <is>
          <t>FabricaciÃ³n de resinas sintÃ©ticas</t>
        </is>
      </c>
      <c r="G66" s="6" t="inlineStr">
        <is>
          <t>no</t>
        </is>
      </c>
      <c r="H66" s="6" t="n">
        <v>120223.1</v>
      </c>
      <c r="I66" s="6" t="n">
        <v>2.1105</v>
      </c>
      <c r="J66" s="6" t="n">
        <v>1.3053</v>
      </c>
      <c r="K66" s="6" t="n">
        <v>1.0489</v>
      </c>
      <c r="L66" s="6" t="n">
        <v>204</v>
      </c>
      <c r="M66" s="6" t="n">
        <v>267</v>
      </c>
      <c r="N66" s="6" t="n">
        <v>834</v>
      </c>
    </row>
    <row r="67">
      <c r="A67" s="9" t="n">
        <v>2018</v>
      </c>
      <c r="B67" s="9" t="inlineStr">
        <is>
          <t>grafito</t>
        </is>
      </c>
      <c r="C67" s="9" t="inlineStr">
        <is>
          <t>L1</t>
        </is>
      </c>
      <c r="D67" s="9" t="inlineStr">
        <is>
          <t>extraccion</t>
        </is>
      </c>
      <c r="E67" s="9" t="n">
        <v>212396</v>
      </c>
      <c r="F67" s="8" t="inlineStr">
        <is>
          <t>MinerÃ­a de grafito</t>
        </is>
      </c>
      <c r="G67" s="9" t="inlineStr">
        <is>
          <t>si</t>
        </is>
      </c>
      <c r="H67" s="9" t="n">
        <v>719.8</v>
      </c>
      <c r="I67" s="9" t="n">
        <v>2.7625</v>
      </c>
      <c r="J67" s="9" t="n">
        <v>1.7085</v>
      </c>
      <c r="K67" s="9" t="n">
        <v>0.8727</v>
      </c>
      <c r="L67" s="9" t="n">
        <v>43</v>
      </c>
      <c r="M67" s="9" t="n">
        <v>683</v>
      </c>
      <c r="N67" s="9" t="n">
        <v>834</v>
      </c>
    </row>
    <row r="68">
      <c r="A68" s="6" t="n">
        <v>2018</v>
      </c>
      <c r="B68" s="6" t="inlineStr">
        <is>
          <t>grafito</t>
        </is>
      </c>
      <c r="C68" s="6" t="inlineStr">
        <is>
          <t>L2</t>
        </is>
      </c>
      <c r="D68" s="6" t="inlineStr">
        <is>
          <t>refinacion</t>
        </is>
      </c>
      <c r="E68" s="6" t="n">
        <v>325180</v>
      </c>
      <c r="F68" s="5" t="inlineStr">
        <is>
          <t>FabricaciÃ³n de otros productos quÃ­micos bÃ¡sic</t>
        </is>
      </c>
      <c r="G68" s="6" t="inlineStr">
        <is>
          <t>no</t>
        </is>
      </c>
      <c r="H68" s="6" t="n">
        <v>67911</v>
      </c>
      <c r="I68" s="6" t="n">
        <v>2.3289</v>
      </c>
      <c r="J68" s="6" t="n">
        <v>1.4404</v>
      </c>
      <c r="K68" s="6" t="n">
        <v>1.0444</v>
      </c>
      <c r="L68" s="6" t="n">
        <v>132</v>
      </c>
      <c r="M68" s="6" t="n">
        <v>280</v>
      </c>
      <c r="N68" s="6" t="n">
        <v>834</v>
      </c>
    </row>
    <row r="69">
      <c r="A69" s="9" t="n">
        <v>2018</v>
      </c>
      <c r="B69" s="9" t="inlineStr">
        <is>
          <t>grafito</t>
        </is>
      </c>
      <c r="C69" s="9" t="inlineStr">
        <is>
          <t>L3</t>
        </is>
      </c>
      <c r="D69" s="9" t="inlineStr">
        <is>
          <t>semimanufactura</t>
        </is>
      </c>
      <c r="E69" s="9" t="n">
        <v>327999</v>
      </c>
      <c r="F69" s="8" t="inlineStr">
        <is>
          <t>FabricaciÃ³n de otros productos a base de minera</t>
        </is>
      </c>
      <c r="G69" s="9" t="inlineStr">
        <is>
          <t>no</t>
        </is>
      </c>
      <c r="H69" s="9" t="n">
        <v>26305.9</v>
      </c>
      <c r="I69" s="9" t="n">
        <v>2.0021</v>
      </c>
      <c r="J69" s="9" t="n">
        <v>1.2383</v>
      </c>
      <c r="K69" s="9" t="n">
        <v>1.1595</v>
      </c>
      <c r="L69" s="9" t="n">
        <v>253</v>
      </c>
      <c r="M69" s="9" t="n">
        <v>114</v>
      </c>
      <c r="N69" s="9" t="n">
        <v>834</v>
      </c>
    </row>
    <row r="70">
      <c r="A70" s="6" t="n">
        <v>2018</v>
      </c>
      <c r="B70" s="6" t="inlineStr">
        <is>
          <t>manganeso</t>
        </is>
      </c>
      <c r="C70" s="6" t="inlineStr">
        <is>
          <t>L1</t>
        </is>
      </c>
      <c r="D70" s="6" t="inlineStr">
        <is>
          <t>extraccion</t>
        </is>
      </c>
      <c r="E70" s="6" t="n">
        <v>212291</v>
      </c>
      <c r="F70" s="5" t="inlineStr">
        <is>
          <t>MinerÃ­a de manganeso</t>
        </is>
      </c>
      <c r="G70" s="6" t="inlineStr">
        <is>
          <t>si</t>
        </is>
      </c>
      <c r="H70" s="6" t="n">
        <v>635</v>
      </c>
      <c r="I70" s="6" t="n">
        <v>2.4909</v>
      </c>
      <c r="J70" s="6" t="n">
        <v>1.5406</v>
      </c>
      <c r="K70" s="6" t="n">
        <v>1.0543</v>
      </c>
      <c r="L70" s="6" t="n">
        <v>77</v>
      </c>
      <c r="M70" s="6" t="n">
        <v>256</v>
      </c>
      <c r="N70" s="6" t="n">
        <v>834</v>
      </c>
    </row>
    <row r="71">
      <c r="A71" s="9" t="n">
        <v>2018</v>
      </c>
      <c r="B71" s="9" t="inlineStr">
        <is>
          <t>manganeso</t>
        </is>
      </c>
      <c r="C71" s="9" t="inlineStr">
        <is>
          <t>L2</t>
        </is>
      </c>
      <c r="D71" s="9" t="inlineStr">
        <is>
          <t>refinacion</t>
        </is>
      </c>
      <c r="E71" s="9" t="n">
        <v>331112</v>
      </c>
      <c r="F71" s="8" t="inlineStr">
        <is>
          <t>FabricaciÃ³n de desbastes primarios y ferroaleac</t>
        </is>
      </c>
      <c r="G71" s="9" t="inlineStr">
        <is>
          <t>comp</t>
        </is>
      </c>
      <c r="H71" s="9" t="n">
        <v>46575.4</v>
      </c>
      <c r="I71" s="9" t="n">
        <v>2.1604</v>
      </c>
      <c r="J71" s="9" t="n">
        <v>1.3362</v>
      </c>
      <c r="K71" s="9" t="n">
        <v>1.0275</v>
      </c>
      <c r="L71" s="9" t="n">
        <v>190</v>
      </c>
      <c r="M71" s="9" t="n">
        <v>316</v>
      </c>
      <c r="N71" s="9" t="n">
        <v>834</v>
      </c>
    </row>
    <row r="72">
      <c r="A72" s="6" t="n">
        <v>2018</v>
      </c>
      <c r="B72" s="6" t="inlineStr">
        <is>
          <t>manganeso</t>
        </is>
      </c>
      <c r="C72" s="6" t="inlineStr">
        <is>
          <t>L3</t>
        </is>
      </c>
      <c r="D72" s="6" t="inlineStr">
        <is>
          <t>semimanufactura</t>
        </is>
      </c>
      <c r="E72" s="6" t="n"/>
      <c r="F72" s="5" t="inlineStr">
        <is>
          <t>(sin clase separable)</t>
        </is>
      </c>
      <c r="G72" s="6" t="inlineStr">
        <is>
          <t>-</t>
        </is>
      </c>
      <c r="H72" s="6" t="n"/>
      <c r="I72" s="6" t="n"/>
      <c r="J72" s="6" t="n"/>
      <c r="K72" s="6" t="n"/>
      <c r="L72" s="6" t="n"/>
      <c r="M72" s="6" t="n"/>
      <c r="N72" s="6" t="n">
        <v>834</v>
      </c>
    </row>
    <row r="73">
      <c r="A73" s="9" t="n">
        <v>2018</v>
      </c>
      <c r="B73" s="9" t="inlineStr">
        <is>
          <t>oro</t>
        </is>
      </c>
      <c r="C73" s="9" t="inlineStr">
        <is>
          <t>L1</t>
        </is>
      </c>
      <c r="D73" s="9" t="inlineStr">
        <is>
          <t>extraccion</t>
        </is>
      </c>
      <c r="E73" s="9" t="n">
        <v>212221</v>
      </c>
      <c r="F73" s="8" t="inlineStr">
        <is>
          <t>MinerÃ­a de oro</t>
        </is>
      </c>
      <c r="G73" s="9" t="inlineStr">
        <is>
          <t>si</t>
        </is>
      </c>
      <c r="H73" s="9" t="n">
        <v>69491.10000000001</v>
      </c>
      <c r="I73" s="9" t="n">
        <v>1.9672</v>
      </c>
      <c r="J73" s="9" t="n">
        <v>1.2167</v>
      </c>
      <c r="K73" s="9" t="n">
        <v>1.0261</v>
      </c>
      <c r="L73" s="9" t="n">
        <v>271</v>
      </c>
      <c r="M73" s="9" t="n">
        <v>321</v>
      </c>
      <c r="N73" s="9" t="n">
        <v>834</v>
      </c>
    </row>
    <row r="74">
      <c r="A74" s="6" t="n">
        <v>2018</v>
      </c>
      <c r="B74" s="6" t="inlineStr">
        <is>
          <t>oro</t>
        </is>
      </c>
      <c r="C74" s="6" t="inlineStr">
        <is>
          <t>L2</t>
        </is>
      </c>
      <c r="D74" s="6" t="inlineStr">
        <is>
          <t>refinacion</t>
        </is>
      </c>
      <c r="E74" s="6" t="n">
        <v>331412</v>
      </c>
      <c r="F74" s="5" t="inlineStr">
        <is>
          <t>FundiciÃ³n y refinaciÃ³n de metales preciosos</t>
        </is>
      </c>
      <c r="G74" s="6" t="inlineStr">
        <is>
          <t>comp</t>
        </is>
      </c>
      <c r="H74" s="6" t="n">
        <v>178982.4</v>
      </c>
      <c r="I74" s="6" t="n">
        <v>1.0012</v>
      </c>
      <c r="J74" s="6" t="n">
        <v>0.6192</v>
      </c>
      <c r="K74" s="6" t="n">
        <v>1.4174</v>
      </c>
      <c r="L74" s="6" t="n">
        <v>711</v>
      </c>
      <c r="M74" s="6" t="n">
        <v>6</v>
      </c>
      <c r="N74" s="6" t="n">
        <v>834</v>
      </c>
    </row>
    <row r="75">
      <c r="A75" s="9" t="n">
        <v>2018</v>
      </c>
      <c r="B75" s="9" t="inlineStr">
        <is>
          <t>oro</t>
        </is>
      </c>
      <c r="C75" s="9" t="inlineStr">
        <is>
          <t>L3</t>
        </is>
      </c>
      <c r="D75" s="9" t="inlineStr">
        <is>
          <t>semimanufactura</t>
        </is>
      </c>
      <c r="E75" s="9" t="n">
        <v>331490</v>
      </c>
      <c r="F75" s="8" t="inlineStr">
        <is>
          <t>LaminaciÃ³n secundaria de otros metales no ferro</t>
        </is>
      </c>
      <c r="G75" s="9" t="inlineStr">
        <is>
          <t>comp</t>
        </is>
      </c>
      <c r="H75" s="9" t="n">
        <v>11397.4</v>
      </c>
      <c r="I75" s="9" t="n">
        <v>1.6431</v>
      </c>
      <c r="J75" s="9" t="n">
        <v>1.0162</v>
      </c>
      <c r="K75" s="9" t="n">
        <v>0.9893999999999999</v>
      </c>
      <c r="L75" s="9" t="n">
        <v>346</v>
      </c>
      <c r="M75" s="9" t="n">
        <v>397</v>
      </c>
      <c r="N75" s="9" t="n">
        <v>834</v>
      </c>
    </row>
    <row r="76">
      <c r="A76" s="6" t="n">
        <v>2018</v>
      </c>
      <c r="B76" s="6" t="inlineStr">
        <is>
          <t>plata</t>
        </is>
      </c>
      <c r="C76" s="6" t="inlineStr">
        <is>
          <t>L1</t>
        </is>
      </c>
      <c r="D76" s="6" t="inlineStr">
        <is>
          <t>extraccion</t>
        </is>
      </c>
      <c r="E76" s="6" t="n">
        <v>212222</v>
      </c>
      <c r="F76" s="5" t="inlineStr">
        <is>
          <t>MinerÃ­a de plata</t>
        </is>
      </c>
      <c r="G76" s="6" t="inlineStr">
        <is>
          <t>si</t>
        </is>
      </c>
      <c r="H76" s="6" t="n">
        <v>49784.4</v>
      </c>
      <c r="I76" s="6" t="n">
        <v>1.8995</v>
      </c>
      <c r="J76" s="6" t="n">
        <v>1.1748</v>
      </c>
      <c r="K76" s="6" t="n">
        <v>0.9932</v>
      </c>
      <c r="L76" s="6" t="n">
        <v>288</v>
      </c>
      <c r="M76" s="6" t="n">
        <v>389</v>
      </c>
      <c r="N76" s="6" t="n">
        <v>834</v>
      </c>
    </row>
    <row r="77">
      <c r="A77" s="9" t="n">
        <v>2018</v>
      </c>
      <c r="B77" s="9" t="inlineStr">
        <is>
          <t>plata</t>
        </is>
      </c>
      <c r="C77" s="9" t="inlineStr">
        <is>
          <t>L2</t>
        </is>
      </c>
      <c r="D77" s="9" t="inlineStr">
        <is>
          <t>refinacion</t>
        </is>
      </c>
      <c r="E77" s="9" t="n">
        <v>331412</v>
      </c>
      <c r="F77" s="8" t="inlineStr">
        <is>
          <t>FundiciÃ³n y refinaciÃ³n de metales preciosos</t>
        </is>
      </c>
      <c r="G77" s="9" t="inlineStr">
        <is>
          <t>comp</t>
        </is>
      </c>
      <c r="H77" s="9" t="n">
        <v>178982.4</v>
      </c>
      <c r="I77" s="9" t="n">
        <v>1.0012</v>
      </c>
      <c r="J77" s="9" t="n">
        <v>0.6192</v>
      </c>
      <c r="K77" s="9" t="n">
        <v>1.4174</v>
      </c>
      <c r="L77" s="9" t="n">
        <v>711</v>
      </c>
      <c r="M77" s="9" t="n">
        <v>6</v>
      </c>
      <c r="N77" s="9" t="n">
        <v>834</v>
      </c>
    </row>
    <row r="78">
      <c r="A78" s="6" t="n">
        <v>2018</v>
      </c>
      <c r="B78" s="6" t="inlineStr">
        <is>
          <t>plata</t>
        </is>
      </c>
      <c r="C78" s="6" t="inlineStr">
        <is>
          <t>L3</t>
        </is>
      </c>
      <c r="D78" s="6" t="inlineStr">
        <is>
          <t>semimanufactura</t>
        </is>
      </c>
      <c r="E78" s="6" t="n">
        <v>331490</v>
      </c>
      <c r="F78" s="5" t="inlineStr">
        <is>
          <t>LaminaciÃ³n secundaria de otros metales no ferro</t>
        </is>
      </c>
      <c r="G78" s="6" t="inlineStr">
        <is>
          <t>comp</t>
        </is>
      </c>
      <c r="H78" s="6" t="n">
        <v>11397.4</v>
      </c>
      <c r="I78" s="6" t="n">
        <v>1.6431</v>
      </c>
      <c r="J78" s="6" t="n">
        <v>1.0162</v>
      </c>
      <c r="K78" s="6" t="n">
        <v>0.9893999999999999</v>
      </c>
      <c r="L78" s="6" t="n">
        <v>346</v>
      </c>
      <c r="M78" s="6" t="n">
        <v>397</v>
      </c>
      <c r="N78" s="6" t="n">
        <v>834</v>
      </c>
    </row>
    <row r="79">
      <c r="A79" s="9" t="n">
        <v>2018</v>
      </c>
      <c r="B79" s="9" t="inlineStr">
        <is>
          <t>plomo-zinc</t>
        </is>
      </c>
      <c r="C79" s="9" t="inlineStr">
        <is>
          <t>L1</t>
        </is>
      </c>
      <c r="D79" s="9" t="inlineStr">
        <is>
          <t>extraccion</t>
        </is>
      </c>
      <c r="E79" s="9" t="n">
        <v>212232</v>
      </c>
      <c r="F79" s="8" t="inlineStr">
        <is>
          <t>MinerÃ­a de plomo y zinc</t>
        </is>
      </c>
      <c r="G79" s="9" t="inlineStr">
        <is>
          <t>si</t>
        </is>
      </c>
      <c r="H79" s="9" t="n">
        <v>34724.7</v>
      </c>
      <c r="I79" s="9" t="n">
        <v>1.1438</v>
      </c>
      <c r="J79" s="9" t="n">
        <v>0.7074</v>
      </c>
      <c r="K79" s="9" t="n">
        <v>0.9885</v>
      </c>
      <c r="L79" s="9" t="n">
        <v>527</v>
      </c>
      <c r="M79" s="9" t="n">
        <v>401</v>
      </c>
      <c r="N79" s="9" t="n">
        <v>834</v>
      </c>
    </row>
    <row r="80">
      <c r="A80" s="6" t="n">
        <v>2018</v>
      </c>
      <c r="B80" s="6" t="inlineStr">
        <is>
          <t>plomo-zinc</t>
        </is>
      </c>
      <c r="C80" s="6" t="inlineStr">
        <is>
          <t>L2</t>
        </is>
      </c>
      <c r="D80" s="6" t="inlineStr">
        <is>
          <t>refinacion</t>
        </is>
      </c>
      <c r="E80" s="6" t="n">
        <v>331419</v>
      </c>
      <c r="F80" s="5" t="inlineStr">
        <is>
          <t>FundiciÃ³n y refinaciÃ³n de otros metales no fer</t>
        </is>
      </c>
      <c r="G80" s="6" t="inlineStr">
        <is>
          <t>comp</t>
        </is>
      </c>
      <c r="H80" s="6" t="n">
        <v>14421.6</v>
      </c>
      <c r="I80" s="6" t="n">
        <v>1.025</v>
      </c>
      <c r="J80" s="6" t="n">
        <v>0.634</v>
      </c>
      <c r="K80" s="6" t="n">
        <v>1.2493</v>
      </c>
      <c r="L80" s="6" t="n">
        <v>638</v>
      </c>
      <c r="M80" s="6" t="n">
        <v>51</v>
      </c>
      <c r="N80" s="6" t="n">
        <v>834</v>
      </c>
    </row>
    <row r="81">
      <c r="A81" s="9" t="n">
        <v>2018</v>
      </c>
      <c r="B81" s="9" t="inlineStr">
        <is>
          <t>plomo-zinc</t>
        </is>
      </c>
      <c r="C81" s="9" t="inlineStr">
        <is>
          <t>L3</t>
        </is>
      </c>
      <c r="D81" s="9" t="inlineStr">
        <is>
          <t>semimanufactura</t>
        </is>
      </c>
      <c r="E81" s="9" t="n">
        <v>331490</v>
      </c>
      <c r="F81" s="8" t="inlineStr">
        <is>
          <t>LaminaciÃ³n secundaria de otros metales no ferro</t>
        </is>
      </c>
      <c r="G81" s="9" t="inlineStr">
        <is>
          <t>comp</t>
        </is>
      </c>
      <c r="H81" s="9" t="n">
        <v>11397.4</v>
      </c>
      <c r="I81" s="9" t="n">
        <v>1.6431</v>
      </c>
      <c r="J81" s="9" t="n">
        <v>1.0162</v>
      </c>
      <c r="K81" s="9" t="n">
        <v>0.9893999999999999</v>
      </c>
      <c r="L81" s="9" t="n">
        <v>346</v>
      </c>
      <c r="M81" s="9" t="n">
        <v>397</v>
      </c>
      <c r="N81" s="9" t="n">
        <v>834</v>
      </c>
    </row>
    <row r="82">
      <c r="A82" s="6" t="n">
        <v>2018</v>
      </c>
      <c r="B82" s="6" t="inlineStr">
        <is>
          <t>silice</t>
        </is>
      </c>
      <c r="C82" s="6" t="inlineStr">
        <is>
          <t>L1</t>
        </is>
      </c>
      <c r="D82" s="6" t="inlineStr">
        <is>
          <t>extraccion</t>
        </is>
      </c>
      <c r="E82" s="6" t="n">
        <v>212324</v>
      </c>
      <c r="F82" s="5" t="inlineStr">
        <is>
          <t>MinerÃ­a de sÃ­lice</t>
        </is>
      </c>
      <c r="G82" s="6" t="inlineStr">
        <is>
          <t>si</t>
        </is>
      </c>
      <c r="H82" s="6" t="n">
        <v>6959.1</v>
      </c>
      <c r="I82" s="6" t="n">
        <v>3.0978</v>
      </c>
      <c r="J82" s="6" t="n">
        <v>1.9159</v>
      </c>
      <c r="K82" s="6" t="n">
        <v>0.9381</v>
      </c>
      <c r="L82" s="6" t="n">
        <v>18</v>
      </c>
      <c r="M82" s="6" t="n">
        <v>521</v>
      </c>
      <c r="N82" s="6" t="n">
        <v>834</v>
      </c>
    </row>
    <row r="83">
      <c r="A83" s="9" t="n">
        <v>2018</v>
      </c>
      <c r="B83" s="9" t="inlineStr">
        <is>
          <t>silice</t>
        </is>
      </c>
      <c r="C83" s="9" t="inlineStr">
        <is>
          <t>L2</t>
        </is>
      </c>
      <c r="D83" s="9" t="inlineStr">
        <is>
          <t>refinacion</t>
        </is>
      </c>
      <c r="E83" s="9" t="n">
        <v>325180</v>
      </c>
      <c r="F83" s="8" t="inlineStr">
        <is>
          <t>FabricaciÃ³n de otros productos quÃ­micos bÃ¡sic</t>
        </is>
      </c>
      <c r="G83" s="9" t="inlineStr">
        <is>
          <t>no</t>
        </is>
      </c>
      <c r="H83" s="9" t="n">
        <v>67911</v>
      </c>
      <c r="I83" s="9" t="n">
        <v>2.3289</v>
      </c>
      <c r="J83" s="9" t="n">
        <v>1.4404</v>
      </c>
      <c r="K83" s="9" t="n">
        <v>1.0444</v>
      </c>
      <c r="L83" s="9" t="n">
        <v>132</v>
      </c>
      <c r="M83" s="9" t="n">
        <v>280</v>
      </c>
      <c r="N83" s="9" t="n">
        <v>834</v>
      </c>
    </row>
    <row r="84">
      <c r="A84" s="6" t="n">
        <v>2018</v>
      </c>
      <c r="B84" s="6" t="inlineStr">
        <is>
          <t>silice</t>
        </is>
      </c>
      <c r="C84" s="6" t="inlineStr">
        <is>
          <t>L3</t>
        </is>
      </c>
      <c r="D84" s="6" t="inlineStr">
        <is>
          <t>semimanufactura</t>
        </is>
      </c>
      <c r="E84" s="6" t="n">
        <v>327211</v>
      </c>
      <c r="F84" s="5" t="inlineStr">
        <is>
          <t>FabricaciÃ³n de vidrio</t>
        </is>
      </c>
      <c r="G84" s="6" t="inlineStr">
        <is>
          <t>no</t>
        </is>
      </c>
      <c r="H84" s="6" t="n">
        <v>28332.7</v>
      </c>
      <c r="I84" s="6" t="n">
        <v>2.1674</v>
      </c>
      <c r="J84" s="6" t="n">
        <v>1.3405</v>
      </c>
      <c r="K84" s="6" t="n">
        <v>1.2169</v>
      </c>
      <c r="L84" s="6" t="n">
        <v>186</v>
      </c>
      <c r="M84" s="6" t="n">
        <v>69</v>
      </c>
      <c r="N84" s="6" t="n">
        <v>834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3" customWidth="1" min="4" max="4"/>
    <col width="34" customWidth="1" min="5" max="5"/>
    <col width="15" customWidth="1" min="6" max="6"/>
    <col width="12" customWidth="1" min="7" max="7"/>
    <col width="15" customWidth="1" min="8" max="8"/>
  </cols>
  <sheetData>
    <row r="1" ht="24" customHeight="1">
      <c r="A1" s="1" t="inlineStr">
        <is>
          <t>MIP nacional - demanda intermedia domestica (sectores compradores)</t>
        </is>
      </c>
    </row>
    <row r="2" ht="40" customHeight="1">
      <c r="A2" s="2" t="inlineStr">
        <is>
          <t>share_del_di = valor del comprador / DI_total del mineral (demanda intermedia total de ese mineral-anio, de la hoja 14). La columna 'DI_total_mineral' se trae como insumo; la verde recomputa share = valor / DI_total y su diferencia vs script (~0).</t>
        </is>
      </c>
    </row>
    <row r="3">
      <c r="A3" s="3" t="inlineStr">
        <is>
          <t>anio</t>
        </is>
      </c>
      <c r="B3" s="3" t="inlineStr">
        <is>
          <t>mineral_codigo</t>
        </is>
      </c>
      <c r="C3" s="3" t="inlineStr">
        <is>
          <t>mineral</t>
        </is>
      </c>
      <c r="D3" s="3" t="inlineStr">
        <is>
          <t>comprador_codigo</t>
        </is>
      </c>
      <c r="E3" s="3" t="inlineStr">
        <is>
          <t>comprador</t>
        </is>
      </c>
      <c r="F3" s="3" t="inlineStr">
        <is>
          <t>valor_mmpesos</t>
        </is>
      </c>
      <c r="G3" s="3" t="inlineStr">
        <is>
          <t>share_del_di</t>
        </is>
      </c>
      <c r="H3" s="3" t="inlineStr">
        <is>
          <t>DI_total_mineral</t>
        </is>
      </c>
      <c r="I3" s="10" t="inlineStr">
        <is>
          <t>share_del_di (=formula)</t>
        </is>
      </c>
      <c r="J3" s="10" t="inlineStr">
        <is>
          <t>dif</t>
        </is>
      </c>
    </row>
    <row r="4">
      <c r="A4" s="6" t="n">
        <v>2013</v>
      </c>
      <c r="B4" s="6" t="n">
        <v>212393</v>
      </c>
      <c r="C4" s="6" t="inlineStr">
        <is>
          <t>barita</t>
        </is>
      </c>
      <c r="D4" s="6" t="n">
        <v>336340</v>
      </c>
      <c r="E4" s="5" t="inlineStr">
        <is>
          <t>FabricaciÃ³n de partes de sistemas de frenos para vehÃ­culos automotri</t>
        </is>
      </c>
      <c r="F4" s="6" t="n">
        <v>64.71899999999999</v>
      </c>
      <c r="G4" s="6" t="n">
        <v>1</v>
      </c>
      <c r="H4" s="6" t="n">
        <v>64.71899999999999</v>
      </c>
      <c r="I4" s="11">
        <f>IF(H4=0,"",ROUND(F4/H4,4))</f>
        <v/>
      </c>
      <c r="J4" s="11">
        <f>IF(ISNUMBER(I4),ROUND(I4-G4,4),"")</f>
        <v/>
      </c>
    </row>
    <row r="5">
      <c r="A5" s="9" t="n">
        <v>2013</v>
      </c>
      <c r="B5" s="9" t="n">
        <v>212231</v>
      </c>
      <c r="C5" s="9" t="inlineStr">
        <is>
          <t>cobre</t>
        </is>
      </c>
      <c r="D5" s="9" t="n">
        <v>331411</v>
      </c>
      <c r="E5" s="8" t="inlineStr">
        <is>
          <t>FundiciÃ³n y refinaciÃ³n de cobre</t>
        </is>
      </c>
      <c r="F5" s="9" t="n">
        <v>9485.867</v>
      </c>
      <c r="G5" s="9" t="n">
        <v>0.519</v>
      </c>
      <c r="H5" s="9" t="n">
        <v>18276.824</v>
      </c>
      <c r="I5" s="11">
        <f>IF(H5=0,"",ROUND(F5/H5,4))</f>
        <v/>
      </c>
      <c r="J5" s="11">
        <f>IF(ISNUMBER(I5),ROUND(I5-G5,4),"")</f>
        <v/>
      </c>
    </row>
    <row r="6">
      <c r="A6" s="6" t="n">
        <v>2013</v>
      </c>
      <c r="B6" s="6" t="n">
        <v>212231</v>
      </c>
      <c r="C6" s="6" t="inlineStr">
        <is>
          <t>cobre</t>
        </is>
      </c>
      <c r="D6" s="6" t="n">
        <v>331420</v>
      </c>
      <c r="E6" s="5" t="inlineStr">
        <is>
          <t>LaminaciÃ³n secundaria de cobre</t>
        </is>
      </c>
      <c r="F6" s="6" t="n">
        <v>8288.794</v>
      </c>
      <c r="G6" s="6" t="n">
        <v>0.4535</v>
      </c>
      <c r="H6" s="6" t="n">
        <v>18276.824</v>
      </c>
      <c r="I6" s="11">
        <f>IF(H6=0,"",ROUND(F6/H6,4))</f>
        <v/>
      </c>
      <c r="J6" s="11">
        <f>IF(ISNUMBER(I6),ROUND(I6-G6,4),"")</f>
        <v/>
      </c>
    </row>
    <row r="7">
      <c r="A7" s="9" t="n">
        <v>2013</v>
      </c>
      <c r="B7" s="9" t="n">
        <v>212231</v>
      </c>
      <c r="C7" s="9" t="inlineStr">
        <is>
          <t>cobre</t>
        </is>
      </c>
      <c r="D7" s="9" t="n">
        <v>212231</v>
      </c>
      <c r="E7" s="8" t="inlineStr">
        <is>
          <t>MinerÃ­a de cobre</t>
        </is>
      </c>
      <c r="F7" s="9" t="n">
        <v>502.163</v>
      </c>
      <c r="G7" s="9" t="n">
        <v>0.0275</v>
      </c>
      <c r="H7" s="9" t="n">
        <v>18276.824</v>
      </c>
      <c r="I7" s="11">
        <f>IF(H7=0,"",ROUND(F7/H7,4))</f>
        <v/>
      </c>
      <c r="J7" s="11">
        <f>IF(ISNUMBER(I7),ROUND(I7-G7,4),"")</f>
        <v/>
      </c>
    </row>
    <row r="8">
      <c r="A8" s="6" t="n">
        <v>2013</v>
      </c>
      <c r="B8" s="6" t="n">
        <v>212395</v>
      </c>
      <c r="C8" s="6" t="inlineStr">
        <is>
          <t>fluorita</t>
        </is>
      </c>
      <c r="D8" s="6" t="n">
        <v>327310</v>
      </c>
      <c r="E8" s="5" t="inlineStr">
        <is>
          <t>FabricaciÃ³n de cemento y productos a base de cemento en plantas integ</t>
        </is>
      </c>
      <c r="F8" s="6" t="n">
        <v>194.483</v>
      </c>
      <c r="G8" s="6" t="n">
        <v>0.3973</v>
      </c>
      <c r="H8" s="6" t="n">
        <v>489.471</v>
      </c>
      <c r="I8" s="11">
        <f>IF(H8=0,"",ROUND(F8/H8,4))</f>
        <v/>
      </c>
      <c r="J8" s="11">
        <f>IF(ISNUMBER(I8),ROUND(I8-G8,4),"")</f>
        <v/>
      </c>
    </row>
    <row r="9">
      <c r="A9" s="9" t="n">
        <v>2013</v>
      </c>
      <c r="B9" s="9" t="n">
        <v>212395</v>
      </c>
      <c r="C9" s="9" t="inlineStr">
        <is>
          <t>fluorita</t>
        </is>
      </c>
      <c r="D9" s="9" t="n">
        <v>327112</v>
      </c>
      <c r="E9" s="8" t="inlineStr">
        <is>
          <t>FabricaciÃ³n de muebles de baÃ±o</t>
        </is>
      </c>
      <c r="F9" s="9" t="n">
        <v>191.133</v>
      </c>
      <c r="G9" s="9" t="n">
        <v>0.3905</v>
      </c>
      <c r="H9" s="9" t="n">
        <v>489.471</v>
      </c>
      <c r="I9" s="11">
        <f>IF(H9=0,"",ROUND(F9/H9,4))</f>
        <v/>
      </c>
      <c r="J9" s="11">
        <f>IF(ISNUMBER(I9),ROUND(I9-G9,4),"")</f>
        <v/>
      </c>
    </row>
    <row r="10">
      <c r="A10" s="6" t="n">
        <v>2013</v>
      </c>
      <c r="B10" s="6" t="n">
        <v>212395</v>
      </c>
      <c r="C10" s="6" t="inlineStr">
        <is>
          <t>fluorita</t>
        </is>
      </c>
      <c r="D10" s="6" t="n">
        <v>212395</v>
      </c>
      <c r="E10" s="5" t="inlineStr">
        <is>
          <t>MinerÃ­a de fluorita</t>
        </is>
      </c>
      <c r="F10" s="6" t="n">
        <v>40.993</v>
      </c>
      <c r="G10" s="6" t="n">
        <v>0.0837</v>
      </c>
      <c r="H10" s="6" t="n">
        <v>489.471</v>
      </c>
      <c r="I10" s="11">
        <f>IF(H10=0,"",ROUND(F10/H10,4))</f>
        <v/>
      </c>
      <c r="J10" s="11">
        <f>IF(ISNUMBER(I10),ROUND(I10-G10,4),"")</f>
        <v/>
      </c>
    </row>
    <row r="11">
      <c r="A11" s="9" t="n">
        <v>2013</v>
      </c>
      <c r="B11" s="9" t="n">
        <v>212395</v>
      </c>
      <c r="C11" s="9" t="inlineStr">
        <is>
          <t>fluorita</t>
        </is>
      </c>
      <c r="D11" s="9" t="n">
        <v>327123</v>
      </c>
      <c r="E11" s="8" t="inlineStr">
        <is>
          <t>FabricaciÃ³n de productos refractarios</t>
        </is>
      </c>
      <c r="F11" s="9" t="n">
        <v>39.808</v>
      </c>
      <c r="G11" s="9" t="n">
        <v>0.0813</v>
      </c>
      <c r="H11" s="9" t="n">
        <v>489.471</v>
      </c>
      <c r="I11" s="11">
        <f>IF(H11=0,"",ROUND(F11/H11,4))</f>
        <v/>
      </c>
      <c r="J11" s="11">
        <f>IF(ISNUMBER(I11),ROUND(I11-G11,4),"")</f>
        <v/>
      </c>
    </row>
    <row r="12">
      <c r="A12" s="6" t="n">
        <v>2013</v>
      </c>
      <c r="B12" s="6" t="n">
        <v>212395</v>
      </c>
      <c r="C12" s="6" t="inlineStr">
        <is>
          <t>fluorita</t>
        </is>
      </c>
      <c r="D12" s="6" t="n">
        <v>212325</v>
      </c>
      <c r="E12" s="5" t="inlineStr">
        <is>
          <t>MinerÃ­a de caolÃ­n</t>
        </is>
      </c>
      <c r="F12" s="6" t="n">
        <v>12.31</v>
      </c>
      <c r="G12" s="6" t="n">
        <v>0.0251</v>
      </c>
      <c r="H12" s="6" t="n">
        <v>489.471</v>
      </c>
      <c r="I12" s="11">
        <f>IF(H12=0,"",ROUND(F12/H12,4))</f>
        <v/>
      </c>
      <c r="J12" s="11">
        <f>IF(ISNUMBER(I12),ROUND(I12-G12,4),"")</f>
        <v/>
      </c>
    </row>
    <row r="13">
      <c r="A13" s="9" t="n">
        <v>2013</v>
      </c>
      <c r="B13" s="9" t="n">
        <v>212395</v>
      </c>
      <c r="C13" s="9" t="inlineStr">
        <is>
          <t>fluorita</t>
        </is>
      </c>
      <c r="D13" s="9" t="n">
        <v>327219</v>
      </c>
      <c r="E13" s="8" t="inlineStr">
        <is>
          <t>FabricaciÃ³n de otros productos de vidrio</t>
        </is>
      </c>
      <c r="F13" s="9" t="n">
        <v>6.462</v>
      </c>
      <c r="G13" s="9" t="n">
        <v>0.0132</v>
      </c>
      <c r="H13" s="9" t="n">
        <v>489.471</v>
      </c>
      <c r="I13" s="11">
        <f>IF(H13=0,"",ROUND(F13/H13,4))</f>
        <v/>
      </c>
      <c r="J13" s="11">
        <f>IF(ISNUMBER(I13),ROUND(I13-G13,4),"")</f>
        <v/>
      </c>
    </row>
    <row r="14">
      <c r="A14" s="6" t="n">
        <v>2013</v>
      </c>
      <c r="B14" s="6" t="n">
        <v>212395</v>
      </c>
      <c r="C14" s="6" t="inlineStr">
        <is>
          <t>fluorita</t>
        </is>
      </c>
      <c r="D14" s="6" t="n">
        <v>327215</v>
      </c>
      <c r="E14" s="5" t="inlineStr">
        <is>
          <t>FabricaciÃ³n de artÃ­culos de vidrio de uso domÃ©stico</t>
        </is>
      </c>
      <c r="F14" s="6" t="n">
        <v>3.87</v>
      </c>
      <c r="G14" s="6" t="n">
        <v>0.007900000000000001</v>
      </c>
      <c r="H14" s="6" t="n">
        <v>489.471</v>
      </c>
      <c r="I14" s="11">
        <f>IF(H14=0,"",ROUND(F14/H14,4))</f>
        <v/>
      </c>
      <c r="J14" s="11">
        <f>IF(ISNUMBER(I14),ROUND(I14-G14,4),"")</f>
        <v/>
      </c>
    </row>
    <row r="15">
      <c r="A15" s="9" t="n">
        <v>2013</v>
      </c>
      <c r="B15" s="9" t="n">
        <v>212395</v>
      </c>
      <c r="C15" s="9" t="inlineStr">
        <is>
          <t>fluorita</t>
        </is>
      </c>
      <c r="D15" s="9" t="n">
        <v>333991</v>
      </c>
      <c r="E15" s="8" t="inlineStr">
        <is>
          <t>FabricaciÃ³n de equipo para soldar y soldaduras</t>
        </is>
      </c>
      <c r="F15" s="9" t="n">
        <v>0.349</v>
      </c>
      <c r="G15" s="9" t="n">
        <v>0.0007</v>
      </c>
      <c r="H15" s="9" t="n">
        <v>489.471</v>
      </c>
      <c r="I15" s="11">
        <f>IF(H15=0,"",ROUND(F15/H15,4))</f>
        <v/>
      </c>
      <c r="J15" s="11">
        <f>IF(ISNUMBER(I15),ROUND(I15-G15,4),"")</f>
        <v/>
      </c>
    </row>
    <row r="16">
      <c r="A16" s="6" t="n">
        <v>2013</v>
      </c>
      <c r="B16" s="6" t="n">
        <v>212396</v>
      </c>
      <c r="C16" s="6" t="inlineStr">
        <is>
          <t>grafito</t>
        </is>
      </c>
      <c r="D16" s="6" t="n">
        <v>327123</v>
      </c>
      <c r="E16" s="5" t="inlineStr">
        <is>
          <t>FabricaciÃ³n de productos refractarios</t>
        </is>
      </c>
      <c r="F16" s="6" t="n">
        <v>71.974</v>
      </c>
      <c r="G16" s="6" t="n">
        <v>0.7405</v>
      </c>
      <c r="H16" s="6" t="n">
        <v>97.20099999999999</v>
      </c>
      <c r="I16" s="11">
        <f>IF(H16=0,"",ROUND(F16/H16,4))</f>
        <v/>
      </c>
      <c r="J16" s="11">
        <f>IF(ISNUMBER(I16),ROUND(I16-G16,4),"")</f>
        <v/>
      </c>
    </row>
    <row r="17">
      <c r="A17" s="9" t="n">
        <v>2013</v>
      </c>
      <c r="B17" s="9" t="n">
        <v>212396</v>
      </c>
      <c r="C17" s="9" t="inlineStr">
        <is>
          <t>grafito</t>
        </is>
      </c>
      <c r="D17" s="9" t="n">
        <v>331510</v>
      </c>
      <c r="E17" s="8" t="inlineStr">
        <is>
          <t>Moldeo por fundiciÃ³n de piezas de hierro y acero</t>
        </is>
      </c>
      <c r="F17" s="9" t="n">
        <v>18.939</v>
      </c>
      <c r="G17" s="9" t="n">
        <v>0.1948</v>
      </c>
      <c r="H17" s="9" t="n">
        <v>97.20099999999999</v>
      </c>
      <c r="I17" s="11">
        <f>IF(H17=0,"",ROUND(F17/H17,4))</f>
        <v/>
      </c>
      <c r="J17" s="11">
        <f>IF(ISNUMBER(I17),ROUND(I17-G17,4),"")</f>
        <v/>
      </c>
    </row>
    <row r="18">
      <c r="A18" s="6" t="n">
        <v>2013</v>
      </c>
      <c r="B18" s="6" t="n">
        <v>212396</v>
      </c>
      <c r="C18" s="6" t="inlineStr">
        <is>
          <t>grafito</t>
        </is>
      </c>
      <c r="D18" s="6" t="n">
        <v>336340</v>
      </c>
      <c r="E18" s="5" t="inlineStr">
        <is>
          <t>FabricaciÃ³n de partes de sistemas de frenos para vehÃ­culos automotri</t>
        </is>
      </c>
      <c r="F18" s="6" t="n">
        <v>5.311</v>
      </c>
      <c r="G18" s="6" t="n">
        <v>0.0546</v>
      </c>
      <c r="H18" s="6" t="n">
        <v>97.20099999999999</v>
      </c>
      <c r="I18" s="11">
        <f>IF(H18=0,"",ROUND(F18/H18,4))</f>
        <v/>
      </c>
      <c r="J18" s="11">
        <f>IF(ISNUMBER(I18),ROUND(I18-G18,4),"")</f>
        <v/>
      </c>
    </row>
    <row r="19">
      <c r="A19" s="9" t="n">
        <v>2013</v>
      </c>
      <c r="B19" s="9" t="n">
        <v>212396</v>
      </c>
      <c r="C19" s="9" t="inlineStr">
        <is>
          <t>grafito</t>
        </is>
      </c>
      <c r="D19" s="9" t="n">
        <v>334519</v>
      </c>
      <c r="E19" s="8" t="inlineStr">
        <is>
          <t>FabricaciÃ³n de otros instrumentos de mediciÃ³n, control, navegaciÃ³n,</t>
        </is>
      </c>
      <c r="F19" s="9" t="n">
        <v>0.631</v>
      </c>
      <c r="G19" s="9" t="n">
        <v>0.0065</v>
      </c>
      <c r="H19" s="9" t="n">
        <v>97.20099999999999</v>
      </c>
      <c r="I19" s="11">
        <f>IF(H19=0,"",ROUND(F19/H19,4))</f>
        <v/>
      </c>
      <c r="J19" s="11">
        <f>IF(ISNUMBER(I19),ROUND(I19-G19,4),"")</f>
        <v/>
      </c>
    </row>
    <row r="20">
      <c r="A20" s="6" t="n">
        <v>2013</v>
      </c>
      <c r="B20" s="6" t="n">
        <v>212396</v>
      </c>
      <c r="C20" s="6" t="inlineStr">
        <is>
          <t>grafito</t>
        </is>
      </c>
      <c r="D20" s="6" t="n">
        <v>333120</v>
      </c>
      <c r="E20" s="5" t="inlineStr">
        <is>
          <t>FabricaciÃ³n de maquinaria y equipo para la construcciÃ³n</t>
        </is>
      </c>
      <c r="F20" s="6" t="n">
        <v>0.139</v>
      </c>
      <c r="G20" s="6" t="n">
        <v>0.0014</v>
      </c>
      <c r="H20" s="6" t="n">
        <v>97.20099999999999</v>
      </c>
      <c r="I20" s="11">
        <f>IF(H20=0,"",ROUND(F20/H20,4))</f>
        <v/>
      </c>
      <c r="J20" s="11">
        <f>IF(ISNUMBER(I20),ROUND(I20-G20,4),"")</f>
        <v/>
      </c>
    </row>
    <row r="21">
      <c r="A21" s="9" t="n">
        <v>2013</v>
      </c>
      <c r="B21" s="9" t="n">
        <v>212396</v>
      </c>
      <c r="C21" s="9" t="inlineStr">
        <is>
          <t>grafito</t>
        </is>
      </c>
      <c r="D21" s="9" t="n">
        <v>331490</v>
      </c>
      <c r="E21" s="8" t="inlineStr">
        <is>
          <t>LaminaciÃ³n secundaria de otros metales no ferrosos</t>
        </is>
      </c>
      <c r="F21" s="9" t="n">
        <v>0.059</v>
      </c>
      <c r="G21" s="9" t="n">
        <v>0.0005999999999999999</v>
      </c>
      <c r="H21" s="9" t="n">
        <v>97.20099999999999</v>
      </c>
      <c r="I21" s="11">
        <f>IF(H21=0,"",ROUND(F21/H21,4))</f>
        <v/>
      </c>
      <c r="J21" s="11">
        <f>IF(ISNUMBER(I21),ROUND(I21-G21,4),"")</f>
        <v/>
      </c>
    </row>
    <row r="22">
      <c r="A22" s="6" t="n">
        <v>2013</v>
      </c>
      <c r="B22" s="6" t="n">
        <v>212396</v>
      </c>
      <c r="C22" s="6" t="inlineStr">
        <is>
          <t>grafito</t>
        </is>
      </c>
      <c r="D22" s="6" t="n">
        <v>332910</v>
      </c>
      <c r="E22" s="5" t="inlineStr">
        <is>
          <t>FabricaciÃ³n de vÃ¡lvulas metÃ¡licas</t>
        </is>
      </c>
      <c r="F22" s="6" t="n">
        <v>0.021</v>
      </c>
      <c r="G22" s="6" t="n">
        <v>0.0002</v>
      </c>
      <c r="H22" s="6" t="n">
        <v>97.20099999999999</v>
      </c>
      <c r="I22" s="11">
        <f>IF(H22=0,"",ROUND(F22/H22,4))</f>
        <v/>
      </c>
      <c r="J22" s="11">
        <f>IF(ISNUMBER(I22),ROUND(I22-G22,4),"")</f>
        <v/>
      </c>
    </row>
    <row r="23">
      <c r="A23" s="9" t="n">
        <v>2013</v>
      </c>
      <c r="B23" s="9" t="n">
        <v>212396</v>
      </c>
      <c r="C23" s="9" t="inlineStr">
        <is>
          <t>grafito</t>
        </is>
      </c>
      <c r="D23" s="9" t="n">
        <v>331111</v>
      </c>
      <c r="E23" s="8" t="inlineStr">
        <is>
          <t>Complejos siderÃºrgicos</t>
        </is>
      </c>
      <c r="F23" s="9" t="n">
        <v>0.02</v>
      </c>
      <c r="G23" s="9" t="n">
        <v>0.0002</v>
      </c>
      <c r="H23" s="9" t="n">
        <v>97.20099999999999</v>
      </c>
      <c r="I23" s="11">
        <f>IF(H23=0,"",ROUND(F23/H23,4))</f>
        <v/>
      </c>
      <c r="J23" s="11">
        <f>IF(ISNUMBER(I23),ROUND(I23-G23,4),"")</f>
        <v/>
      </c>
    </row>
    <row r="24">
      <c r="A24" s="6" t="n">
        <v>2013</v>
      </c>
      <c r="B24" s="6" t="n">
        <v>212291</v>
      </c>
      <c r="C24" s="6" t="inlineStr">
        <is>
          <t>manganeso</t>
        </is>
      </c>
      <c r="D24" s="6" t="n">
        <v>331112</v>
      </c>
      <c r="E24" s="5" t="inlineStr">
        <is>
          <t>FabricaciÃ³n de desbastes primarios y ferroaleaciones</t>
        </is>
      </c>
      <c r="F24" s="6" t="n">
        <v>310.145</v>
      </c>
      <c r="G24" s="6" t="n">
        <v>0.8899</v>
      </c>
      <c r="H24" s="6" t="n">
        <v>348.529</v>
      </c>
      <c r="I24" s="11">
        <f>IF(H24=0,"",ROUND(F24/H24,4))</f>
        <v/>
      </c>
      <c r="J24" s="11">
        <f>IF(ISNUMBER(I24),ROUND(I24-G24,4),"")</f>
        <v/>
      </c>
    </row>
    <row r="25">
      <c r="A25" s="9" t="n">
        <v>2013</v>
      </c>
      <c r="B25" s="9" t="n">
        <v>212291</v>
      </c>
      <c r="C25" s="9" t="inlineStr">
        <is>
          <t>manganeso</t>
        </is>
      </c>
      <c r="D25" s="9" t="n">
        <v>327121</v>
      </c>
      <c r="E25" s="8" t="inlineStr">
        <is>
          <t>FabricaciÃ³n de ladrillos no refractarios</t>
        </is>
      </c>
      <c r="F25" s="9" t="n">
        <v>28.357</v>
      </c>
      <c r="G25" s="9" t="n">
        <v>0.0814</v>
      </c>
      <c r="H25" s="9" t="n">
        <v>348.529</v>
      </c>
      <c r="I25" s="11">
        <f>IF(H25=0,"",ROUND(F25/H25,4))</f>
        <v/>
      </c>
      <c r="J25" s="11">
        <f>IF(ISNUMBER(I25),ROUND(I25-G25,4),"")</f>
        <v/>
      </c>
    </row>
    <row r="26">
      <c r="A26" s="6" t="n">
        <v>2013</v>
      </c>
      <c r="B26" s="6" t="n">
        <v>212291</v>
      </c>
      <c r="C26" s="6" t="inlineStr">
        <is>
          <t>manganeso</t>
        </is>
      </c>
      <c r="D26" s="6" t="n">
        <v>212291</v>
      </c>
      <c r="E26" s="5" t="inlineStr">
        <is>
          <t>MinerÃ­a de manganeso</t>
        </is>
      </c>
      <c r="F26" s="6" t="n">
        <v>9.242000000000001</v>
      </c>
      <c r="G26" s="6" t="n">
        <v>0.0265</v>
      </c>
      <c r="H26" s="6" t="n">
        <v>348.529</v>
      </c>
      <c r="I26" s="11">
        <f>IF(H26=0,"",ROUND(F26/H26,4))</f>
        <v/>
      </c>
      <c r="J26" s="11">
        <f>IF(ISNUMBER(I26),ROUND(I26-G26,4),"")</f>
        <v/>
      </c>
    </row>
    <row r="27">
      <c r="A27" s="9" t="n">
        <v>2013</v>
      </c>
      <c r="B27" s="9" t="n">
        <v>212291</v>
      </c>
      <c r="C27" s="9" t="inlineStr">
        <is>
          <t>manganeso</t>
        </is>
      </c>
      <c r="D27" s="9" t="n">
        <v>327910</v>
      </c>
      <c r="E27" s="8" t="inlineStr">
        <is>
          <t>FabricaciÃ³n de productos abrasivos</t>
        </is>
      </c>
      <c r="F27" s="9" t="n">
        <v>0.785</v>
      </c>
      <c r="G27" s="9" t="n">
        <v>0.0023</v>
      </c>
      <c r="H27" s="9" t="n">
        <v>348.529</v>
      </c>
      <c r="I27" s="11">
        <f>IF(H27=0,"",ROUND(F27/H27,4))</f>
        <v/>
      </c>
      <c r="J27" s="11">
        <f>IF(ISNUMBER(I27),ROUND(I27-G27,4),"")</f>
        <v/>
      </c>
    </row>
    <row r="28">
      <c r="A28" s="6" t="n">
        <v>2013</v>
      </c>
      <c r="B28" s="6" t="n">
        <v>212221</v>
      </c>
      <c r="C28" s="6" t="inlineStr">
        <is>
          <t>oro</t>
        </is>
      </c>
      <c r="D28" s="6" t="n">
        <v>331412</v>
      </c>
      <c r="E28" s="5" t="inlineStr">
        <is>
          <t>FundiciÃ³n y refinaciÃ³n de metales preciosos</t>
        </is>
      </c>
      <c r="F28" s="6" t="n">
        <v>45156.833</v>
      </c>
      <c r="G28" s="6" t="n">
        <v>0.9118000000000001</v>
      </c>
      <c r="H28" s="6" t="n">
        <v>49526.353</v>
      </c>
      <c r="I28" s="11">
        <f>IF(H28=0,"",ROUND(F28/H28,4))</f>
        <v/>
      </c>
      <c r="J28" s="11">
        <f>IF(ISNUMBER(I28),ROUND(I28-G28,4),"")</f>
        <v/>
      </c>
    </row>
    <row r="29">
      <c r="A29" s="9" t="n">
        <v>2013</v>
      </c>
      <c r="B29" s="9" t="n">
        <v>212221</v>
      </c>
      <c r="C29" s="9" t="inlineStr">
        <is>
          <t>oro</t>
        </is>
      </c>
      <c r="D29" s="9" t="n">
        <v>331490</v>
      </c>
      <c r="E29" s="8" t="inlineStr">
        <is>
          <t>LaminaciÃ³n secundaria de otros metales no ferrosos</t>
        </is>
      </c>
      <c r="F29" s="9" t="n">
        <v>3163.519</v>
      </c>
      <c r="G29" s="9" t="n">
        <v>0.0639</v>
      </c>
      <c r="H29" s="9" t="n">
        <v>49526.353</v>
      </c>
      <c r="I29" s="11">
        <f>IF(H29=0,"",ROUND(F29/H29,4))</f>
        <v/>
      </c>
      <c r="J29" s="11">
        <f>IF(ISNUMBER(I29),ROUND(I29-G29,4),"")</f>
        <v/>
      </c>
    </row>
    <row r="30">
      <c r="A30" s="6" t="n">
        <v>2013</v>
      </c>
      <c r="B30" s="6" t="n">
        <v>212221</v>
      </c>
      <c r="C30" s="6" t="inlineStr">
        <is>
          <t>oro</t>
        </is>
      </c>
      <c r="D30" s="6" t="n">
        <v>212221</v>
      </c>
      <c r="E30" s="5" t="inlineStr">
        <is>
          <t>MinerÃ­a de oro</t>
        </is>
      </c>
      <c r="F30" s="6" t="n">
        <v>1160.685</v>
      </c>
      <c r="G30" s="6" t="n">
        <v>0.0234</v>
      </c>
      <c r="H30" s="6" t="n">
        <v>49526.353</v>
      </c>
      <c r="I30" s="11">
        <f>IF(H30=0,"",ROUND(F30/H30,4))</f>
        <v/>
      </c>
      <c r="J30" s="11">
        <f>IF(ISNUMBER(I30),ROUND(I30-G30,4),"")</f>
        <v/>
      </c>
    </row>
    <row r="31">
      <c r="A31" s="9" t="n">
        <v>2013</v>
      </c>
      <c r="B31" s="9" t="n">
        <v>212221</v>
      </c>
      <c r="C31" s="9" t="inlineStr">
        <is>
          <t>oro</t>
        </is>
      </c>
      <c r="D31" s="9" t="n">
        <v>334110</v>
      </c>
      <c r="E31" s="8" t="inlineStr">
        <is>
          <t>FabricaciÃ³n de computadoras y equipo perifÃ©rico</t>
        </is>
      </c>
      <c r="F31" s="9" t="n">
        <v>38.887</v>
      </c>
      <c r="G31" s="9" t="n">
        <v>0.0008</v>
      </c>
      <c r="H31" s="9" t="n">
        <v>49526.353</v>
      </c>
      <c r="I31" s="11">
        <f>IF(H31=0,"",ROUND(F31/H31,4))</f>
        <v/>
      </c>
      <c r="J31" s="11">
        <f>IF(ISNUMBER(I31),ROUND(I31-G31,4),"")</f>
        <v/>
      </c>
    </row>
    <row r="32">
      <c r="A32" s="6" t="n">
        <v>2013</v>
      </c>
      <c r="B32" s="6" t="n">
        <v>212221</v>
      </c>
      <c r="C32" s="6" t="inlineStr">
        <is>
          <t>oro</t>
        </is>
      </c>
      <c r="D32" s="6" t="n">
        <v>461110</v>
      </c>
      <c r="E32" s="5" t="inlineStr">
        <is>
          <t>Comercio al por menor en tiendas de abarrotes, ultramarinos y miscelÃ¡</t>
        </is>
      </c>
      <c r="F32" s="6" t="n">
        <v>5.848</v>
      </c>
      <c r="G32" s="6" t="n">
        <v>0.0001</v>
      </c>
      <c r="H32" s="6" t="n">
        <v>49526.353</v>
      </c>
      <c r="I32" s="11">
        <f>IF(H32=0,"",ROUND(F32/H32,4))</f>
        <v/>
      </c>
      <c r="J32" s="11">
        <f>IF(ISNUMBER(I32),ROUND(I32-G32,4),"")</f>
        <v/>
      </c>
    </row>
    <row r="33">
      <c r="A33" s="9" t="n">
        <v>2013</v>
      </c>
      <c r="B33" s="9" t="n">
        <v>212221</v>
      </c>
      <c r="C33" s="9" t="inlineStr">
        <is>
          <t>oro</t>
        </is>
      </c>
      <c r="D33" s="9" t="n">
        <v>212231</v>
      </c>
      <c r="E33" s="8" t="inlineStr">
        <is>
          <t>MinerÃ­a de cobre</t>
        </is>
      </c>
      <c r="F33" s="9" t="n">
        <v>0.581</v>
      </c>
      <c r="G33" s="9" t="n">
        <v>0</v>
      </c>
      <c r="H33" s="9" t="n">
        <v>49526.353</v>
      </c>
      <c r="I33" s="11">
        <f>IF(H33=0,"",ROUND(F33/H33,4))</f>
        <v/>
      </c>
      <c r="J33" s="11">
        <f>IF(ISNUMBER(I33),ROUND(I33-G33,4),"")</f>
        <v/>
      </c>
    </row>
    <row r="34">
      <c r="A34" s="6" t="n">
        <v>2013</v>
      </c>
      <c r="B34" s="6" t="n">
        <v>212222</v>
      </c>
      <c r="C34" s="6" t="inlineStr">
        <is>
          <t>plata</t>
        </is>
      </c>
      <c r="D34" s="6" t="n">
        <v>331412</v>
      </c>
      <c r="E34" s="5" t="inlineStr">
        <is>
          <t>FundiciÃ³n y refinaciÃ³n de metales preciosos</t>
        </is>
      </c>
      <c r="F34" s="6" t="n">
        <v>39858.073</v>
      </c>
      <c r="G34" s="6" t="n">
        <v>0.9328</v>
      </c>
      <c r="H34" s="6" t="n">
        <v>42728.777</v>
      </c>
      <c r="I34" s="11">
        <f>IF(H34=0,"",ROUND(F34/H34,4))</f>
        <v/>
      </c>
      <c r="J34" s="11">
        <f>IF(ISNUMBER(I34),ROUND(I34-G34,4),"")</f>
        <v/>
      </c>
    </row>
    <row r="35">
      <c r="A35" s="9" t="n">
        <v>2013</v>
      </c>
      <c r="B35" s="9" t="n">
        <v>212222</v>
      </c>
      <c r="C35" s="9" t="inlineStr">
        <is>
          <t>plata</t>
        </is>
      </c>
      <c r="D35" s="9" t="n">
        <v>331490</v>
      </c>
      <c r="E35" s="8" t="inlineStr">
        <is>
          <t>LaminaciÃ³n secundaria de otros metales no ferrosos</t>
        </is>
      </c>
      <c r="F35" s="9" t="n">
        <v>2123.853</v>
      </c>
      <c r="G35" s="9" t="n">
        <v>0.0497</v>
      </c>
      <c r="H35" s="9" t="n">
        <v>42728.777</v>
      </c>
      <c r="I35" s="11">
        <f>IF(H35=0,"",ROUND(F35/H35,4))</f>
        <v/>
      </c>
      <c r="J35" s="11">
        <f>IF(ISNUMBER(I35),ROUND(I35-G35,4),"")</f>
        <v/>
      </c>
    </row>
    <row r="36">
      <c r="A36" s="6" t="n">
        <v>2013</v>
      </c>
      <c r="B36" s="6" t="n">
        <v>212222</v>
      </c>
      <c r="C36" s="6" t="inlineStr">
        <is>
          <t>plata</t>
        </is>
      </c>
      <c r="D36" s="6" t="n">
        <v>212222</v>
      </c>
      <c r="E36" s="5" t="inlineStr">
        <is>
          <t>MinerÃ­a de plata</t>
        </is>
      </c>
      <c r="F36" s="6" t="n">
        <v>623.652</v>
      </c>
      <c r="G36" s="6" t="n">
        <v>0.0146</v>
      </c>
      <c r="H36" s="6" t="n">
        <v>42728.777</v>
      </c>
      <c r="I36" s="11">
        <f>IF(H36=0,"",ROUND(F36/H36,4))</f>
        <v/>
      </c>
      <c r="J36" s="11">
        <f>IF(ISNUMBER(I36),ROUND(I36-G36,4),"")</f>
        <v/>
      </c>
    </row>
    <row r="37">
      <c r="A37" s="9" t="n">
        <v>2013</v>
      </c>
      <c r="B37" s="9" t="n">
        <v>212222</v>
      </c>
      <c r="C37" s="9" t="inlineStr">
        <is>
          <t>plata</t>
        </is>
      </c>
      <c r="D37" s="9" t="n">
        <v>331419</v>
      </c>
      <c r="E37" s="8" t="inlineStr">
        <is>
          <t>FundiciÃ³n y refinaciÃ³n de otros metales no ferrosos</t>
        </is>
      </c>
      <c r="F37" s="9" t="n">
        <v>123.197</v>
      </c>
      <c r="G37" s="9" t="n">
        <v>0.0029</v>
      </c>
      <c r="H37" s="9" t="n">
        <v>42728.777</v>
      </c>
      <c r="I37" s="11">
        <f>IF(H37=0,"",ROUND(F37/H37,4))</f>
        <v/>
      </c>
      <c r="J37" s="11">
        <f>IF(ISNUMBER(I37),ROUND(I37-G37,4),"")</f>
        <v/>
      </c>
    </row>
    <row r="38">
      <c r="A38" s="6" t="n">
        <v>2013</v>
      </c>
      <c r="B38" s="6" t="n">
        <v>212222</v>
      </c>
      <c r="C38" s="6" t="inlineStr">
        <is>
          <t>plata</t>
        </is>
      </c>
      <c r="D38" s="6" t="n">
        <v>212398</v>
      </c>
      <c r="E38" s="5" t="inlineStr">
        <is>
          <t>MinerÃ­a de minerales no metÃ¡licos para productos quÃ­micos</t>
        </is>
      </c>
      <c r="F38" s="6" t="n">
        <v>0.002</v>
      </c>
      <c r="G38" s="6" t="n">
        <v>0</v>
      </c>
      <c r="H38" s="6" t="n">
        <v>42728.777</v>
      </c>
      <c r="I38" s="11">
        <f>IF(H38=0,"",ROUND(F38/H38,4))</f>
        <v/>
      </c>
      <c r="J38" s="11">
        <f>IF(ISNUMBER(I38),ROUND(I38-G38,4),"")</f>
        <v/>
      </c>
    </row>
    <row r="39">
      <c r="A39" s="9" t="n">
        <v>2013</v>
      </c>
      <c r="B39" s="9" t="n">
        <v>212232</v>
      </c>
      <c r="C39" s="9" t="inlineStr">
        <is>
          <t>plomo-zinc</t>
        </is>
      </c>
      <c r="D39" s="9" t="n">
        <v>331419</v>
      </c>
      <c r="E39" s="8" t="inlineStr">
        <is>
          <t>FundiciÃ³n y refinaciÃ³n de otros metales no ferrosos</t>
        </is>
      </c>
      <c r="F39" s="9" t="n">
        <v>2210.922</v>
      </c>
      <c r="G39" s="9" t="n">
        <v>0.8875</v>
      </c>
      <c r="H39" s="9" t="n">
        <v>2491.224</v>
      </c>
      <c r="I39" s="11">
        <f>IF(H39=0,"",ROUND(F39/H39,4))</f>
        <v/>
      </c>
      <c r="J39" s="11">
        <f>IF(ISNUMBER(I39),ROUND(I39-G39,4),"")</f>
        <v/>
      </c>
    </row>
    <row r="40">
      <c r="A40" s="6" t="n">
        <v>2013</v>
      </c>
      <c r="B40" s="6" t="n">
        <v>212232</v>
      </c>
      <c r="C40" s="6" t="inlineStr">
        <is>
          <t>plomo-zinc</t>
        </is>
      </c>
      <c r="D40" s="6" t="n">
        <v>335910</v>
      </c>
      <c r="E40" s="5" t="inlineStr">
        <is>
          <t>FabricaciÃ³n de acumuladores y pilas</t>
        </is>
      </c>
      <c r="F40" s="6" t="n">
        <v>152.104</v>
      </c>
      <c r="G40" s="6" t="n">
        <v>0.0611</v>
      </c>
      <c r="H40" s="6" t="n">
        <v>2491.224</v>
      </c>
      <c r="I40" s="11">
        <f>IF(H40=0,"",ROUND(F40/H40,4))</f>
        <v/>
      </c>
      <c r="J40" s="11">
        <f>IF(ISNUMBER(I40),ROUND(I40-G40,4),"")</f>
        <v/>
      </c>
    </row>
    <row r="41">
      <c r="A41" s="9" t="n">
        <v>2013</v>
      </c>
      <c r="B41" s="9" t="n">
        <v>212232</v>
      </c>
      <c r="C41" s="9" t="inlineStr">
        <is>
          <t>plomo-zinc</t>
        </is>
      </c>
      <c r="D41" s="9" t="n">
        <v>212232</v>
      </c>
      <c r="E41" s="8" t="inlineStr">
        <is>
          <t>MinerÃ­a de plomo y zinc</t>
        </is>
      </c>
      <c r="F41" s="9" t="n">
        <v>115.734</v>
      </c>
      <c r="G41" s="9" t="n">
        <v>0.0465</v>
      </c>
      <c r="H41" s="9" t="n">
        <v>2491.224</v>
      </c>
      <c r="I41" s="11">
        <f>IF(H41=0,"",ROUND(F41/H41,4))</f>
        <v/>
      </c>
      <c r="J41" s="11">
        <f>IF(ISNUMBER(I41),ROUND(I41-G41,4),"")</f>
        <v/>
      </c>
    </row>
    <row r="42">
      <c r="A42" s="6" t="n">
        <v>2013</v>
      </c>
      <c r="B42" s="6" t="n">
        <v>212232</v>
      </c>
      <c r="C42" s="6" t="inlineStr">
        <is>
          <t>plomo-zinc</t>
        </is>
      </c>
      <c r="D42" s="6" t="n">
        <v>331310</v>
      </c>
      <c r="E42" s="5" t="inlineStr">
        <is>
          <t>Industria bÃ¡sica del aluminio</t>
        </is>
      </c>
      <c r="F42" s="6" t="n">
        <v>2.815</v>
      </c>
      <c r="G42" s="6" t="n">
        <v>0.0011</v>
      </c>
      <c r="H42" s="6" t="n">
        <v>2491.224</v>
      </c>
      <c r="I42" s="11">
        <f>IF(H42=0,"",ROUND(F42/H42,4))</f>
        <v/>
      </c>
      <c r="J42" s="11">
        <f>IF(ISNUMBER(I42),ROUND(I42-G42,4),"")</f>
        <v/>
      </c>
    </row>
    <row r="43">
      <c r="A43" s="9" t="n">
        <v>2013</v>
      </c>
      <c r="B43" s="9" t="n">
        <v>212232</v>
      </c>
      <c r="C43" s="9" t="inlineStr">
        <is>
          <t>plomo-zinc</t>
        </is>
      </c>
      <c r="D43" s="9" t="n">
        <v>334519</v>
      </c>
      <c r="E43" s="8" t="inlineStr">
        <is>
          <t>FabricaciÃ³n de otros instrumentos de mediciÃ³n, control, navegaciÃ³n,</t>
        </is>
      </c>
      <c r="F43" s="9" t="n">
        <v>1.866</v>
      </c>
      <c r="G43" s="9" t="n">
        <v>0.0007</v>
      </c>
      <c r="H43" s="9" t="n">
        <v>2491.224</v>
      </c>
      <c r="I43" s="11">
        <f>IF(H43=0,"",ROUND(F43/H43,4))</f>
        <v/>
      </c>
      <c r="J43" s="11">
        <f>IF(ISNUMBER(I43),ROUND(I43-G43,4),"")</f>
        <v/>
      </c>
    </row>
    <row r="44">
      <c r="A44" s="6" t="n">
        <v>2013</v>
      </c>
      <c r="B44" s="6" t="n">
        <v>212232</v>
      </c>
      <c r="C44" s="6" t="inlineStr">
        <is>
          <t>plomo-zinc</t>
        </is>
      </c>
      <c r="D44" s="6" t="n">
        <v>332999</v>
      </c>
      <c r="E44" s="5" t="inlineStr">
        <is>
          <t>FabricaciÃ³n de otros productos metÃ¡licos</t>
        </is>
      </c>
      <c r="F44" s="6" t="n">
        <v>1.191</v>
      </c>
      <c r="G44" s="6" t="n">
        <v>0.0005</v>
      </c>
      <c r="H44" s="6" t="n">
        <v>2491.224</v>
      </c>
      <c r="I44" s="11">
        <f>IF(H44=0,"",ROUND(F44/H44,4))</f>
        <v/>
      </c>
      <c r="J44" s="11">
        <f>IF(ISNUMBER(I44),ROUND(I44-G44,4),"")</f>
        <v/>
      </c>
    </row>
    <row r="45">
      <c r="A45" s="9" t="n">
        <v>2013</v>
      </c>
      <c r="B45" s="9" t="n">
        <v>212232</v>
      </c>
      <c r="C45" s="9" t="inlineStr">
        <is>
          <t>plomo-zinc</t>
        </is>
      </c>
      <c r="D45" s="9" t="n">
        <v>336210</v>
      </c>
      <c r="E45" s="8" t="inlineStr">
        <is>
          <t>FabricaciÃ³n de carrocerÃ­as y remolques</t>
        </is>
      </c>
      <c r="F45" s="9" t="n">
        <v>0.9</v>
      </c>
      <c r="G45" s="9" t="n">
        <v>0.0004</v>
      </c>
      <c r="H45" s="9" t="n">
        <v>2491.224</v>
      </c>
      <c r="I45" s="11">
        <f>IF(H45=0,"",ROUND(F45/H45,4))</f>
        <v/>
      </c>
      <c r="J45" s="11">
        <f>IF(ISNUMBER(I45),ROUND(I45-G45,4),"")</f>
        <v/>
      </c>
    </row>
    <row r="46">
      <c r="A46" s="6" t="n">
        <v>2013</v>
      </c>
      <c r="B46" s="6" t="n">
        <v>212232</v>
      </c>
      <c r="C46" s="6" t="inlineStr">
        <is>
          <t>plomo-zinc</t>
        </is>
      </c>
      <c r="D46" s="6" t="n">
        <v>332910</v>
      </c>
      <c r="E46" s="5" t="inlineStr">
        <is>
          <t>FabricaciÃ³n de vÃ¡lvulas metÃ¡licas</t>
        </is>
      </c>
      <c r="F46" s="6" t="n">
        <v>0.721</v>
      </c>
      <c r="G46" s="6" t="n">
        <v>0.0003</v>
      </c>
      <c r="H46" s="6" t="n">
        <v>2491.224</v>
      </c>
      <c r="I46" s="11">
        <f>IF(H46=0,"",ROUND(F46/H46,4))</f>
        <v/>
      </c>
      <c r="J46" s="11">
        <f>IF(ISNUMBER(I46),ROUND(I46-G46,4),"")</f>
        <v/>
      </c>
    </row>
    <row r="47">
      <c r="A47" s="9" t="n">
        <v>2013</v>
      </c>
      <c r="B47" s="9" t="n">
        <v>212324</v>
      </c>
      <c r="C47" s="9" t="inlineStr">
        <is>
          <t>silice</t>
        </is>
      </c>
      <c r="D47" s="9" t="n">
        <v>327213</v>
      </c>
      <c r="E47" s="8" t="inlineStr">
        <is>
          <t>FabricaciÃ³n de envases y ampolletas de vidrio</t>
        </is>
      </c>
      <c r="F47" s="9" t="n">
        <v>3438.32</v>
      </c>
      <c r="G47" s="9" t="n">
        <v>0.7096</v>
      </c>
      <c r="H47" s="9" t="n">
        <v>4845.318</v>
      </c>
      <c r="I47" s="11">
        <f>IF(H47=0,"",ROUND(F47/H47,4))</f>
        <v/>
      </c>
      <c r="J47" s="11">
        <f>IF(ISNUMBER(I47),ROUND(I47-G47,4),"")</f>
        <v/>
      </c>
    </row>
    <row r="48">
      <c r="A48" s="6" t="n">
        <v>2013</v>
      </c>
      <c r="B48" s="6" t="n">
        <v>212324</v>
      </c>
      <c r="C48" s="6" t="inlineStr">
        <is>
          <t>silice</t>
        </is>
      </c>
      <c r="D48" s="6" t="n">
        <v>327310</v>
      </c>
      <c r="E48" s="5" t="inlineStr">
        <is>
          <t>FabricaciÃ³n de cemento y productos a base de cemento en plantas integ</t>
        </is>
      </c>
      <c r="F48" s="6" t="n">
        <v>463.187</v>
      </c>
      <c r="G48" s="6" t="n">
        <v>0.0956</v>
      </c>
      <c r="H48" s="6" t="n">
        <v>4845.318</v>
      </c>
      <c r="I48" s="11">
        <f>IF(H48=0,"",ROUND(F48/H48,4))</f>
        <v/>
      </c>
      <c r="J48" s="11">
        <f>IF(ISNUMBER(I48),ROUND(I48-G48,4),"")</f>
        <v/>
      </c>
    </row>
    <row r="49">
      <c r="A49" s="9" t="n">
        <v>2013</v>
      </c>
      <c r="B49" s="9" t="n">
        <v>212324</v>
      </c>
      <c r="C49" s="9" t="inlineStr">
        <is>
          <t>silice</t>
        </is>
      </c>
      <c r="D49" s="9" t="n">
        <v>327215</v>
      </c>
      <c r="E49" s="8" t="inlineStr">
        <is>
          <t>FabricaciÃ³n de artÃ­culos de vidrio de uso domÃ©stico</t>
        </is>
      </c>
      <c r="F49" s="9" t="n">
        <v>214.109</v>
      </c>
      <c r="G49" s="9" t="n">
        <v>0.0442</v>
      </c>
      <c r="H49" s="9" t="n">
        <v>4845.318</v>
      </c>
      <c r="I49" s="11">
        <f>IF(H49=0,"",ROUND(F49/H49,4))</f>
        <v/>
      </c>
      <c r="J49" s="11">
        <f>IF(ISNUMBER(I49),ROUND(I49-G49,4),"")</f>
        <v/>
      </c>
    </row>
    <row r="50">
      <c r="A50" s="6" t="n">
        <v>2013</v>
      </c>
      <c r="B50" s="6" t="n">
        <v>212324</v>
      </c>
      <c r="C50" s="6" t="inlineStr">
        <is>
          <t>silice</t>
        </is>
      </c>
      <c r="D50" s="6" t="n">
        <v>325211</v>
      </c>
      <c r="E50" s="5" t="inlineStr">
        <is>
          <t>FabricaciÃ³n de resinas sintÃ©ticas</t>
        </is>
      </c>
      <c r="F50" s="6" t="n">
        <v>195.746</v>
      </c>
      <c r="G50" s="6" t="n">
        <v>0.0404</v>
      </c>
      <c r="H50" s="6" t="n">
        <v>4845.318</v>
      </c>
      <c r="I50" s="11">
        <f>IF(H50=0,"",ROUND(F50/H50,4))</f>
        <v/>
      </c>
      <c r="J50" s="11">
        <f>IF(ISNUMBER(I50),ROUND(I50-G50,4),"")</f>
        <v/>
      </c>
    </row>
    <row r="51">
      <c r="A51" s="9" t="n">
        <v>2013</v>
      </c>
      <c r="B51" s="9" t="n">
        <v>212324</v>
      </c>
      <c r="C51" s="9" t="inlineStr">
        <is>
          <t>silice</t>
        </is>
      </c>
      <c r="D51" s="9" t="n">
        <v>327999</v>
      </c>
      <c r="E51" s="8" t="inlineStr">
        <is>
          <t>FabricaciÃ³n de otros productos a base de minerales no metÃ¡licos</t>
        </is>
      </c>
      <c r="F51" s="9" t="n">
        <v>120.379</v>
      </c>
      <c r="G51" s="9" t="n">
        <v>0.0248</v>
      </c>
      <c r="H51" s="9" t="n">
        <v>4845.318</v>
      </c>
      <c r="I51" s="11">
        <f>IF(H51=0,"",ROUND(F51/H51,4))</f>
        <v/>
      </c>
      <c r="J51" s="11">
        <f>IF(ISNUMBER(I51),ROUND(I51-G51,4),"")</f>
        <v/>
      </c>
    </row>
    <row r="52">
      <c r="A52" s="6" t="n">
        <v>2013</v>
      </c>
      <c r="B52" s="6" t="n">
        <v>212324</v>
      </c>
      <c r="C52" s="6" t="inlineStr">
        <is>
          <t>silice</t>
        </is>
      </c>
      <c r="D52" s="6" t="n">
        <v>327112</v>
      </c>
      <c r="E52" s="5" t="inlineStr">
        <is>
          <t>FabricaciÃ³n de muebles de baÃ±o</t>
        </is>
      </c>
      <c r="F52" s="6" t="n">
        <v>103.016</v>
      </c>
      <c r="G52" s="6" t="n">
        <v>0.0213</v>
      </c>
      <c r="H52" s="6" t="n">
        <v>4845.318</v>
      </c>
      <c r="I52" s="11">
        <f>IF(H52=0,"",ROUND(F52/H52,4))</f>
        <v/>
      </c>
      <c r="J52" s="11">
        <f>IF(ISNUMBER(I52),ROUND(I52-G52,4),"")</f>
        <v/>
      </c>
    </row>
    <row r="53">
      <c r="A53" s="9" t="n">
        <v>2013</v>
      </c>
      <c r="B53" s="9" t="n">
        <v>212324</v>
      </c>
      <c r="C53" s="9" t="inlineStr">
        <is>
          <t>silice</t>
        </is>
      </c>
      <c r="D53" s="9" t="n">
        <v>333991</v>
      </c>
      <c r="E53" s="8" t="inlineStr">
        <is>
          <t>FabricaciÃ³n de equipo para soldar y soldaduras</t>
        </is>
      </c>
      <c r="F53" s="9" t="n">
        <v>92.01300000000001</v>
      </c>
      <c r="G53" s="9" t="n">
        <v>0.019</v>
      </c>
      <c r="H53" s="9" t="n">
        <v>4845.318</v>
      </c>
      <c r="I53" s="11">
        <f>IF(H53=0,"",ROUND(F53/H53,4))</f>
        <v/>
      </c>
      <c r="J53" s="11">
        <f>IF(ISNUMBER(I53),ROUND(I53-G53,4),"")</f>
        <v/>
      </c>
    </row>
    <row r="54">
      <c r="A54" s="6" t="n">
        <v>2013</v>
      </c>
      <c r="B54" s="6" t="n">
        <v>212324</v>
      </c>
      <c r="C54" s="6" t="inlineStr">
        <is>
          <t>silice</t>
        </is>
      </c>
      <c r="D54" s="6" t="n">
        <v>331510</v>
      </c>
      <c r="E54" s="5" t="inlineStr">
        <is>
          <t>Moldeo por fundiciÃ³n de piezas de hierro y acero</t>
        </is>
      </c>
      <c r="F54" s="6" t="n">
        <v>74.232</v>
      </c>
      <c r="G54" s="6" t="n">
        <v>0.0153</v>
      </c>
      <c r="H54" s="6" t="n">
        <v>4845.318</v>
      </c>
      <c r="I54" s="11">
        <f>IF(H54=0,"",ROUND(F54/H54,4))</f>
        <v/>
      </c>
      <c r="J54" s="11">
        <f>IF(ISNUMBER(I54),ROUND(I54-G54,4),"")</f>
        <v/>
      </c>
    </row>
    <row r="55">
      <c r="A55" s="9" t="n">
        <v>2018</v>
      </c>
      <c r="B55" s="9" t="n">
        <v>212393</v>
      </c>
      <c r="C55" s="9" t="inlineStr">
        <is>
          <t>barita</t>
        </is>
      </c>
      <c r="D55" s="9" t="n">
        <v>213111</v>
      </c>
      <c r="E55" s="8" t="inlineStr">
        <is>
          <t>PerforaciÃ³n de pozos petroleros y de gas</t>
        </is>
      </c>
      <c r="F55" s="9" t="n">
        <v>12.83</v>
      </c>
      <c r="G55" s="9" t="n">
        <v>0.5832000000000001</v>
      </c>
      <c r="H55" s="9" t="n">
        <v>21.998</v>
      </c>
      <c r="I55" s="11">
        <f>IF(H55=0,"",ROUND(F55/H55,4))</f>
        <v/>
      </c>
      <c r="J55" s="11">
        <f>IF(ISNUMBER(I55),ROUND(I55-G55,4),"")</f>
        <v/>
      </c>
    </row>
    <row r="56">
      <c r="A56" s="6" t="n">
        <v>2018</v>
      </c>
      <c r="B56" s="6" t="n">
        <v>212393</v>
      </c>
      <c r="C56" s="6" t="inlineStr">
        <is>
          <t>barita</t>
        </is>
      </c>
      <c r="D56" s="6" t="n">
        <v>336340</v>
      </c>
      <c r="E56" s="5" t="inlineStr">
        <is>
          <t>FabricaciÃ³n de partes de sistemas de frenos para vehÃ­culos automotri</t>
        </is>
      </c>
      <c r="F56" s="6" t="n">
        <v>3.347</v>
      </c>
      <c r="G56" s="6" t="n">
        <v>0.1522</v>
      </c>
      <c r="H56" s="6" t="n">
        <v>21.998</v>
      </c>
      <c r="I56" s="11">
        <f>IF(H56=0,"",ROUND(F56/H56,4))</f>
        <v/>
      </c>
      <c r="J56" s="11">
        <f>IF(ISNUMBER(I56),ROUND(I56-G56,4),"")</f>
        <v/>
      </c>
    </row>
    <row r="57">
      <c r="A57" s="9" t="n">
        <v>2018</v>
      </c>
      <c r="B57" s="9" t="n">
        <v>212393</v>
      </c>
      <c r="C57" s="9" t="inlineStr">
        <is>
          <t>barita</t>
        </is>
      </c>
      <c r="D57" s="9" t="n">
        <v>211111</v>
      </c>
      <c r="E57" s="8" t="inlineStr">
        <is>
          <t>ExtracciÃ³n de petrÃ³leo y gas natural asociado</t>
        </is>
      </c>
      <c r="F57" s="9" t="n">
        <v>3.182</v>
      </c>
      <c r="G57" s="9" t="n">
        <v>0.1446</v>
      </c>
      <c r="H57" s="9" t="n">
        <v>21.998</v>
      </c>
      <c r="I57" s="11">
        <f>IF(H57=0,"",ROUND(F57/H57,4))</f>
        <v/>
      </c>
      <c r="J57" s="11">
        <f>IF(ISNUMBER(I57),ROUND(I57-G57,4),"")</f>
        <v/>
      </c>
    </row>
    <row r="58">
      <c r="A58" s="6" t="n">
        <v>2018</v>
      </c>
      <c r="B58" s="6" t="n">
        <v>212393</v>
      </c>
      <c r="C58" s="6" t="inlineStr">
        <is>
          <t>barita</t>
        </is>
      </c>
      <c r="D58" s="6" t="n">
        <v>212323</v>
      </c>
      <c r="E58" s="5" t="inlineStr">
        <is>
          <t>MinerÃ­a de feldespato</t>
        </is>
      </c>
      <c r="F58" s="6" t="n">
        <v>1.31</v>
      </c>
      <c r="G58" s="6" t="n">
        <v>0.0596</v>
      </c>
      <c r="H58" s="6" t="n">
        <v>21.998</v>
      </c>
      <c r="I58" s="11">
        <f>IF(H58=0,"",ROUND(F58/H58,4))</f>
        <v/>
      </c>
      <c r="J58" s="11">
        <f>IF(ISNUMBER(I58),ROUND(I58-G58,4),"")</f>
        <v/>
      </c>
    </row>
    <row r="59">
      <c r="A59" s="9" t="n">
        <v>2018</v>
      </c>
      <c r="B59" s="9" t="n">
        <v>212393</v>
      </c>
      <c r="C59" s="9" t="inlineStr">
        <is>
          <t>barita</t>
        </is>
      </c>
      <c r="D59" s="9" t="n">
        <v>336610</v>
      </c>
      <c r="E59" s="8" t="inlineStr">
        <is>
          <t>FabricaciÃ³n de embarcaciones</t>
        </is>
      </c>
      <c r="F59" s="9" t="n">
        <v>0.745</v>
      </c>
      <c r="G59" s="9" t="n">
        <v>0.0339</v>
      </c>
      <c r="H59" s="9" t="n">
        <v>21.998</v>
      </c>
      <c r="I59" s="11">
        <f>IF(H59=0,"",ROUND(F59/H59,4))</f>
        <v/>
      </c>
      <c r="J59" s="11">
        <f>IF(ISNUMBER(I59),ROUND(I59-G59,4),"")</f>
        <v/>
      </c>
    </row>
    <row r="60">
      <c r="A60" s="6" t="n">
        <v>2018</v>
      </c>
      <c r="B60" s="6" t="n">
        <v>212393</v>
      </c>
      <c r="C60" s="6" t="inlineStr">
        <is>
          <t>barita</t>
        </is>
      </c>
      <c r="D60" s="6" t="n">
        <v>336370</v>
      </c>
      <c r="E60" s="5" t="inlineStr">
        <is>
          <t>FabricaciÃ³n de piezas metÃ¡licas troqueladas para vehÃ­culos automotr</t>
        </is>
      </c>
      <c r="F60" s="6" t="n">
        <v>0.236</v>
      </c>
      <c r="G60" s="6" t="n">
        <v>0.0107</v>
      </c>
      <c r="H60" s="6" t="n">
        <v>21.998</v>
      </c>
      <c r="I60" s="11">
        <f>IF(H60=0,"",ROUND(F60/H60,4))</f>
        <v/>
      </c>
      <c r="J60" s="11">
        <f>IF(ISNUMBER(I60),ROUND(I60-G60,4),"")</f>
        <v/>
      </c>
    </row>
    <row r="61">
      <c r="A61" s="9" t="n">
        <v>2018</v>
      </c>
      <c r="B61" s="9" t="n">
        <v>212393</v>
      </c>
      <c r="C61" s="9" t="inlineStr">
        <is>
          <t>barita</t>
        </is>
      </c>
      <c r="D61" s="9" t="n">
        <v>332610</v>
      </c>
      <c r="E61" s="8" t="inlineStr">
        <is>
          <t>FabricaciÃ³n de alambre, productos de alambre y resortes</t>
        </is>
      </c>
      <c r="F61" s="9" t="n">
        <v>0.123</v>
      </c>
      <c r="G61" s="9" t="n">
        <v>0.0056</v>
      </c>
      <c r="H61" s="9" t="n">
        <v>21.998</v>
      </c>
      <c r="I61" s="11">
        <f>IF(H61=0,"",ROUND(F61/H61,4))</f>
        <v/>
      </c>
      <c r="J61" s="11">
        <f>IF(ISNUMBER(I61),ROUND(I61-G61,4),"")</f>
        <v/>
      </c>
    </row>
    <row r="62">
      <c r="A62" s="6" t="n">
        <v>2018</v>
      </c>
      <c r="B62" s="6" t="n">
        <v>212393</v>
      </c>
      <c r="C62" s="6" t="inlineStr">
        <is>
          <t>barita</t>
        </is>
      </c>
      <c r="D62" s="6" t="n">
        <v>333910</v>
      </c>
      <c r="E62" s="5" t="inlineStr">
        <is>
          <t>FabricaciÃ³n de bombas y sistemas de bombeo</t>
        </is>
      </c>
      <c r="F62" s="6" t="n">
        <v>0.104</v>
      </c>
      <c r="G62" s="6" t="n">
        <v>0.0047</v>
      </c>
      <c r="H62" s="6" t="n">
        <v>21.998</v>
      </c>
      <c r="I62" s="11">
        <f>IF(H62=0,"",ROUND(F62/H62,4))</f>
        <v/>
      </c>
      <c r="J62" s="11">
        <f>IF(ISNUMBER(I62),ROUND(I62-G62,4),"")</f>
        <v/>
      </c>
    </row>
    <row r="63">
      <c r="A63" s="9" t="n">
        <v>2018</v>
      </c>
      <c r="B63" s="9" t="n">
        <v>212231</v>
      </c>
      <c r="C63" s="9" t="inlineStr">
        <is>
          <t>cobre</t>
        </is>
      </c>
      <c r="D63" s="9" t="n">
        <v>331411</v>
      </c>
      <c r="E63" s="8" t="inlineStr">
        <is>
          <t>FundiciÃ³n y refinaciÃ³n de cobre</t>
        </is>
      </c>
      <c r="F63" s="9" t="n">
        <v>45855.535</v>
      </c>
      <c r="G63" s="9" t="n">
        <v>0.9348</v>
      </c>
      <c r="H63" s="9" t="n">
        <v>49055.907</v>
      </c>
      <c r="I63" s="11">
        <f>IF(H63=0,"",ROUND(F63/H63,4))</f>
        <v/>
      </c>
      <c r="J63" s="11">
        <f>IF(ISNUMBER(I63),ROUND(I63-G63,4),"")</f>
        <v/>
      </c>
    </row>
    <row r="64">
      <c r="A64" s="6" t="n">
        <v>2018</v>
      </c>
      <c r="B64" s="6" t="n">
        <v>212231</v>
      </c>
      <c r="C64" s="6" t="inlineStr">
        <is>
          <t>cobre</t>
        </is>
      </c>
      <c r="D64" s="6" t="n">
        <v>212231</v>
      </c>
      <c r="E64" s="5" t="inlineStr">
        <is>
          <t>MinerÃ­a de cobre</t>
        </is>
      </c>
      <c r="F64" s="6" t="n">
        <v>3200.371</v>
      </c>
      <c r="G64" s="6" t="n">
        <v>0.06519999999999999</v>
      </c>
      <c r="H64" s="6" t="n">
        <v>49055.907</v>
      </c>
      <c r="I64" s="11">
        <f>IF(H64=0,"",ROUND(F64/H64,4))</f>
        <v/>
      </c>
      <c r="J64" s="11">
        <f>IF(ISNUMBER(I64),ROUND(I64-G64,4),"")</f>
        <v/>
      </c>
    </row>
    <row r="65">
      <c r="A65" s="9" t="n">
        <v>2018</v>
      </c>
      <c r="B65" s="9" t="n">
        <v>212231</v>
      </c>
      <c r="C65" s="9" t="inlineStr">
        <is>
          <t>cobre</t>
        </is>
      </c>
      <c r="D65" s="9" t="n">
        <v>931310</v>
      </c>
      <c r="E65" s="8" t="inlineStr">
        <is>
          <t>RegulaciÃ³n y fomento del desarrollo econÃ³mico</t>
        </is>
      </c>
      <c r="F65" s="9" t="n">
        <v>0.001</v>
      </c>
      <c r="G65" s="9" t="n">
        <v>0</v>
      </c>
      <c r="H65" s="9" t="n">
        <v>49055.907</v>
      </c>
      <c r="I65" s="11">
        <f>IF(H65=0,"",ROUND(F65/H65,4))</f>
        <v/>
      </c>
      <c r="J65" s="11">
        <f>IF(ISNUMBER(I65),ROUND(I65-G65,4),"")</f>
        <v/>
      </c>
    </row>
    <row r="66">
      <c r="A66" s="6" t="n">
        <v>2018</v>
      </c>
      <c r="B66" s="6" t="n">
        <v>212395</v>
      </c>
      <c r="C66" s="6" t="inlineStr">
        <is>
          <t>fluorita</t>
        </is>
      </c>
      <c r="D66" s="6" t="n">
        <v>327310</v>
      </c>
      <c r="E66" s="5" t="inlineStr">
        <is>
          <t>FabricaciÃ³n de cemento y productos a base de cemento en plantas integ</t>
        </is>
      </c>
      <c r="F66" s="6" t="n">
        <v>2431.222</v>
      </c>
      <c r="G66" s="6" t="n">
        <v>0.8228</v>
      </c>
      <c r="H66" s="6" t="n">
        <v>2954.788</v>
      </c>
      <c r="I66" s="11">
        <f>IF(H66=0,"",ROUND(F66/H66,4))</f>
        <v/>
      </c>
      <c r="J66" s="11">
        <f>IF(ISNUMBER(I66),ROUND(I66-G66,4),"")</f>
        <v/>
      </c>
    </row>
    <row r="67">
      <c r="A67" s="9" t="n">
        <v>2018</v>
      </c>
      <c r="B67" s="9" t="n">
        <v>212395</v>
      </c>
      <c r="C67" s="9" t="inlineStr">
        <is>
          <t>fluorita</t>
        </is>
      </c>
      <c r="D67" s="9" t="n">
        <v>327999</v>
      </c>
      <c r="E67" s="8" t="inlineStr">
        <is>
          <t>FabricaciÃ³n de otros productos a base de minerales no metÃ¡licos</t>
        </is>
      </c>
      <c r="F67" s="9" t="n">
        <v>371.148</v>
      </c>
      <c r="G67" s="9" t="n">
        <v>0.1256</v>
      </c>
      <c r="H67" s="9" t="n">
        <v>2954.788</v>
      </c>
      <c r="I67" s="11">
        <f>IF(H67=0,"",ROUND(F67/H67,4))</f>
        <v/>
      </c>
      <c r="J67" s="11">
        <f>IF(ISNUMBER(I67),ROUND(I67-G67,4),"")</f>
        <v/>
      </c>
    </row>
    <row r="68">
      <c r="A68" s="6" t="n">
        <v>2018</v>
      </c>
      <c r="B68" s="6" t="n">
        <v>212395</v>
      </c>
      <c r="C68" s="6" t="inlineStr">
        <is>
          <t>fluorita</t>
        </is>
      </c>
      <c r="D68" s="6" t="n">
        <v>212395</v>
      </c>
      <c r="E68" s="5" t="inlineStr">
        <is>
          <t>MinerÃ­a de fluorita</t>
        </is>
      </c>
      <c r="F68" s="6" t="n">
        <v>100.548</v>
      </c>
      <c r="G68" s="6" t="n">
        <v>0.034</v>
      </c>
      <c r="H68" s="6" t="n">
        <v>2954.788</v>
      </c>
      <c r="I68" s="11">
        <f>IF(H68=0,"",ROUND(F68/H68,4))</f>
        <v/>
      </c>
      <c r="J68" s="11">
        <f>IF(ISNUMBER(I68),ROUND(I68-G68,4),"")</f>
        <v/>
      </c>
    </row>
    <row r="69">
      <c r="A69" s="9" t="n">
        <v>2018</v>
      </c>
      <c r="B69" s="9" t="n">
        <v>212395</v>
      </c>
      <c r="C69" s="9" t="inlineStr">
        <is>
          <t>fluorita</t>
        </is>
      </c>
      <c r="D69" s="9" t="n">
        <v>327410</v>
      </c>
      <c r="E69" s="8" t="inlineStr">
        <is>
          <t>FabricaciÃ³n de cal</t>
        </is>
      </c>
      <c r="F69" s="9" t="n">
        <v>21.594</v>
      </c>
      <c r="G69" s="9" t="n">
        <v>0.0073</v>
      </c>
      <c r="H69" s="9" t="n">
        <v>2954.788</v>
      </c>
      <c r="I69" s="11">
        <f>IF(H69=0,"",ROUND(F69/H69,4))</f>
        <v/>
      </c>
      <c r="J69" s="11">
        <f>IF(ISNUMBER(I69),ROUND(I69-G69,4),"")</f>
        <v/>
      </c>
    </row>
    <row r="70">
      <c r="A70" s="6" t="n">
        <v>2018</v>
      </c>
      <c r="B70" s="6" t="n">
        <v>212395</v>
      </c>
      <c r="C70" s="6" t="inlineStr">
        <is>
          <t>fluorita</t>
        </is>
      </c>
      <c r="D70" s="6" t="n">
        <v>327112</v>
      </c>
      <c r="E70" s="5" t="inlineStr">
        <is>
          <t>FabricaciÃ³n de muebles de baÃ±o</t>
        </is>
      </c>
      <c r="F70" s="6" t="n">
        <v>12.975</v>
      </c>
      <c r="G70" s="6" t="n">
        <v>0.0044</v>
      </c>
      <c r="H70" s="6" t="n">
        <v>2954.788</v>
      </c>
      <c r="I70" s="11">
        <f>IF(H70=0,"",ROUND(F70/H70,4))</f>
        <v/>
      </c>
      <c r="J70" s="11">
        <f>IF(ISNUMBER(I70),ROUND(I70-G70,4),"")</f>
        <v/>
      </c>
    </row>
    <row r="71">
      <c r="A71" s="9" t="n">
        <v>2018</v>
      </c>
      <c r="B71" s="9" t="n">
        <v>212395</v>
      </c>
      <c r="C71" s="9" t="inlineStr">
        <is>
          <t>fluorita</t>
        </is>
      </c>
      <c r="D71" s="9" t="n">
        <v>327219</v>
      </c>
      <c r="E71" s="8" t="inlineStr">
        <is>
          <t>FabricaciÃ³n de otros productos de vidrio</t>
        </is>
      </c>
      <c r="F71" s="9" t="n">
        <v>8.518000000000001</v>
      </c>
      <c r="G71" s="9" t="n">
        <v>0.0029</v>
      </c>
      <c r="H71" s="9" t="n">
        <v>2954.788</v>
      </c>
      <c r="I71" s="11">
        <f>IF(H71=0,"",ROUND(F71/H71,4))</f>
        <v/>
      </c>
      <c r="J71" s="11">
        <f>IF(ISNUMBER(I71),ROUND(I71-G71,4),"")</f>
        <v/>
      </c>
    </row>
    <row r="72">
      <c r="A72" s="6" t="n">
        <v>2018</v>
      </c>
      <c r="B72" s="6" t="n">
        <v>212395</v>
      </c>
      <c r="C72" s="6" t="inlineStr">
        <is>
          <t>fluorita</t>
        </is>
      </c>
      <c r="D72" s="6" t="n">
        <v>327123</v>
      </c>
      <c r="E72" s="5" t="inlineStr">
        <is>
          <t>FabricaciÃ³n de productos refractarios</t>
        </is>
      </c>
      <c r="F72" s="6" t="n">
        <v>5.61</v>
      </c>
      <c r="G72" s="6" t="n">
        <v>0.0019</v>
      </c>
      <c r="H72" s="6" t="n">
        <v>2954.788</v>
      </c>
      <c r="I72" s="11">
        <f>IF(H72=0,"",ROUND(F72/H72,4))</f>
        <v/>
      </c>
      <c r="J72" s="11">
        <f>IF(ISNUMBER(I72),ROUND(I72-G72,4),"")</f>
        <v/>
      </c>
    </row>
    <row r="73">
      <c r="A73" s="9" t="n">
        <v>2018</v>
      </c>
      <c r="B73" s="9" t="n">
        <v>212395</v>
      </c>
      <c r="C73" s="9" t="inlineStr">
        <is>
          <t>fluorita</t>
        </is>
      </c>
      <c r="D73" s="9" t="n">
        <v>333991</v>
      </c>
      <c r="E73" s="8" t="inlineStr">
        <is>
          <t>FabricaciÃ³n de equipo para soldar y soldaduras</t>
        </is>
      </c>
      <c r="F73" s="9" t="n">
        <v>2.015</v>
      </c>
      <c r="G73" s="9" t="n">
        <v>0.0007</v>
      </c>
      <c r="H73" s="9" t="n">
        <v>2954.788</v>
      </c>
      <c r="I73" s="11">
        <f>IF(H73=0,"",ROUND(F73/H73,4))</f>
        <v/>
      </c>
      <c r="J73" s="11">
        <f>IF(ISNUMBER(I73),ROUND(I73-G73,4),"")</f>
        <v/>
      </c>
    </row>
    <row r="74">
      <c r="A74" s="6" t="n">
        <v>2018</v>
      </c>
      <c r="B74" s="6" t="n">
        <v>212396</v>
      </c>
      <c r="C74" s="6" t="inlineStr">
        <is>
          <t>grafito</t>
        </is>
      </c>
      <c r="D74" s="6" t="n">
        <v>331112</v>
      </c>
      <c r="E74" s="5" t="inlineStr">
        <is>
          <t>FabricaciÃ³n de desbastes primarios y ferroaleaciones</t>
        </is>
      </c>
      <c r="F74" s="6" t="n">
        <v>271.61</v>
      </c>
      <c r="G74" s="6" t="n">
        <v>0.4304</v>
      </c>
      <c r="H74" s="6" t="n">
        <v>631.008</v>
      </c>
      <c r="I74" s="11">
        <f>IF(H74=0,"",ROUND(F74/H74,4))</f>
        <v/>
      </c>
      <c r="J74" s="11">
        <f>IF(ISNUMBER(I74),ROUND(I74-G74,4),"")</f>
        <v/>
      </c>
    </row>
    <row r="75">
      <c r="A75" s="9" t="n">
        <v>2018</v>
      </c>
      <c r="B75" s="9" t="n">
        <v>212396</v>
      </c>
      <c r="C75" s="9" t="inlineStr">
        <is>
          <t>grafito</t>
        </is>
      </c>
      <c r="D75" s="9" t="n">
        <v>331111</v>
      </c>
      <c r="E75" s="8" t="inlineStr">
        <is>
          <t>Complejos siderÃºrgicos</t>
        </is>
      </c>
      <c r="F75" s="9" t="n">
        <v>204.213</v>
      </c>
      <c r="G75" s="9" t="n">
        <v>0.3236</v>
      </c>
      <c r="H75" s="9" t="n">
        <v>631.008</v>
      </c>
      <c r="I75" s="11">
        <f>IF(H75=0,"",ROUND(F75/H75,4))</f>
        <v/>
      </c>
      <c r="J75" s="11">
        <f>IF(ISNUMBER(I75),ROUND(I75-G75,4),"")</f>
        <v/>
      </c>
    </row>
    <row r="76">
      <c r="A76" s="6" t="n">
        <v>2018</v>
      </c>
      <c r="B76" s="6" t="n">
        <v>212396</v>
      </c>
      <c r="C76" s="6" t="inlineStr">
        <is>
          <t>grafito</t>
        </is>
      </c>
      <c r="D76" s="6" t="n">
        <v>331510</v>
      </c>
      <c r="E76" s="5" t="inlineStr">
        <is>
          <t>Moldeo por fundiciÃ³n de piezas de hierro y acero</t>
        </is>
      </c>
      <c r="F76" s="6" t="n">
        <v>85.934</v>
      </c>
      <c r="G76" s="6" t="n">
        <v>0.1362</v>
      </c>
      <c r="H76" s="6" t="n">
        <v>631.008</v>
      </c>
      <c r="I76" s="11">
        <f>IF(H76=0,"",ROUND(F76/H76,4))</f>
        <v/>
      </c>
      <c r="J76" s="11">
        <f>IF(ISNUMBER(I76),ROUND(I76-G76,4),"")</f>
        <v/>
      </c>
    </row>
    <row r="77">
      <c r="A77" s="9" t="n">
        <v>2018</v>
      </c>
      <c r="B77" s="9" t="n">
        <v>212396</v>
      </c>
      <c r="C77" s="9" t="inlineStr">
        <is>
          <t>grafito</t>
        </is>
      </c>
      <c r="D77" s="9" t="n">
        <v>336310</v>
      </c>
      <c r="E77" s="8" t="inlineStr">
        <is>
          <t>FabricaciÃ³n de motores y sus partes para vehÃ­culos automotrices</t>
        </is>
      </c>
      <c r="F77" s="9" t="n">
        <v>64.068</v>
      </c>
      <c r="G77" s="9" t="n">
        <v>0.1015</v>
      </c>
      <c r="H77" s="9" t="n">
        <v>631.008</v>
      </c>
      <c r="I77" s="11">
        <f>IF(H77=0,"",ROUND(F77/H77,4))</f>
        <v/>
      </c>
      <c r="J77" s="11">
        <f>IF(ISNUMBER(I77),ROUND(I77-G77,4),"")</f>
        <v/>
      </c>
    </row>
    <row r="78">
      <c r="A78" s="6" t="n">
        <v>2018</v>
      </c>
      <c r="B78" s="6" t="n">
        <v>212396</v>
      </c>
      <c r="C78" s="6" t="inlineStr">
        <is>
          <t>grafito</t>
        </is>
      </c>
      <c r="D78" s="6" t="n">
        <v>327123</v>
      </c>
      <c r="E78" s="5" t="inlineStr">
        <is>
          <t>FabricaciÃ³n de productos refractarios</t>
        </is>
      </c>
      <c r="F78" s="6" t="n">
        <v>2.066</v>
      </c>
      <c r="G78" s="6" t="n">
        <v>0.0033</v>
      </c>
      <c r="H78" s="6" t="n">
        <v>631.008</v>
      </c>
      <c r="I78" s="11">
        <f>IF(H78=0,"",ROUND(F78/H78,4))</f>
        <v/>
      </c>
      <c r="J78" s="11">
        <f>IF(ISNUMBER(I78),ROUND(I78-G78,4),"")</f>
        <v/>
      </c>
    </row>
    <row r="79">
      <c r="A79" s="9" t="n">
        <v>2018</v>
      </c>
      <c r="B79" s="9" t="n">
        <v>212396</v>
      </c>
      <c r="C79" s="9" t="inlineStr">
        <is>
          <t>grafito</t>
        </is>
      </c>
      <c r="D79" s="9" t="n">
        <v>212396</v>
      </c>
      <c r="E79" s="8" t="inlineStr">
        <is>
          <t>MinerÃ­a de grafito</t>
        </is>
      </c>
      <c r="F79" s="9" t="n">
        <v>1.735</v>
      </c>
      <c r="G79" s="9" t="n">
        <v>0.0027</v>
      </c>
      <c r="H79" s="9" t="n">
        <v>631.008</v>
      </c>
      <c r="I79" s="11">
        <f>IF(H79=0,"",ROUND(F79/H79,4))</f>
        <v/>
      </c>
      <c r="J79" s="11">
        <f>IF(ISNUMBER(I79),ROUND(I79-G79,4),"")</f>
        <v/>
      </c>
    </row>
    <row r="80">
      <c r="A80" s="6" t="n">
        <v>2018</v>
      </c>
      <c r="B80" s="6" t="n">
        <v>212396</v>
      </c>
      <c r="C80" s="6" t="inlineStr">
        <is>
          <t>grafito</t>
        </is>
      </c>
      <c r="D80" s="6" t="n">
        <v>327999</v>
      </c>
      <c r="E80" s="5" t="inlineStr">
        <is>
          <t>FabricaciÃ³n de otros productos a base de minerales no metÃ¡licos</t>
        </is>
      </c>
      <c r="F80" s="6" t="n">
        <v>0.7</v>
      </c>
      <c r="G80" s="6" t="n">
        <v>0.0011</v>
      </c>
      <c r="H80" s="6" t="n">
        <v>631.008</v>
      </c>
      <c r="I80" s="11">
        <f>IF(H80=0,"",ROUND(F80/H80,4))</f>
        <v/>
      </c>
      <c r="J80" s="11">
        <f>IF(ISNUMBER(I80),ROUND(I80-G80,4),"")</f>
        <v/>
      </c>
    </row>
    <row r="81">
      <c r="A81" s="9" t="n">
        <v>2018</v>
      </c>
      <c r="B81" s="9" t="n">
        <v>212396</v>
      </c>
      <c r="C81" s="9" t="inlineStr">
        <is>
          <t>grafito</t>
        </is>
      </c>
      <c r="D81" s="9" t="n">
        <v>339940</v>
      </c>
      <c r="E81" s="8" t="inlineStr">
        <is>
          <t>FabricaciÃ³n de artÃ­culos y accesorios para escritura, pintura, dibuj</t>
        </is>
      </c>
      <c r="F81" s="9" t="n">
        <v>0.627</v>
      </c>
      <c r="G81" s="9" t="n">
        <v>0.001</v>
      </c>
      <c r="H81" s="9" t="n">
        <v>631.008</v>
      </c>
      <c r="I81" s="11">
        <f>IF(H81=0,"",ROUND(F81/H81,4))</f>
        <v/>
      </c>
      <c r="J81" s="11">
        <f>IF(ISNUMBER(I81),ROUND(I81-G81,4),"")</f>
        <v/>
      </c>
    </row>
    <row r="82">
      <c r="A82" s="6" t="n">
        <v>2018</v>
      </c>
      <c r="B82" s="6" t="n">
        <v>212291</v>
      </c>
      <c r="C82" s="6" t="inlineStr">
        <is>
          <t>manganeso</t>
        </is>
      </c>
      <c r="D82" s="6" t="n">
        <v>325412</v>
      </c>
      <c r="E82" s="5" t="inlineStr">
        <is>
          <t>FabricaciÃ³n de preparaciones farmacÃ©uticas</t>
        </is>
      </c>
      <c r="F82" s="6" t="n">
        <v>113.231</v>
      </c>
      <c r="G82" s="6" t="n">
        <v>0.23</v>
      </c>
      <c r="H82" s="6" t="n">
        <v>492.404</v>
      </c>
      <c r="I82" s="11">
        <f>IF(H82=0,"",ROUND(F82/H82,4))</f>
        <v/>
      </c>
      <c r="J82" s="11">
        <f>IF(ISNUMBER(I82),ROUND(I82-G82,4),"")</f>
        <v/>
      </c>
    </row>
    <row r="83">
      <c r="A83" s="9" t="n">
        <v>2018</v>
      </c>
      <c r="B83" s="9" t="n">
        <v>212291</v>
      </c>
      <c r="C83" s="9" t="inlineStr">
        <is>
          <t>manganeso</t>
        </is>
      </c>
      <c r="D83" s="9" t="n">
        <v>311110</v>
      </c>
      <c r="E83" s="8" t="inlineStr">
        <is>
          <t>ElaboraciÃ³n de alimentos para animales</t>
        </is>
      </c>
      <c r="F83" s="9" t="n">
        <v>109.242</v>
      </c>
      <c r="G83" s="9" t="n">
        <v>0.2219</v>
      </c>
      <c r="H83" s="9" t="n">
        <v>492.404</v>
      </c>
      <c r="I83" s="11">
        <f>IF(H83=0,"",ROUND(F83/H83,4))</f>
        <v/>
      </c>
      <c r="J83" s="11">
        <f>IF(ISNUMBER(I83),ROUND(I83-G83,4),"")</f>
        <v/>
      </c>
    </row>
    <row r="84">
      <c r="A84" s="6" t="n">
        <v>2018</v>
      </c>
      <c r="B84" s="6" t="n">
        <v>212291</v>
      </c>
      <c r="C84" s="6" t="inlineStr">
        <is>
          <t>manganeso</t>
        </is>
      </c>
      <c r="D84" s="6" t="n">
        <v>327121</v>
      </c>
      <c r="E84" s="5" t="inlineStr">
        <is>
          <t>FabricaciÃ³n de ladrillos no refractarios</t>
        </is>
      </c>
      <c r="F84" s="6" t="n">
        <v>105.216</v>
      </c>
      <c r="G84" s="6" t="n">
        <v>0.2137</v>
      </c>
      <c r="H84" s="6" t="n">
        <v>492.404</v>
      </c>
      <c r="I84" s="11">
        <f>IF(H84=0,"",ROUND(F84/H84,4))</f>
        <v/>
      </c>
      <c r="J84" s="11">
        <f>IF(ISNUMBER(I84),ROUND(I84-G84,4),"")</f>
        <v/>
      </c>
    </row>
    <row r="85">
      <c r="A85" s="9" t="n">
        <v>2018</v>
      </c>
      <c r="B85" s="9" t="n">
        <v>212291</v>
      </c>
      <c r="C85" s="9" t="inlineStr">
        <is>
          <t>manganeso</t>
        </is>
      </c>
      <c r="D85" s="9" t="n">
        <v>325180</v>
      </c>
      <c r="E85" s="8" t="inlineStr">
        <is>
          <t>FabricaciÃ³n de otros productos quÃ­micos bÃ¡sicos inorgÃ¡nicos</t>
        </is>
      </c>
      <c r="F85" s="9" t="n">
        <v>42.216</v>
      </c>
      <c r="G85" s="9" t="n">
        <v>0.0857</v>
      </c>
      <c r="H85" s="9" t="n">
        <v>492.404</v>
      </c>
      <c r="I85" s="11">
        <f>IF(H85=0,"",ROUND(F85/H85,4))</f>
        <v/>
      </c>
      <c r="J85" s="11">
        <f>IF(ISNUMBER(I85),ROUND(I85-G85,4),"")</f>
        <v/>
      </c>
    </row>
    <row r="86">
      <c r="A86" s="6" t="n">
        <v>2018</v>
      </c>
      <c r="B86" s="6" t="n">
        <v>212291</v>
      </c>
      <c r="C86" s="6" t="inlineStr">
        <is>
          <t>manganeso</t>
        </is>
      </c>
      <c r="D86" s="6" t="n">
        <v>325310</v>
      </c>
      <c r="E86" s="5" t="inlineStr">
        <is>
          <t>FabricaciÃ³n de fertilizantes</t>
        </is>
      </c>
      <c r="F86" s="6" t="n">
        <v>22.53</v>
      </c>
      <c r="G86" s="6" t="n">
        <v>0.0458</v>
      </c>
      <c r="H86" s="6" t="n">
        <v>492.404</v>
      </c>
      <c r="I86" s="11">
        <f>IF(H86=0,"",ROUND(F86/H86,4))</f>
        <v/>
      </c>
      <c r="J86" s="11">
        <f>IF(ISNUMBER(I86),ROUND(I86-G86,4),"")</f>
        <v/>
      </c>
    </row>
    <row r="87">
      <c r="A87" s="9" t="n">
        <v>2018</v>
      </c>
      <c r="B87" s="9" t="n">
        <v>212291</v>
      </c>
      <c r="C87" s="9" t="inlineStr">
        <is>
          <t>manganeso</t>
        </is>
      </c>
      <c r="D87" s="9" t="n">
        <v>325999</v>
      </c>
      <c r="E87" s="8" t="inlineStr">
        <is>
          <t>FabricaciÃ³n de otros productos quÃ­micos</t>
        </is>
      </c>
      <c r="F87" s="9" t="n">
        <v>19.577</v>
      </c>
      <c r="G87" s="9" t="n">
        <v>0.0398</v>
      </c>
      <c r="H87" s="9" t="n">
        <v>492.404</v>
      </c>
      <c r="I87" s="11">
        <f>IF(H87=0,"",ROUND(F87/H87,4))</f>
        <v/>
      </c>
      <c r="J87" s="11">
        <f>IF(ISNUMBER(I87),ROUND(I87-G87,4),"")</f>
        <v/>
      </c>
    </row>
    <row r="88">
      <c r="A88" s="6" t="n">
        <v>2018</v>
      </c>
      <c r="B88" s="6" t="n">
        <v>212291</v>
      </c>
      <c r="C88" s="6" t="inlineStr">
        <is>
          <t>manganeso</t>
        </is>
      </c>
      <c r="D88" s="6" t="n">
        <v>335910</v>
      </c>
      <c r="E88" s="5" t="inlineStr">
        <is>
          <t>FabricaciÃ³n de acumuladores y pilas</t>
        </is>
      </c>
      <c r="F88" s="6" t="n">
        <v>18.267</v>
      </c>
      <c r="G88" s="6" t="n">
        <v>0.0371</v>
      </c>
      <c r="H88" s="6" t="n">
        <v>492.404</v>
      </c>
      <c r="I88" s="11">
        <f>IF(H88=0,"",ROUND(F88/H88,4))</f>
        <v/>
      </c>
      <c r="J88" s="11">
        <f>IF(ISNUMBER(I88),ROUND(I88-G88,4),"")</f>
        <v/>
      </c>
    </row>
    <row r="89">
      <c r="A89" s="9" t="n">
        <v>2018</v>
      </c>
      <c r="B89" s="9" t="n">
        <v>212291</v>
      </c>
      <c r="C89" s="9" t="inlineStr">
        <is>
          <t>manganeso</t>
        </is>
      </c>
      <c r="D89" s="9" t="n">
        <v>327211</v>
      </c>
      <c r="E89" s="8" t="inlineStr">
        <is>
          <t>FabricaciÃ³n de vidrio</t>
        </is>
      </c>
      <c r="F89" s="9" t="n">
        <v>17.566</v>
      </c>
      <c r="G89" s="9" t="n">
        <v>0.0357</v>
      </c>
      <c r="H89" s="9" t="n">
        <v>492.404</v>
      </c>
      <c r="I89" s="11">
        <f>IF(H89=0,"",ROUND(F89/H89,4))</f>
        <v/>
      </c>
      <c r="J89" s="11">
        <f>IF(ISNUMBER(I89),ROUND(I89-G89,4),"")</f>
        <v/>
      </c>
    </row>
    <row r="90">
      <c r="A90" s="6" t="n">
        <v>2018</v>
      </c>
      <c r="B90" s="6" t="n">
        <v>212221</v>
      </c>
      <c r="C90" s="6" t="inlineStr">
        <is>
          <t>oro</t>
        </is>
      </c>
      <c r="D90" s="6" t="n">
        <v>331412</v>
      </c>
      <c r="E90" s="5" t="inlineStr">
        <is>
          <t>FundiciÃ³n y refinaciÃ³n de metales preciosos</t>
        </is>
      </c>
      <c r="F90" s="6" t="n">
        <v>66504.318</v>
      </c>
      <c r="G90" s="6" t="n">
        <v>0.9952</v>
      </c>
      <c r="H90" s="6" t="n">
        <v>66824.323</v>
      </c>
      <c r="I90" s="11">
        <f>IF(H90=0,"",ROUND(F90/H90,4))</f>
        <v/>
      </c>
      <c r="J90" s="11">
        <f>IF(ISNUMBER(I90),ROUND(I90-G90,4),"")</f>
        <v/>
      </c>
    </row>
    <row r="91">
      <c r="A91" s="9" t="n">
        <v>2018</v>
      </c>
      <c r="B91" s="9" t="n">
        <v>212221</v>
      </c>
      <c r="C91" s="9" t="inlineStr">
        <is>
          <t>oro</t>
        </is>
      </c>
      <c r="D91" s="9" t="n">
        <v>212221</v>
      </c>
      <c r="E91" s="8" t="inlineStr">
        <is>
          <t>MinerÃ­a de oro</t>
        </is>
      </c>
      <c r="F91" s="9" t="n">
        <v>320.005</v>
      </c>
      <c r="G91" s="9" t="n">
        <v>0.0048</v>
      </c>
      <c r="H91" s="9" t="n">
        <v>66824.323</v>
      </c>
      <c r="I91" s="11">
        <f>IF(H91=0,"",ROUND(F91/H91,4))</f>
        <v/>
      </c>
      <c r="J91" s="11">
        <f>IF(ISNUMBER(I91),ROUND(I91-G91,4),"")</f>
        <v/>
      </c>
    </row>
    <row r="92">
      <c r="A92" s="6" t="n">
        <v>2018</v>
      </c>
      <c r="B92" s="6" t="n">
        <v>212222</v>
      </c>
      <c r="C92" s="6" t="inlineStr">
        <is>
          <t>plata</t>
        </is>
      </c>
      <c r="D92" s="6" t="n">
        <v>331412</v>
      </c>
      <c r="E92" s="5" t="inlineStr">
        <is>
          <t>FundiciÃ³n y refinaciÃ³n de metales preciosos</t>
        </is>
      </c>
      <c r="F92" s="6" t="n">
        <v>43875.047</v>
      </c>
      <c r="G92" s="6" t="n">
        <v>0.9898</v>
      </c>
      <c r="H92" s="6" t="n">
        <v>44325.154</v>
      </c>
      <c r="I92" s="11">
        <f>IF(H92=0,"",ROUND(F92/H92,4))</f>
        <v/>
      </c>
      <c r="J92" s="11">
        <f>IF(ISNUMBER(I92),ROUND(I92-G92,4),"")</f>
        <v/>
      </c>
    </row>
    <row r="93">
      <c r="A93" s="9" t="n">
        <v>2018</v>
      </c>
      <c r="B93" s="9" t="n">
        <v>212222</v>
      </c>
      <c r="C93" s="9" t="inlineStr">
        <is>
          <t>plata</t>
        </is>
      </c>
      <c r="D93" s="9" t="n">
        <v>212222</v>
      </c>
      <c r="E93" s="8" t="inlineStr">
        <is>
          <t>MinerÃ­a de plata</t>
        </is>
      </c>
      <c r="F93" s="9" t="n">
        <v>450.107</v>
      </c>
      <c r="G93" s="9" t="n">
        <v>0.0102</v>
      </c>
      <c r="H93" s="9" t="n">
        <v>44325.154</v>
      </c>
      <c r="I93" s="11">
        <f>IF(H93=0,"",ROUND(F93/H93,4))</f>
        <v/>
      </c>
      <c r="J93" s="11">
        <f>IF(ISNUMBER(I93),ROUND(I93-G93,4),"")</f>
        <v/>
      </c>
    </row>
    <row r="94">
      <c r="A94" s="6" t="n">
        <v>2018</v>
      </c>
      <c r="B94" s="6" t="n">
        <v>212232</v>
      </c>
      <c r="C94" s="6" t="inlineStr">
        <is>
          <t>plomo-zinc</t>
        </is>
      </c>
      <c r="D94" s="6" t="n">
        <v>331419</v>
      </c>
      <c r="E94" s="5" t="inlineStr">
        <is>
          <t>FundiciÃ³n y refinaciÃ³n de otros metales no ferrosos</t>
        </is>
      </c>
      <c r="F94" s="6" t="n">
        <v>3735.619</v>
      </c>
      <c r="G94" s="6" t="n">
        <v>0.7952</v>
      </c>
      <c r="H94" s="6" t="n">
        <v>4697.6</v>
      </c>
      <c r="I94" s="11">
        <f>IF(H94=0,"",ROUND(F94/H94,4))</f>
        <v/>
      </c>
      <c r="J94" s="11">
        <f>IF(ISNUMBER(I94),ROUND(I94-G94,4),"")</f>
        <v/>
      </c>
    </row>
    <row r="95">
      <c r="A95" s="9" t="n">
        <v>2018</v>
      </c>
      <c r="B95" s="9" t="n">
        <v>212232</v>
      </c>
      <c r="C95" s="9" t="inlineStr">
        <is>
          <t>plomo-zinc</t>
        </is>
      </c>
      <c r="D95" s="9" t="n">
        <v>212232</v>
      </c>
      <c r="E95" s="8" t="inlineStr">
        <is>
          <t>MinerÃ­a de plomo y zinc</t>
        </is>
      </c>
      <c r="F95" s="9" t="n">
        <v>495.575</v>
      </c>
      <c r="G95" s="9" t="n">
        <v>0.1055</v>
      </c>
      <c r="H95" s="9" t="n">
        <v>4697.6</v>
      </c>
      <c r="I95" s="11">
        <f>IF(H95=0,"",ROUND(F95/H95,4))</f>
        <v/>
      </c>
      <c r="J95" s="11">
        <f>IF(ISNUMBER(I95),ROUND(I95-G95,4),"")</f>
        <v/>
      </c>
    </row>
    <row r="96">
      <c r="A96" s="6" t="n">
        <v>2018</v>
      </c>
      <c r="B96" s="6" t="n">
        <v>212232</v>
      </c>
      <c r="C96" s="6" t="inlineStr">
        <is>
          <t>plomo-zinc</t>
        </is>
      </c>
      <c r="D96" s="6" t="n">
        <v>335910</v>
      </c>
      <c r="E96" s="5" t="inlineStr">
        <is>
          <t>FabricaciÃ³n de acumuladores y pilas</t>
        </is>
      </c>
      <c r="F96" s="6" t="n">
        <v>245.561</v>
      </c>
      <c r="G96" s="6" t="n">
        <v>0.0523</v>
      </c>
      <c r="H96" s="6" t="n">
        <v>4697.6</v>
      </c>
      <c r="I96" s="11">
        <f>IF(H96=0,"",ROUND(F96/H96,4))</f>
        <v/>
      </c>
      <c r="J96" s="11">
        <f>IF(ISNUMBER(I96),ROUND(I96-G96,4),"")</f>
        <v/>
      </c>
    </row>
    <row r="97">
      <c r="A97" s="9" t="n">
        <v>2018</v>
      </c>
      <c r="B97" s="9" t="n">
        <v>212232</v>
      </c>
      <c r="C97" s="9" t="inlineStr">
        <is>
          <t>plomo-zinc</t>
        </is>
      </c>
      <c r="D97" s="9" t="n">
        <v>331420</v>
      </c>
      <c r="E97" s="8" t="inlineStr">
        <is>
          <t>LaminaciÃ³n secundaria de cobre</t>
        </is>
      </c>
      <c r="F97" s="9" t="n">
        <v>220.845</v>
      </c>
      <c r="G97" s="9" t="n">
        <v>0.047</v>
      </c>
      <c r="H97" s="9" t="n">
        <v>4697.6</v>
      </c>
      <c r="I97" s="11">
        <f>IF(H97=0,"",ROUND(F97/H97,4))</f>
        <v/>
      </c>
      <c r="J97" s="11">
        <f>IF(ISNUMBER(I97),ROUND(I97-G97,4),"")</f>
        <v/>
      </c>
    </row>
    <row r="98">
      <c r="A98" s="6" t="n">
        <v>2018</v>
      </c>
      <c r="B98" s="6" t="n">
        <v>212324</v>
      </c>
      <c r="C98" s="6" t="inlineStr">
        <is>
          <t>silice</t>
        </is>
      </c>
      <c r="D98" s="6" t="n">
        <v>327213</v>
      </c>
      <c r="E98" s="5" t="inlineStr">
        <is>
          <t>FabricaciÃ³n de envases y ampolletas de vidrio</t>
        </is>
      </c>
      <c r="F98" s="6" t="n">
        <v>2989.867</v>
      </c>
      <c r="G98" s="6" t="n">
        <v>0.4336</v>
      </c>
      <c r="H98" s="6" t="n">
        <v>6895.377</v>
      </c>
      <c r="I98" s="11">
        <f>IF(H98=0,"",ROUND(F98/H98,4))</f>
        <v/>
      </c>
      <c r="J98" s="11">
        <f>IF(ISNUMBER(I98),ROUND(I98-G98,4),"")</f>
        <v/>
      </c>
    </row>
    <row r="99">
      <c r="A99" s="9" t="n">
        <v>2018</v>
      </c>
      <c r="B99" s="9" t="n">
        <v>212324</v>
      </c>
      <c r="C99" s="9" t="inlineStr">
        <is>
          <t>silice</t>
        </is>
      </c>
      <c r="D99" s="9" t="n">
        <v>327310</v>
      </c>
      <c r="E99" s="8" t="inlineStr">
        <is>
          <t>FabricaciÃ³n de cemento y productos a base de cemento en plantas integ</t>
        </is>
      </c>
      <c r="F99" s="9" t="n">
        <v>2663.971</v>
      </c>
      <c r="G99" s="9" t="n">
        <v>0.3863</v>
      </c>
      <c r="H99" s="9" t="n">
        <v>6895.377</v>
      </c>
      <c r="I99" s="11">
        <f>IF(H99=0,"",ROUND(F99/H99,4))</f>
        <v/>
      </c>
      <c r="J99" s="11">
        <f>IF(ISNUMBER(I99),ROUND(I99-G99,4),"")</f>
        <v/>
      </c>
    </row>
    <row r="100">
      <c r="A100" s="6" t="n">
        <v>2018</v>
      </c>
      <c r="B100" s="6" t="n">
        <v>212324</v>
      </c>
      <c r="C100" s="6" t="inlineStr">
        <is>
          <t>silice</t>
        </is>
      </c>
      <c r="D100" s="6" t="n">
        <v>327999</v>
      </c>
      <c r="E100" s="5" t="inlineStr">
        <is>
          <t>FabricaciÃ³n de otros productos a base de minerales no metÃ¡licos</t>
        </is>
      </c>
      <c r="F100" s="6" t="n">
        <v>579.289</v>
      </c>
      <c r="G100" s="6" t="n">
        <v>0.08400000000000001</v>
      </c>
      <c r="H100" s="6" t="n">
        <v>6895.377</v>
      </c>
      <c r="I100" s="11">
        <f>IF(H100=0,"",ROUND(F100/H100,4))</f>
        <v/>
      </c>
      <c r="J100" s="11">
        <f>IF(ISNUMBER(I100),ROUND(I100-G100,4),"")</f>
        <v/>
      </c>
    </row>
    <row r="101">
      <c r="A101" s="9" t="n">
        <v>2018</v>
      </c>
      <c r="B101" s="9" t="n">
        <v>212324</v>
      </c>
      <c r="C101" s="9" t="inlineStr">
        <is>
          <t>silice</t>
        </is>
      </c>
      <c r="D101" s="9" t="n">
        <v>327122</v>
      </c>
      <c r="E101" s="8" t="inlineStr">
        <is>
          <t>FabricaciÃ³n de azulejos y losetas no refractarias</t>
        </is>
      </c>
      <c r="F101" s="9" t="n">
        <v>211.663</v>
      </c>
      <c r="G101" s="9" t="n">
        <v>0.0307</v>
      </c>
      <c r="H101" s="9" t="n">
        <v>6895.377</v>
      </c>
      <c r="I101" s="11">
        <f>IF(H101=0,"",ROUND(F101/H101,4))</f>
        <v/>
      </c>
      <c r="J101" s="11">
        <f>IF(ISNUMBER(I101),ROUND(I101-G101,4),"")</f>
        <v/>
      </c>
    </row>
    <row r="102">
      <c r="A102" s="6" t="n">
        <v>2018</v>
      </c>
      <c r="B102" s="6" t="n">
        <v>212324</v>
      </c>
      <c r="C102" s="6" t="inlineStr">
        <is>
          <t>silice</t>
        </is>
      </c>
      <c r="D102" s="6" t="n">
        <v>327112</v>
      </c>
      <c r="E102" s="5" t="inlineStr">
        <is>
          <t>FabricaciÃ³n de muebles de baÃ±o</t>
        </is>
      </c>
      <c r="F102" s="6" t="n">
        <v>72.322</v>
      </c>
      <c r="G102" s="6" t="n">
        <v>0.0105</v>
      </c>
      <c r="H102" s="6" t="n">
        <v>6895.377</v>
      </c>
      <c r="I102" s="11">
        <f>IF(H102=0,"",ROUND(F102/H102,4))</f>
        <v/>
      </c>
      <c r="J102" s="11">
        <f>IF(ISNUMBER(I102),ROUND(I102-G102,4),"")</f>
        <v/>
      </c>
    </row>
    <row r="103">
      <c r="A103" s="9" t="n">
        <v>2018</v>
      </c>
      <c r="B103" s="9" t="n">
        <v>212324</v>
      </c>
      <c r="C103" s="9" t="inlineStr">
        <is>
          <t>silice</t>
        </is>
      </c>
      <c r="D103" s="9" t="n">
        <v>331112</v>
      </c>
      <c r="E103" s="8" t="inlineStr">
        <is>
          <t>FabricaciÃ³n de desbastes primarios y ferroaleaciones</t>
        </is>
      </c>
      <c r="F103" s="9" t="n">
        <v>57.586</v>
      </c>
      <c r="G103" s="9" t="n">
        <v>0.008399999999999999</v>
      </c>
      <c r="H103" s="9" t="n">
        <v>6895.377</v>
      </c>
      <c r="I103" s="11">
        <f>IF(H103=0,"",ROUND(F103/H103,4))</f>
        <v/>
      </c>
      <c r="J103" s="11">
        <f>IF(ISNUMBER(I103),ROUND(I103-G103,4),"")</f>
        <v/>
      </c>
    </row>
    <row r="104">
      <c r="A104" s="6" t="n">
        <v>2018</v>
      </c>
      <c r="B104" s="6" t="n">
        <v>212324</v>
      </c>
      <c r="C104" s="6" t="inlineStr">
        <is>
          <t>silice</t>
        </is>
      </c>
      <c r="D104" s="6" t="n">
        <v>332910</v>
      </c>
      <c r="E104" s="5" t="inlineStr">
        <is>
          <t>FabricaciÃ³n de vÃ¡lvulas metÃ¡licas</t>
        </is>
      </c>
      <c r="F104" s="6" t="n">
        <v>48.194</v>
      </c>
      <c r="G104" s="6" t="n">
        <v>0.007</v>
      </c>
      <c r="H104" s="6" t="n">
        <v>6895.377</v>
      </c>
      <c r="I104" s="11">
        <f>IF(H104=0,"",ROUND(F104/H104,4))</f>
        <v/>
      </c>
      <c r="J104" s="11">
        <f>IF(ISNUMBER(I104),ROUND(I104-G104,4),"")</f>
        <v/>
      </c>
    </row>
    <row r="105">
      <c r="A105" s="9" t="n">
        <v>2018</v>
      </c>
      <c r="B105" s="9" t="n">
        <v>212324</v>
      </c>
      <c r="C105" s="9" t="inlineStr">
        <is>
          <t>silice</t>
        </is>
      </c>
      <c r="D105" s="9" t="n">
        <v>325180</v>
      </c>
      <c r="E105" s="8" t="inlineStr">
        <is>
          <t>FabricaciÃ³n de otros productos quÃ­micos bÃ¡sicos inorgÃ¡nicos</t>
        </is>
      </c>
      <c r="F105" s="9" t="n">
        <v>43.089</v>
      </c>
      <c r="G105" s="9" t="n">
        <v>0.0062</v>
      </c>
      <c r="H105" s="9" t="n">
        <v>6895.377</v>
      </c>
      <c r="I105" s="11">
        <f>IF(H105=0,"",ROUND(F105/H105,4))</f>
        <v/>
      </c>
      <c r="J105" s="11">
        <f>IF(ISNUMBER(I105),ROUND(I105-G105,4),"")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0" customWidth="1" min="4" max="4"/>
    <col width="14" customWidth="1" min="5" max="5"/>
    <col width="22" customWidth="1" min="6" max="6"/>
  </cols>
  <sheetData>
    <row r="1" ht="24" customHeight="1">
      <c r="A1" s="1" t="inlineStr">
        <is>
          <t>Georreferenciacion cuantitativa de la extraccion (share estatal 2024, SGM)</t>
        </is>
      </c>
    </row>
    <row r="2" ht="40" customHeight="1">
      <c r="A2" s="2" t="inlineStr">
        <is>
          <t>share_2024 = produccion_estado / (suma nacional del mineral) x 100. Columna verde recomputa con SUMIFS. Esta hoja alimenta el HHI geografico de la hoja '17b'.</t>
        </is>
      </c>
    </row>
    <row r="3">
      <c r="A3" s="3" t="inlineStr">
        <is>
          <t>mineral</t>
        </is>
      </c>
      <c r="B3" s="3" t="inlineStr">
        <is>
          <t>estado</t>
        </is>
      </c>
      <c r="C3" s="3" t="inlineStr">
        <is>
          <t>produccion_2024</t>
        </is>
      </c>
      <c r="D3" s="3" t="inlineStr">
        <is>
          <t>unidad</t>
        </is>
      </c>
      <c r="E3" s="3" t="inlineStr">
        <is>
          <t>share_2024_pct</t>
        </is>
      </c>
      <c r="F3" s="3" t="inlineStr">
        <is>
          <t>fuente</t>
        </is>
      </c>
      <c r="G3" s="10" t="inlineStr">
        <is>
          <t>share (=formula) %</t>
        </is>
      </c>
      <c r="H3" s="10" t="inlineStr">
        <is>
          <t>dif</t>
        </is>
      </c>
    </row>
    <row r="4">
      <c r="A4" s="6" t="inlineStr">
        <is>
          <t>cobre</t>
        </is>
      </c>
      <c r="B4" s="6" t="inlineStr">
        <is>
          <t>Sonora</t>
        </is>
      </c>
      <c r="C4" s="6" t="n">
        <v>544345.8</v>
      </c>
      <c r="D4" s="6" t="inlineStr">
        <is>
          <t>toneladas</t>
        </is>
      </c>
      <c r="E4" s="6" t="n">
        <v>70.05</v>
      </c>
      <c r="F4" s="5" t="inlineStr">
        <is>
          <t>SGM Anuario 2025 p.100</t>
        </is>
      </c>
      <c r="G4" s="11">
        <f>ROUND(C4/SUMIFS($C$4:$C$96,$A$4:$A$96,A4)*100,2)</f>
        <v/>
      </c>
      <c r="H4" s="11">
        <f>ROUND(G4-E4,2)</f>
        <v/>
      </c>
    </row>
    <row r="5">
      <c r="A5" s="9" t="inlineStr">
        <is>
          <t>cobre</t>
        </is>
      </c>
      <c r="B5" s="9" t="inlineStr">
        <is>
          <t>Zacatecas</t>
        </is>
      </c>
      <c r="C5" s="9" t="n">
        <v>121335.8</v>
      </c>
      <c r="D5" s="9" t="inlineStr">
        <is>
          <t>toneladas</t>
        </is>
      </c>
      <c r="E5" s="9" t="n">
        <v>15.61</v>
      </c>
      <c r="F5" s="8" t="inlineStr">
        <is>
          <t>SGM Anuario 2025 p.100</t>
        </is>
      </c>
      <c r="G5" s="11">
        <f>ROUND(C5/SUMIFS($C$4:$C$96,$A$4:$A$96,A5)*100,2)</f>
        <v/>
      </c>
      <c r="H5" s="11">
        <f>ROUND(G5-E5,2)</f>
        <v/>
      </c>
    </row>
    <row r="6">
      <c r="A6" s="6" t="inlineStr">
        <is>
          <t>cobre</t>
        </is>
      </c>
      <c r="B6" s="6" t="inlineStr">
        <is>
          <t>San Luis Potosi</t>
        </is>
      </c>
      <c r="C6" s="6" t="n">
        <v>33479.99</v>
      </c>
      <c r="D6" s="6" t="inlineStr">
        <is>
          <t>toneladas</t>
        </is>
      </c>
      <c r="E6" s="6" t="n">
        <v>4.31</v>
      </c>
      <c r="F6" s="5" t="inlineStr">
        <is>
          <t>SGM Anuario 2025 p.100</t>
        </is>
      </c>
      <c r="G6" s="11">
        <f>ROUND(C6/SUMIFS($C$4:$C$96,$A$4:$A$96,A6)*100,2)</f>
        <v/>
      </c>
      <c r="H6" s="11">
        <f>ROUND(G6-E6,2)</f>
        <v/>
      </c>
    </row>
    <row r="7">
      <c r="A7" s="9" t="inlineStr">
        <is>
          <t>cobre</t>
        </is>
      </c>
      <c r="B7" s="9" t="inlineStr">
        <is>
          <t>Chihuahua</t>
        </is>
      </c>
      <c r="C7" s="9" t="n">
        <v>19844.46</v>
      </c>
      <c r="D7" s="9" t="inlineStr">
        <is>
          <t>toneladas</t>
        </is>
      </c>
      <c r="E7" s="9" t="n">
        <v>2.55</v>
      </c>
      <c r="F7" s="8" t="inlineStr">
        <is>
          <t>SGM Anuario 2025 p.100</t>
        </is>
      </c>
      <c r="G7" s="11">
        <f>ROUND(C7/SUMIFS($C$4:$C$96,$A$4:$A$96,A7)*100,2)</f>
        <v/>
      </c>
      <c r="H7" s="11">
        <f>ROUND(G7-E7,2)</f>
        <v/>
      </c>
    </row>
    <row r="8">
      <c r="A8" s="6" t="inlineStr">
        <is>
          <t>cobre</t>
        </is>
      </c>
      <c r="B8" s="6" t="inlineStr">
        <is>
          <t>Coahuila</t>
        </is>
      </c>
      <c r="C8" s="6" t="n">
        <v>15000</v>
      </c>
      <c r="D8" s="6" t="inlineStr">
        <is>
          <t>toneladas</t>
        </is>
      </c>
      <c r="E8" s="6" t="n">
        <v>1.93</v>
      </c>
      <c r="F8" s="5" t="inlineStr">
        <is>
          <t>SGM Anuario 2025 p.100</t>
        </is>
      </c>
      <c r="G8" s="11">
        <f>ROUND(C8/SUMIFS($C$4:$C$96,$A$4:$A$96,A8)*100,2)</f>
        <v/>
      </c>
      <c r="H8" s="11">
        <f>ROUND(G8-E8,2)</f>
        <v/>
      </c>
    </row>
    <row r="9">
      <c r="A9" s="9" t="inlineStr">
        <is>
          <t>cobre</t>
        </is>
      </c>
      <c r="B9" s="9" t="inlineStr">
        <is>
          <t>Baja California Sur</t>
        </is>
      </c>
      <c r="C9" s="9" t="n">
        <v>13978</v>
      </c>
      <c r="D9" s="9" t="inlineStr">
        <is>
          <t>toneladas</t>
        </is>
      </c>
      <c r="E9" s="9" t="n">
        <v>1.8</v>
      </c>
      <c r="F9" s="8" t="inlineStr">
        <is>
          <t>SGM Anuario 2025 p.100</t>
        </is>
      </c>
      <c r="G9" s="11">
        <f>ROUND(C9/SUMIFS($C$4:$C$96,$A$4:$A$96,A9)*100,2)</f>
        <v/>
      </c>
      <c r="H9" s="11">
        <f>ROUND(G9-E9,2)</f>
        <v/>
      </c>
    </row>
    <row r="10">
      <c r="A10" s="6" t="inlineStr">
        <is>
          <t>cobre</t>
        </is>
      </c>
      <c r="B10" s="6" t="inlineStr">
        <is>
          <t>Guerrero</t>
        </is>
      </c>
      <c r="C10" s="6" t="n">
        <v>10881.03</v>
      </c>
      <c r="D10" s="6" t="inlineStr">
        <is>
          <t>toneladas</t>
        </is>
      </c>
      <c r="E10" s="6" t="n">
        <v>1.4</v>
      </c>
      <c r="F10" s="5" t="inlineStr">
        <is>
          <t>SGM Anuario 2025 p.100</t>
        </is>
      </c>
      <c r="G10" s="11">
        <f>ROUND(C10/SUMIFS($C$4:$C$96,$A$4:$A$96,A10)*100,2)</f>
        <v/>
      </c>
      <c r="H10" s="11">
        <f>ROUND(G10-E10,2)</f>
        <v/>
      </c>
    </row>
    <row r="11">
      <c r="A11" s="9" t="inlineStr">
        <is>
          <t>cobre</t>
        </is>
      </c>
      <c r="B11" s="9" t="inlineStr">
        <is>
          <t>Durango</t>
        </is>
      </c>
      <c r="C11" s="9" t="n">
        <v>6934.01</v>
      </c>
      <c r="D11" s="9" t="inlineStr">
        <is>
          <t>toneladas</t>
        </is>
      </c>
      <c r="E11" s="9" t="n">
        <v>0.89</v>
      </c>
      <c r="F11" s="8" t="inlineStr">
        <is>
          <t>SGM Anuario 2025 p.100</t>
        </is>
      </c>
      <c r="G11" s="11">
        <f>ROUND(C11/SUMIFS($C$4:$C$96,$A$4:$A$96,A11)*100,2)</f>
        <v/>
      </c>
      <c r="H11" s="11">
        <f>ROUND(G11-E11,2)</f>
        <v/>
      </c>
    </row>
    <row r="12">
      <c r="A12" s="6" t="inlineStr">
        <is>
          <t>cobre</t>
        </is>
      </c>
      <c r="B12" s="6" t="inlineStr">
        <is>
          <t>Hidalgo</t>
        </is>
      </c>
      <c r="C12" s="6" t="n">
        <v>3245.92</v>
      </c>
      <c r="D12" s="6" t="inlineStr">
        <is>
          <t>toneladas</t>
        </is>
      </c>
      <c r="E12" s="6" t="n">
        <v>0.42</v>
      </c>
      <c r="F12" s="5" t="inlineStr">
        <is>
          <t>SGM Anuario 2025 p.100</t>
        </is>
      </c>
      <c r="G12" s="11">
        <f>ROUND(C12/SUMIFS($C$4:$C$96,$A$4:$A$96,A12)*100,2)</f>
        <v/>
      </c>
      <c r="H12" s="11">
        <f>ROUND(G12-E12,2)</f>
        <v/>
      </c>
    </row>
    <row r="13">
      <c r="A13" s="9" t="inlineStr">
        <is>
          <t>cobre</t>
        </is>
      </c>
      <c r="B13" s="9" t="inlineStr">
        <is>
          <t>Michoacan</t>
        </is>
      </c>
      <c r="C13" s="9" t="n">
        <v>2081.43</v>
      </c>
      <c r="D13" s="9" t="inlineStr">
        <is>
          <t>toneladas</t>
        </is>
      </c>
      <c r="E13" s="9" t="n">
        <v>0.27</v>
      </c>
      <c r="F13" s="8" t="inlineStr">
        <is>
          <t>SGM Anuario 2025 p.100</t>
        </is>
      </c>
      <c r="G13" s="11">
        <f>ROUND(C13/SUMIFS($C$4:$C$96,$A$4:$A$96,A13)*100,2)</f>
        <v/>
      </c>
      <c r="H13" s="11">
        <f>ROUND(G13-E13,2)</f>
        <v/>
      </c>
    </row>
    <row r="14">
      <c r="A14" s="6" t="inlineStr">
        <is>
          <t>cobre</t>
        </is>
      </c>
      <c r="B14" s="6" t="inlineStr">
        <is>
          <t>Jalisco</t>
        </is>
      </c>
      <c r="C14" s="6" t="n">
        <v>1578.62</v>
      </c>
      <c r="D14" s="6" t="inlineStr">
        <is>
          <t>toneladas</t>
        </is>
      </c>
      <c r="E14" s="6" t="n">
        <v>0.2</v>
      </c>
      <c r="F14" s="5" t="inlineStr">
        <is>
          <t>SGM Anuario 2025 p.100</t>
        </is>
      </c>
      <c r="G14" s="11">
        <f>ROUND(C14/SUMIFS($C$4:$C$96,$A$4:$A$96,A14)*100,2)</f>
        <v/>
      </c>
      <c r="H14" s="11">
        <f>ROUND(G14-E14,2)</f>
        <v/>
      </c>
    </row>
    <row r="15">
      <c r="A15" s="9" t="inlineStr">
        <is>
          <t>cobre</t>
        </is>
      </c>
      <c r="B15" s="9" t="inlineStr">
        <is>
          <t>Queretaro</t>
        </is>
      </c>
      <c r="C15" s="9" t="n">
        <v>1544</v>
      </c>
      <c r="D15" s="9" t="inlineStr">
        <is>
          <t>toneladas</t>
        </is>
      </c>
      <c r="E15" s="9" t="n">
        <v>0.2</v>
      </c>
      <c r="F15" s="8" t="inlineStr">
        <is>
          <t>SGM Anuario 2025 p.100</t>
        </is>
      </c>
      <c r="G15" s="11">
        <f>ROUND(C15/SUMIFS($C$4:$C$96,$A$4:$A$96,A15)*100,2)</f>
        <v/>
      </c>
      <c r="H15" s="11">
        <f>ROUND(G15-E15,2)</f>
        <v/>
      </c>
    </row>
    <row r="16">
      <c r="A16" s="6" t="inlineStr">
        <is>
          <t>cobre</t>
        </is>
      </c>
      <c r="B16" s="6" t="inlineStr">
        <is>
          <t>Mexico</t>
        </is>
      </c>
      <c r="C16" s="6" t="n">
        <v>1133</v>
      </c>
      <c r="D16" s="6" t="inlineStr">
        <is>
          <t>toneladas</t>
        </is>
      </c>
      <c r="E16" s="6" t="n">
        <v>0.15</v>
      </c>
      <c r="F16" s="5" t="inlineStr">
        <is>
          <t>SGM Anuario 2025 p.100</t>
        </is>
      </c>
      <c r="G16" s="11">
        <f>ROUND(C16/SUMIFS($C$4:$C$96,$A$4:$A$96,A16)*100,2)</f>
        <v/>
      </c>
      <c r="H16" s="11">
        <f>ROUND(G16-E16,2)</f>
        <v/>
      </c>
    </row>
    <row r="17">
      <c r="A17" s="9" t="inlineStr">
        <is>
          <t>cobre</t>
        </is>
      </c>
      <c r="B17" s="9" t="inlineStr">
        <is>
          <t>Oaxaca</t>
        </is>
      </c>
      <c r="C17" s="9" t="n">
        <v>911.09</v>
      </c>
      <c r="D17" s="9" t="inlineStr">
        <is>
          <t>toneladas</t>
        </is>
      </c>
      <c r="E17" s="9" t="n">
        <v>0.12</v>
      </c>
      <c r="F17" s="8" t="inlineStr">
        <is>
          <t>SGM Anuario 2025 p.100</t>
        </is>
      </c>
      <c r="G17" s="11">
        <f>ROUND(C17/SUMIFS($C$4:$C$96,$A$4:$A$96,A17)*100,2)</f>
        <v/>
      </c>
      <c r="H17" s="11">
        <f>ROUND(G17-E17,2)</f>
        <v/>
      </c>
    </row>
    <row r="18">
      <c r="A18" s="6" t="inlineStr">
        <is>
          <t>cobre</t>
        </is>
      </c>
      <c r="B18" s="6" t="inlineStr">
        <is>
          <t>Sinaloa</t>
        </is>
      </c>
      <c r="C18" s="6" t="n">
        <v>427</v>
      </c>
      <c r="D18" s="6" t="inlineStr">
        <is>
          <t>toneladas</t>
        </is>
      </c>
      <c r="E18" s="6" t="n">
        <v>0.05</v>
      </c>
      <c r="F18" s="5" t="inlineStr">
        <is>
          <t>SGM Anuario 2025 p.100</t>
        </is>
      </c>
      <c r="G18" s="11">
        <f>ROUND(C18/SUMIFS($C$4:$C$96,$A$4:$A$96,A18)*100,2)</f>
        <v/>
      </c>
      <c r="H18" s="11">
        <f>ROUND(G18-E18,2)</f>
        <v/>
      </c>
    </row>
    <row r="19">
      <c r="A19" s="9" t="inlineStr">
        <is>
          <t>cobre</t>
        </is>
      </c>
      <c r="B19" s="9" t="inlineStr">
        <is>
          <t>Aguascalientes</t>
        </is>
      </c>
      <c r="C19" s="9" t="n">
        <v>386</v>
      </c>
      <c r="D19" s="9" t="inlineStr">
        <is>
          <t>toneladas</t>
        </is>
      </c>
      <c r="E19" s="9" t="n">
        <v>0.05</v>
      </c>
      <c r="F19" s="8" t="inlineStr">
        <is>
          <t>SGM Anuario 2025 p.100</t>
        </is>
      </c>
      <c r="G19" s="11">
        <f>ROUND(C19/SUMIFS($C$4:$C$96,$A$4:$A$96,A19)*100,2)</f>
        <v/>
      </c>
      <c r="H19" s="11">
        <f>ROUND(G19-E19,2)</f>
        <v/>
      </c>
    </row>
    <row r="20">
      <c r="A20" s="6" t="inlineStr">
        <is>
          <t>manganeso</t>
        </is>
      </c>
      <c r="B20" s="6" t="inlineStr">
        <is>
          <t>Hidalgo</t>
        </is>
      </c>
      <c r="C20" s="6" t="n">
        <v>134110</v>
      </c>
      <c r="D20" s="6" t="inlineStr">
        <is>
          <t>toneladas</t>
        </is>
      </c>
      <c r="E20" s="6" t="n">
        <v>100</v>
      </c>
      <c r="F20" s="5" t="inlineStr">
        <is>
          <t>SGM Anuario 2025 p.104</t>
        </is>
      </c>
      <c r="G20" s="11">
        <f>ROUND(C20/SUMIFS($C$4:$C$96,$A$4:$A$96,A20)*100,2)</f>
        <v/>
      </c>
      <c r="H20" s="11">
        <f>ROUND(G20-E20,2)</f>
        <v/>
      </c>
    </row>
    <row r="21">
      <c r="A21" s="9" t="inlineStr">
        <is>
          <t>oro</t>
        </is>
      </c>
      <c r="B21" s="9" t="inlineStr">
        <is>
          <t>Sonora</t>
        </is>
      </c>
      <c r="C21" s="9" t="n">
        <v>38360.3</v>
      </c>
      <c r="D21" s="9" t="inlineStr">
        <is>
          <t>kilogramos</t>
        </is>
      </c>
      <c r="E21" s="9" t="n">
        <v>32.45</v>
      </c>
      <c r="F21" s="8" t="inlineStr">
        <is>
          <t>SGM Anuario 2025 p.106</t>
        </is>
      </c>
      <c r="G21" s="11">
        <f>ROUND(C21/SUMIFS($C$4:$C$96,$A$4:$A$96,A21)*100,2)</f>
        <v/>
      </c>
      <c r="H21" s="11">
        <f>ROUND(G21-E21,2)</f>
        <v/>
      </c>
    </row>
    <row r="22">
      <c r="A22" s="6" t="inlineStr">
        <is>
          <t>oro</t>
        </is>
      </c>
      <c r="B22" s="6" t="inlineStr">
        <is>
          <t>Zacatecas</t>
        </is>
      </c>
      <c r="C22" s="6" t="n">
        <v>37872.85</v>
      </c>
      <c r="D22" s="6" t="inlineStr">
        <is>
          <t>kilogramos</t>
        </is>
      </c>
      <c r="E22" s="6" t="n">
        <v>32.03</v>
      </c>
      <c r="F22" s="5" t="inlineStr">
        <is>
          <t>SGM Anuario 2025 p.106</t>
        </is>
      </c>
      <c r="G22" s="11">
        <f>ROUND(C22/SUMIFS($C$4:$C$96,$A$4:$A$96,A22)*100,2)</f>
        <v/>
      </c>
      <c r="H22" s="11">
        <f>ROUND(G22-E22,2)</f>
        <v/>
      </c>
    </row>
    <row r="23">
      <c r="A23" s="9" t="inlineStr">
        <is>
          <t>oro</t>
        </is>
      </c>
      <c r="B23" s="9" t="inlineStr">
        <is>
          <t>Guerrero</t>
        </is>
      </c>
      <c r="C23" s="9" t="n">
        <v>19710</v>
      </c>
      <c r="D23" s="9" t="inlineStr">
        <is>
          <t>kilogramos</t>
        </is>
      </c>
      <c r="E23" s="9" t="n">
        <v>16.67</v>
      </c>
      <c r="F23" s="8" t="inlineStr">
        <is>
          <t>SGM Anuario 2025 p.106</t>
        </is>
      </c>
      <c r="G23" s="11">
        <f>ROUND(C23/SUMIFS($C$4:$C$96,$A$4:$A$96,A23)*100,2)</f>
        <v/>
      </c>
      <c r="H23" s="11">
        <f>ROUND(G23-E23,2)</f>
        <v/>
      </c>
    </row>
    <row r="24">
      <c r="A24" s="6" t="inlineStr">
        <is>
          <t>oro</t>
        </is>
      </c>
      <c r="B24" s="6" t="inlineStr">
        <is>
          <t>Chihuahua</t>
        </is>
      </c>
      <c r="C24" s="6" t="n">
        <v>9607.540000000001</v>
      </c>
      <c r="D24" s="6" t="inlineStr">
        <is>
          <t>kilogramos</t>
        </is>
      </c>
      <c r="E24" s="6" t="n">
        <v>8.130000000000001</v>
      </c>
      <c r="F24" s="5" t="inlineStr">
        <is>
          <t>SGM Anuario 2025 p.106</t>
        </is>
      </c>
      <c r="G24" s="11">
        <f>ROUND(C24/SUMIFS($C$4:$C$96,$A$4:$A$96,A24)*100,2)</f>
        <v/>
      </c>
      <c r="H24" s="11">
        <f>ROUND(G24-E24,2)</f>
        <v/>
      </c>
    </row>
    <row r="25">
      <c r="A25" s="9" t="inlineStr">
        <is>
          <t>oro</t>
        </is>
      </c>
      <c r="B25" s="9" t="inlineStr">
        <is>
          <t>Durango</t>
        </is>
      </c>
      <c r="C25" s="9" t="n">
        <v>8108.57</v>
      </c>
      <c r="D25" s="9" t="inlineStr">
        <is>
          <t>kilogramos</t>
        </is>
      </c>
      <c r="E25" s="9" t="n">
        <v>6.86</v>
      </c>
      <c r="F25" s="8" t="inlineStr">
        <is>
          <t>SGM Anuario 2025 p.106</t>
        </is>
      </c>
      <c r="G25" s="11">
        <f>ROUND(C25/SUMIFS($C$4:$C$96,$A$4:$A$96,A25)*100,2)</f>
        <v/>
      </c>
      <c r="H25" s="11">
        <f>ROUND(G25-E25,2)</f>
        <v/>
      </c>
    </row>
    <row r="26">
      <c r="A26" s="6" t="inlineStr">
        <is>
          <t>oro</t>
        </is>
      </c>
      <c r="B26" s="6" t="inlineStr">
        <is>
          <t>San Luis Potosi</t>
        </is>
      </c>
      <c r="C26" s="6" t="n">
        <v>2660</v>
      </c>
      <c r="D26" s="6" t="inlineStr">
        <is>
          <t>kilogramos</t>
        </is>
      </c>
      <c r="E26" s="6" t="n">
        <v>2.25</v>
      </c>
      <c r="F26" s="5" t="inlineStr">
        <is>
          <t>SGM Anuario 2025 p.106</t>
        </is>
      </c>
      <c r="G26" s="11">
        <f>ROUND(C26/SUMIFS($C$4:$C$96,$A$4:$A$96,A26)*100,2)</f>
        <v/>
      </c>
      <c r="H26" s="11">
        <f>ROUND(G26-E26,2)</f>
        <v/>
      </c>
    </row>
    <row r="27">
      <c r="A27" s="9" t="inlineStr">
        <is>
          <t>oro</t>
        </is>
      </c>
      <c r="B27" s="9" t="inlineStr">
        <is>
          <t>Mexico</t>
        </is>
      </c>
      <c r="C27" s="9" t="n">
        <v>813.59</v>
      </c>
      <c r="D27" s="9" t="inlineStr">
        <is>
          <t>kilogramos</t>
        </is>
      </c>
      <c r="E27" s="9" t="n">
        <v>0.6899999999999999</v>
      </c>
      <c r="F27" s="8" t="inlineStr">
        <is>
          <t>SGM Anuario 2025 p.106</t>
        </is>
      </c>
      <c r="G27" s="11">
        <f>ROUND(C27/SUMIFS($C$4:$C$96,$A$4:$A$96,A27)*100,2)</f>
        <v/>
      </c>
      <c r="H27" s="11">
        <f>ROUND(G27-E27,2)</f>
        <v/>
      </c>
    </row>
    <row r="28">
      <c r="A28" s="6" t="inlineStr">
        <is>
          <t>oro</t>
        </is>
      </c>
      <c r="B28" s="6" t="inlineStr">
        <is>
          <t>Oaxaca</t>
        </is>
      </c>
      <c r="C28" s="6" t="n">
        <v>390</v>
      </c>
      <c r="D28" s="6" t="inlineStr">
        <is>
          <t>kilogramos</t>
        </is>
      </c>
      <c r="E28" s="6" t="n">
        <v>0.33</v>
      </c>
      <c r="F28" s="5" t="inlineStr">
        <is>
          <t>SGM Anuario 2025 p.106</t>
        </is>
      </c>
      <c r="G28" s="11">
        <f>ROUND(C28/SUMIFS($C$4:$C$96,$A$4:$A$96,A28)*100,2)</f>
        <v/>
      </c>
      <c r="H28" s="11">
        <f>ROUND(G28-E28,2)</f>
        <v/>
      </c>
    </row>
    <row r="29">
      <c r="A29" s="9" t="inlineStr">
        <is>
          <t>oro</t>
        </is>
      </c>
      <c r="B29" s="9" t="inlineStr">
        <is>
          <t>Queretaro</t>
        </is>
      </c>
      <c r="C29" s="9" t="n">
        <v>216.54</v>
      </c>
      <c r="D29" s="9" t="inlineStr">
        <is>
          <t>kilogramos</t>
        </is>
      </c>
      <c r="E29" s="9" t="n">
        <v>0.18</v>
      </c>
      <c r="F29" s="8" t="inlineStr">
        <is>
          <t>SGM Anuario 2025 p.106</t>
        </is>
      </c>
      <c r="G29" s="11">
        <f>ROUND(C29/SUMIFS($C$4:$C$96,$A$4:$A$96,A29)*100,2)</f>
        <v/>
      </c>
      <c r="H29" s="11">
        <f>ROUND(G29-E29,2)</f>
        <v/>
      </c>
    </row>
    <row r="30">
      <c r="A30" s="6" t="inlineStr">
        <is>
          <t>oro</t>
        </is>
      </c>
      <c r="B30" s="6" t="inlineStr">
        <is>
          <t>Sinaloa</t>
        </is>
      </c>
      <c r="C30" s="6" t="n">
        <v>166</v>
      </c>
      <c r="D30" s="6" t="inlineStr">
        <is>
          <t>kilogramos</t>
        </is>
      </c>
      <c r="E30" s="6" t="n">
        <v>0.14</v>
      </c>
      <c r="F30" s="5" t="inlineStr">
        <is>
          <t>SGM Anuario 2025 p.106</t>
        </is>
      </c>
      <c r="G30" s="11">
        <f>ROUND(C30/SUMIFS($C$4:$C$96,$A$4:$A$96,A30)*100,2)</f>
        <v/>
      </c>
      <c r="H30" s="11">
        <f>ROUND(G30-E30,2)</f>
        <v/>
      </c>
    </row>
    <row r="31">
      <c r="A31" s="9" t="inlineStr">
        <is>
          <t>oro</t>
        </is>
      </c>
      <c r="B31" s="9" t="inlineStr">
        <is>
          <t>Coahuila</t>
        </is>
      </c>
      <c r="C31" s="9" t="n">
        <v>105.12</v>
      </c>
      <c r="D31" s="9" t="inlineStr">
        <is>
          <t>kilogramos</t>
        </is>
      </c>
      <c r="E31" s="9" t="n">
        <v>0.09</v>
      </c>
      <c r="F31" s="8" t="inlineStr">
        <is>
          <t>SGM Anuario 2025 p.106</t>
        </is>
      </c>
      <c r="G31" s="11">
        <f>ROUND(C31/SUMIFS($C$4:$C$96,$A$4:$A$96,A31)*100,2)</f>
        <v/>
      </c>
      <c r="H31" s="11">
        <f>ROUND(G31-E31,2)</f>
        <v/>
      </c>
    </row>
    <row r="32">
      <c r="A32" s="6" t="inlineStr">
        <is>
          <t>oro</t>
        </is>
      </c>
      <c r="B32" s="6" t="inlineStr">
        <is>
          <t>Nayarit</t>
        </is>
      </c>
      <c r="C32" s="6" t="n">
        <v>70</v>
      </c>
      <c r="D32" s="6" t="inlineStr">
        <is>
          <t>kilogramos</t>
        </is>
      </c>
      <c r="E32" s="6" t="n">
        <v>0.06</v>
      </c>
      <c r="F32" s="5" t="inlineStr">
        <is>
          <t>SGM Anuario 2025 p.106</t>
        </is>
      </c>
      <c r="G32" s="11">
        <f>ROUND(C32/SUMIFS($C$4:$C$96,$A$4:$A$96,A32)*100,2)</f>
        <v/>
      </c>
      <c r="H32" s="11">
        <f>ROUND(G32-E32,2)</f>
        <v/>
      </c>
    </row>
    <row r="33">
      <c r="A33" s="9" t="inlineStr">
        <is>
          <t>oro</t>
        </is>
      </c>
      <c r="B33" s="9" t="inlineStr">
        <is>
          <t>Aguascalientes</t>
        </is>
      </c>
      <c r="C33" s="9" t="n">
        <v>60</v>
      </c>
      <c r="D33" s="9" t="inlineStr">
        <is>
          <t>kilogramos</t>
        </is>
      </c>
      <c r="E33" s="9" t="n">
        <v>0.05</v>
      </c>
      <c r="F33" s="8" t="inlineStr">
        <is>
          <t>SGM Anuario 2025 p.106</t>
        </is>
      </c>
      <c r="G33" s="11">
        <f>ROUND(C33/SUMIFS($C$4:$C$96,$A$4:$A$96,A33)*100,2)</f>
        <v/>
      </c>
      <c r="H33" s="11">
        <f>ROUND(G33-E33,2)</f>
        <v/>
      </c>
    </row>
    <row r="34">
      <c r="A34" s="6" t="inlineStr">
        <is>
          <t>oro</t>
        </is>
      </c>
      <c r="B34" s="6" t="inlineStr">
        <is>
          <t>Michoacan</t>
        </is>
      </c>
      <c r="C34" s="6" t="n">
        <v>44.88</v>
      </c>
      <c r="D34" s="6" t="inlineStr">
        <is>
          <t>kilogramos</t>
        </is>
      </c>
      <c r="E34" s="6" t="n">
        <v>0.04</v>
      </c>
      <c r="F34" s="5" t="inlineStr">
        <is>
          <t>SGM Anuario 2025 p.106</t>
        </is>
      </c>
      <c r="G34" s="11">
        <f>ROUND(C34/SUMIFS($C$4:$C$96,$A$4:$A$96,A34)*100,2)</f>
        <v/>
      </c>
      <c r="H34" s="11">
        <f>ROUND(G34-E34,2)</f>
        <v/>
      </c>
    </row>
    <row r="35">
      <c r="A35" s="9" t="inlineStr">
        <is>
          <t>oro</t>
        </is>
      </c>
      <c r="B35" s="9" t="inlineStr">
        <is>
          <t>Hidalgo</t>
        </is>
      </c>
      <c r="C35" s="9" t="n">
        <v>35.66</v>
      </c>
      <c r="D35" s="9" t="inlineStr">
        <is>
          <t>kilogramos</t>
        </is>
      </c>
      <c r="E35" s="9" t="n">
        <v>0.03</v>
      </c>
      <c r="F35" s="8" t="inlineStr">
        <is>
          <t>SGM Anuario 2025 p.106</t>
        </is>
      </c>
      <c r="G35" s="11">
        <f>ROUND(C35/SUMIFS($C$4:$C$96,$A$4:$A$96,A35)*100,2)</f>
        <v/>
      </c>
      <c r="H35" s="11">
        <f>ROUND(G35-E35,2)</f>
        <v/>
      </c>
    </row>
    <row r="36">
      <c r="A36" s="6" t="inlineStr">
        <is>
          <t>oro</t>
        </is>
      </c>
      <c r="B36" s="6" t="inlineStr">
        <is>
          <t>Jalisco</t>
        </is>
      </c>
      <c r="C36" s="6" t="n">
        <v>6.73</v>
      </c>
      <c r="D36" s="6" t="inlineStr">
        <is>
          <t>kilogramos</t>
        </is>
      </c>
      <c r="E36" s="6" t="n">
        <v>0.01</v>
      </c>
      <c r="F36" s="5" t="inlineStr">
        <is>
          <t>SGM Anuario 2025 p.106</t>
        </is>
      </c>
      <c r="G36" s="11">
        <f>ROUND(C36/SUMIFS($C$4:$C$96,$A$4:$A$96,A36)*100,2)</f>
        <v/>
      </c>
      <c r="H36" s="11">
        <f>ROUND(G36-E36,2)</f>
        <v/>
      </c>
    </row>
    <row r="37">
      <c r="A37" s="9" t="inlineStr">
        <is>
          <t>plata</t>
        </is>
      </c>
      <c r="B37" s="9" t="inlineStr">
        <is>
          <t>Zacatecas</t>
        </is>
      </c>
      <c r="C37" s="9" t="n">
        <v>3632404.44</v>
      </c>
      <c r="D37" s="9" t="inlineStr">
        <is>
          <t>kilogramos</t>
        </is>
      </c>
      <c r="E37" s="9" t="n">
        <v>50.3</v>
      </c>
      <c r="F37" s="8" t="inlineStr">
        <is>
          <t>SGM Anuario 2025 p.108</t>
        </is>
      </c>
      <c r="G37" s="11">
        <f>ROUND(C37/SUMIFS($C$4:$C$96,$A$4:$A$96,A37)*100,2)</f>
        <v/>
      </c>
      <c r="H37" s="11">
        <f>ROUND(G37-E37,2)</f>
        <v/>
      </c>
    </row>
    <row r="38">
      <c r="A38" s="6" t="inlineStr">
        <is>
          <t>plata</t>
        </is>
      </c>
      <c r="B38" s="6" t="inlineStr">
        <is>
          <t>Chihuahua</t>
        </is>
      </c>
      <c r="C38" s="6" t="n">
        <v>1045873.9</v>
      </c>
      <c r="D38" s="6" t="inlineStr">
        <is>
          <t>kilogramos</t>
        </is>
      </c>
      <c r="E38" s="6" t="n">
        <v>14.48</v>
      </c>
      <c r="F38" s="5" t="inlineStr">
        <is>
          <t>SGM Anuario 2025 p.108</t>
        </is>
      </c>
      <c r="G38" s="11">
        <f>ROUND(C38/SUMIFS($C$4:$C$96,$A$4:$A$96,A38)*100,2)</f>
        <v/>
      </c>
      <c r="H38" s="11">
        <f>ROUND(G38-E38,2)</f>
        <v/>
      </c>
    </row>
    <row r="39">
      <c r="A39" s="9" t="inlineStr">
        <is>
          <t>plata</t>
        </is>
      </c>
      <c r="B39" s="9" t="inlineStr">
        <is>
          <t>Sonora</t>
        </is>
      </c>
      <c r="C39" s="9" t="n">
        <v>835288.1</v>
      </c>
      <c r="D39" s="9" t="inlineStr">
        <is>
          <t>kilogramos</t>
        </is>
      </c>
      <c r="E39" s="9" t="n">
        <v>11.57</v>
      </c>
      <c r="F39" s="8" t="inlineStr">
        <is>
          <t>SGM Anuario 2025 p.108</t>
        </is>
      </c>
      <c r="G39" s="11">
        <f>ROUND(C39/SUMIFS($C$4:$C$96,$A$4:$A$96,A39)*100,2)</f>
        <v/>
      </c>
      <c r="H39" s="11">
        <f>ROUND(G39-E39,2)</f>
        <v/>
      </c>
    </row>
    <row r="40">
      <c r="A40" s="6" t="inlineStr">
        <is>
          <t>plata</t>
        </is>
      </c>
      <c r="B40" s="6" t="inlineStr">
        <is>
          <t>Durango</t>
        </is>
      </c>
      <c r="C40" s="6" t="n">
        <v>812980</v>
      </c>
      <c r="D40" s="6" t="inlineStr">
        <is>
          <t>kilogramos</t>
        </is>
      </c>
      <c r="E40" s="6" t="n">
        <v>11.26</v>
      </c>
      <c r="F40" s="5" t="inlineStr">
        <is>
          <t>SGM Anuario 2025 p.108</t>
        </is>
      </c>
      <c r="G40" s="11">
        <f>ROUND(C40/SUMIFS($C$4:$C$96,$A$4:$A$96,A40)*100,2)</f>
        <v/>
      </c>
      <c r="H40" s="11">
        <f>ROUND(G40-E40,2)</f>
        <v/>
      </c>
    </row>
    <row r="41">
      <c r="A41" s="9" t="inlineStr">
        <is>
          <t>plata</t>
        </is>
      </c>
      <c r="B41" s="9" t="inlineStr">
        <is>
          <t>San Luis Potosi</t>
        </is>
      </c>
      <c r="C41" s="9" t="n">
        <v>217660</v>
      </c>
      <c r="D41" s="9" t="inlineStr">
        <is>
          <t>kilogramos</t>
        </is>
      </c>
      <c r="E41" s="9" t="n">
        <v>3.01</v>
      </c>
      <c r="F41" s="8" t="inlineStr">
        <is>
          <t>SGM Anuario 2025 p.108</t>
        </is>
      </c>
      <c r="G41" s="11">
        <f>ROUND(C41/SUMIFS($C$4:$C$96,$A$4:$A$96,A41)*100,2)</f>
        <v/>
      </c>
      <c r="H41" s="11">
        <f>ROUND(G41-E41,2)</f>
        <v/>
      </c>
    </row>
    <row r="42">
      <c r="A42" s="6" t="inlineStr">
        <is>
          <t>plata</t>
        </is>
      </c>
      <c r="B42" s="6" t="inlineStr">
        <is>
          <t>Mexico</t>
        </is>
      </c>
      <c r="C42" s="6" t="n">
        <v>136930</v>
      </c>
      <c r="D42" s="6" t="inlineStr">
        <is>
          <t>kilogramos</t>
        </is>
      </c>
      <c r="E42" s="6" t="n">
        <v>1.9</v>
      </c>
      <c r="F42" s="5" t="inlineStr">
        <is>
          <t>SGM Anuario 2025 p.108</t>
        </is>
      </c>
      <c r="G42" s="11">
        <f>ROUND(C42/SUMIFS($C$4:$C$96,$A$4:$A$96,A42)*100,2)</f>
        <v/>
      </c>
      <c r="H42" s="11">
        <f>ROUND(G42-E42,2)</f>
        <v/>
      </c>
    </row>
    <row r="43">
      <c r="A43" s="9" t="inlineStr">
        <is>
          <t>plata</t>
        </is>
      </c>
      <c r="B43" s="9" t="inlineStr">
        <is>
          <t>Guerrero</t>
        </is>
      </c>
      <c r="C43" s="9" t="n">
        <v>114470</v>
      </c>
      <c r="D43" s="9" t="inlineStr">
        <is>
          <t>kilogramos</t>
        </is>
      </c>
      <c r="E43" s="9" t="n">
        <v>1.59</v>
      </c>
      <c r="F43" s="8" t="inlineStr">
        <is>
          <t>SGM Anuario 2025 p.108</t>
        </is>
      </c>
      <c r="G43" s="11">
        <f>ROUND(C43/SUMIFS($C$4:$C$96,$A$4:$A$96,A43)*100,2)</f>
        <v/>
      </c>
      <c r="H43" s="11">
        <f>ROUND(G43-E43,2)</f>
        <v/>
      </c>
    </row>
    <row r="44">
      <c r="A44" s="6" t="inlineStr">
        <is>
          <t>plata</t>
        </is>
      </c>
      <c r="B44" s="6" t="inlineStr">
        <is>
          <t>Hidalgo</t>
        </is>
      </c>
      <c r="C44" s="6" t="n">
        <v>101680</v>
      </c>
      <c r="D44" s="6" t="inlineStr">
        <is>
          <t>kilogramos</t>
        </is>
      </c>
      <c r="E44" s="6" t="n">
        <v>1.41</v>
      </c>
      <c r="F44" s="5" t="inlineStr">
        <is>
          <t>SGM Anuario 2025 p.108</t>
        </is>
      </c>
      <c r="G44" s="11">
        <f>ROUND(C44/SUMIFS($C$4:$C$96,$A$4:$A$96,A44)*100,2)</f>
        <v/>
      </c>
      <c r="H44" s="11">
        <f>ROUND(G44-E44,2)</f>
        <v/>
      </c>
    </row>
    <row r="45">
      <c r="A45" s="9" t="inlineStr">
        <is>
          <t>plata</t>
        </is>
      </c>
      <c r="B45" s="9" t="inlineStr">
        <is>
          <t>Coahuila</t>
        </is>
      </c>
      <c r="C45" s="9" t="n">
        <v>96770</v>
      </c>
      <c r="D45" s="9" t="inlineStr">
        <is>
          <t>kilogramos</t>
        </is>
      </c>
      <c r="E45" s="9" t="n">
        <v>1.34</v>
      </c>
      <c r="F45" s="8" t="inlineStr">
        <is>
          <t>SGM Anuario 2025 p.108</t>
        </is>
      </c>
      <c r="G45" s="11">
        <f>ROUND(C45/SUMIFS($C$4:$C$96,$A$4:$A$96,A45)*100,2)</f>
        <v/>
      </c>
      <c r="H45" s="11">
        <f>ROUND(G45-E45,2)</f>
        <v/>
      </c>
    </row>
    <row r="46">
      <c r="A46" s="6" t="inlineStr">
        <is>
          <t>plata</t>
        </is>
      </c>
      <c r="B46" s="6" t="inlineStr">
        <is>
          <t>Jalisco</t>
        </is>
      </c>
      <c r="C46" s="6" t="n">
        <v>76020</v>
      </c>
      <c r="D46" s="6" t="inlineStr">
        <is>
          <t>kilogramos</t>
        </is>
      </c>
      <c r="E46" s="6" t="n">
        <v>1.05</v>
      </c>
      <c r="F46" s="5" t="inlineStr">
        <is>
          <t>SGM Anuario 2025 p.108</t>
        </is>
      </c>
      <c r="G46" s="11">
        <f>ROUND(C46/SUMIFS($C$4:$C$96,$A$4:$A$96,A46)*100,2)</f>
        <v/>
      </c>
      <c r="H46" s="11">
        <f>ROUND(G46-E46,2)</f>
        <v/>
      </c>
    </row>
    <row r="47">
      <c r="A47" s="9" t="inlineStr">
        <is>
          <t>plata</t>
        </is>
      </c>
      <c r="B47" s="9" t="inlineStr">
        <is>
          <t>Guanajuato</t>
        </is>
      </c>
      <c r="C47" s="9" t="n">
        <v>55130</v>
      </c>
      <c r="D47" s="9" t="inlineStr">
        <is>
          <t>kilogramos</t>
        </is>
      </c>
      <c r="E47" s="9" t="n">
        <v>0.76</v>
      </c>
      <c r="F47" s="8" t="inlineStr">
        <is>
          <t>SGM Anuario 2025 p.108</t>
        </is>
      </c>
      <c r="G47" s="11">
        <f>ROUND(C47/SUMIFS($C$4:$C$96,$A$4:$A$96,A47)*100,2)</f>
        <v/>
      </c>
      <c r="H47" s="11">
        <f>ROUND(G47-E47,2)</f>
        <v/>
      </c>
    </row>
    <row r="48">
      <c r="A48" s="6" t="inlineStr">
        <is>
          <t>plata</t>
        </is>
      </c>
      <c r="B48" s="6" t="inlineStr">
        <is>
          <t>Sinaloa</t>
        </is>
      </c>
      <c r="C48" s="6" t="n">
        <v>40980</v>
      </c>
      <c r="D48" s="6" t="inlineStr">
        <is>
          <t>kilogramos</t>
        </is>
      </c>
      <c r="E48" s="6" t="n">
        <v>0.57</v>
      </c>
      <c r="F48" s="5" t="inlineStr">
        <is>
          <t>SGM Anuario 2025 p.108</t>
        </is>
      </c>
      <c r="G48" s="11">
        <f>ROUND(C48/SUMIFS($C$4:$C$96,$A$4:$A$96,A48)*100,2)</f>
        <v/>
      </c>
      <c r="H48" s="11">
        <f>ROUND(G48-E48,2)</f>
        <v/>
      </c>
    </row>
    <row r="49">
      <c r="A49" s="9" t="inlineStr">
        <is>
          <t>plata</t>
        </is>
      </c>
      <c r="B49" s="9" t="inlineStr">
        <is>
          <t>Oaxaca</t>
        </is>
      </c>
      <c r="C49" s="9" t="n">
        <v>31750</v>
      </c>
      <c r="D49" s="9" t="inlineStr">
        <is>
          <t>kilogramos</t>
        </is>
      </c>
      <c r="E49" s="9" t="n">
        <v>0.44</v>
      </c>
      <c r="F49" s="8" t="inlineStr">
        <is>
          <t>SGM Anuario 2025 p.108</t>
        </is>
      </c>
      <c r="G49" s="11">
        <f>ROUND(C49/SUMIFS($C$4:$C$96,$A$4:$A$96,A49)*100,2)</f>
        <v/>
      </c>
      <c r="H49" s="11">
        <f>ROUND(G49-E49,2)</f>
        <v/>
      </c>
    </row>
    <row r="50">
      <c r="A50" s="6" t="inlineStr">
        <is>
          <t>plata</t>
        </is>
      </c>
      <c r="B50" s="6" t="inlineStr">
        <is>
          <t>Aguascalientes</t>
        </is>
      </c>
      <c r="C50" s="6" t="n">
        <v>16790</v>
      </c>
      <c r="D50" s="6" t="inlineStr">
        <is>
          <t>kilogramos</t>
        </is>
      </c>
      <c r="E50" s="6" t="n">
        <v>0.23</v>
      </c>
      <c r="F50" s="5" t="inlineStr">
        <is>
          <t>SGM Anuario 2025 p.108</t>
        </is>
      </c>
      <c r="G50" s="11">
        <f>ROUND(C50/SUMIFS($C$4:$C$96,$A$4:$A$96,A50)*100,2)</f>
        <v/>
      </c>
      <c r="H50" s="11">
        <f>ROUND(G50-E50,2)</f>
        <v/>
      </c>
    </row>
    <row r="51">
      <c r="A51" s="9" t="inlineStr">
        <is>
          <t>plata</t>
        </is>
      </c>
      <c r="B51" s="9" t="inlineStr">
        <is>
          <t>Nayarit</t>
        </is>
      </c>
      <c r="C51" s="9" t="n">
        <v>5030</v>
      </c>
      <c r="D51" s="9" t="inlineStr">
        <is>
          <t>kilogramos</t>
        </is>
      </c>
      <c r="E51" s="9" t="n">
        <v>0.07000000000000001</v>
      </c>
      <c r="F51" s="8" t="inlineStr">
        <is>
          <t>SGM Anuario 2025 p.108</t>
        </is>
      </c>
      <c r="G51" s="11">
        <f>ROUND(C51/SUMIFS($C$4:$C$96,$A$4:$A$96,A51)*100,2)</f>
        <v/>
      </c>
      <c r="H51" s="11">
        <f>ROUND(G51-E51,2)</f>
        <v/>
      </c>
    </row>
    <row r="52">
      <c r="A52" s="6" t="inlineStr">
        <is>
          <t>plata</t>
        </is>
      </c>
      <c r="B52" s="6" t="inlineStr">
        <is>
          <t>Queretaro</t>
        </is>
      </c>
      <c r="C52" s="6" t="n">
        <v>1270</v>
      </c>
      <c r="D52" s="6" t="inlineStr">
        <is>
          <t>kilogramos</t>
        </is>
      </c>
      <c r="E52" s="6" t="n">
        <v>0.02</v>
      </c>
      <c r="F52" s="5" t="inlineStr">
        <is>
          <t>SGM Anuario 2025 p.108</t>
        </is>
      </c>
      <c r="G52" s="11">
        <f>ROUND(C52/SUMIFS($C$4:$C$96,$A$4:$A$96,A52)*100,2)</f>
        <v/>
      </c>
      <c r="H52" s="11">
        <f>ROUND(G52-E52,2)</f>
        <v/>
      </c>
    </row>
    <row r="53">
      <c r="A53" s="9" t="inlineStr">
        <is>
          <t>plomo</t>
        </is>
      </c>
      <c r="B53" s="9" t="inlineStr">
        <is>
          <t>Zacatecas</t>
        </is>
      </c>
      <c r="C53" s="9" t="n">
        <v>258738.82</v>
      </c>
      <c r="D53" s="9" t="inlineStr">
        <is>
          <t>toneladas</t>
        </is>
      </c>
      <c r="E53" s="9" t="n">
        <v>70.81999999999999</v>
      </c>
      <c r="F53" s="8" t="inlineStr">
        <is>
          <t>SGM Anuario 2025 p.110</t>
        </is>
      </c>
      <c r="G53" s="11">
        <f>ROUND(C53/SUMIFS($C$4:$C$96,$A$4:$A$96,A53)*100,2)</f>
        <v/>
      </c>
      <c r="H53" s="11">
        <f>ROUND(G53-E53,2)</f>
        <v/>
      </c>
    </row>
    <row r="54">
      <c r="A54" s="6" t="inlineStr">
        <is>
          <t>plomo</t>
        </is>
      </c>
      <c r="B54" s="6" t="inlineStr">
        <is>
          <t>Chihuahua</t>
        </is>
      </c>
      <c r="C54" s="6" t="n">
        <v>60609.55</v>
      </c>
      <c r="D54" s="6" t="inlineStr">
        <is>
          <t>toneladas</t>
        </is>
      </c>
      <c r="E54" s="6" t="n">
        <v>16.59</v>
      </c>
      <c r="F54" s="5" t="inlineStr">
        <is>
          <t>SGM Anuario 2025 p.110</t>
        </is>
      </c>
      <c r="G54" s="11">
        <f>ROUND(C54/SUMIFS($C$4:$C$96,$A$4:$A$96,A54)*100,2)</f>
        <v/>
      </c>
      <c r="H54" s="11">
        <f>ROUND(G54-E54,2)</f>
        <v/>
      </c>
    </row>
    <row r="55">
      <c r="A55" s="9" t="inlineStr">
        <is>
          <t>plomo</t>
        </is>
      </c>
      <c r="B55" s="9" t="inlineStr">
        <is>
          <t>Durango</t>
        </is>
      </c>
      <c r="C55" s="9" t="n">
        <v>14618.63</v>
      </c>
      <c r="D55" s="9" t="inlineStr">
        <is>
          <t>toneladas</t>
        </is>
      </c>
      <c r="E55" s="9" t="n">
        <v>4</v>
      </c>
      <c r="F55" s="8" t="inlineStr">
        <is>
          <t>SGM Anuario 2025 p.110</t>
        </is>
      </c>
      <c r="G55" s="11">
        <f>ROUND(C55/SUMIFS($C$4:$C$96,$A$4:$A$96,A55)*100,2)</f>
        <v/>
      </c>
      <c r="H55" s="11">
        <f>ROUND(G55-E55,2)</f>
        <v/>
      </c>
    </row>
    <row r="56">
      <c r="A56" s="6" t="inlineStr">
        <is>
          <t>plomo</t>
        </is>
      </c>
      <c r="B56" s="6" t="inlineStr">
        <is>
          <t>Hidalgo</t>
        </is>
      </c>
      <c r="C56" s="6" t="n">
        <v>7703.8</v>
      </c>
      <c r="D56" s="6" t="inlineStr">
        <is>
          <t>toneladas</t>
        </is>
      </c>
      <c r="E56" s="6" t="n">
        <v>2.11</v>
      </c>
      <c r="F56" s="5" t="inlineStr">
        <is>
          <t>SGM Anuario 2025 p.110</t>
        </is>
      </c>
      <c r="G56" s="11">
        <f>ROUND(C56/SUMIFS($C$4:$C$96,$A$4:$A$96,A56)*100,2)</f>
        <v/>
      </c>
      <c r="H56" s="11">
        <f>ROUND(G56-E56,2)</f>
        <v/>
      </c>
    </row>
    <row r="57">
      <c r="A57" s="9" t="inlineStr">
        <is>
          <t>plomo</t>
        </is>
      </c>
      <c r="B57" s="9" t="inlineStr">
        <is>
          <t>Mexico</t>
        </is>
      </c>
      <c r="C57" s="9" t="n">
        <v>5527.34</v>
      </c>
      <c r="D57" s="9" t="inlineStr">
        <is>
          <t>toneladas</t>
        </is>
      </c>
      <c r="E57" s="9" t="n">
        <v>1.51</v>
      </c>
      <c r="F57" s="8" t="inlineStr">
        <is>
          <t>SGM Anuario 2025 p.110</t>
        </is>
      </c>
      <c r="G57" s="11">
        <f>ROUND(C57/SUMIFS($C$4:$C$96,$A$4:$A$96,A57)*100,2)</f>
        <v/>
      </c>
      <c r="H57" s="11">
        <f>ROUND(G57-E57,2)</f>
        <v/>
      </c>
    </row>
    <row r="58">
      <c r="A58" s="6" t="inlineStr">
        <is>
          <t>plomo</t>
        </is>
      </c>
      <c r="B58" s="6" t="inlineStr">
        <is>
          <t>Guerrero</t>
        </is>
      </c>
      <c r="C58" s="6" t="n">
        <v>4326.58</v>
      </c>
      <c r="D58" s="6" t="inlineStr">
        <is>
          <t>toneladas</t>
        </is>
      </c>
      <c r="E58" s="6" t="n">
        <v>1.18</v>
      </c>
      <c r="F58" s="5" t="inlineStr">
        <is>
          <t>SGM Anuario 2025 p.110</t>
        </is>
      </c>
      <c r="G58" s="11">
        <f>ROUND(C58/SUMIFS($C$4:$C$96,$A$4:$A$96,A58)*100,2)</f>
        <v/>
      </c>
      <c r="H58" s="11">
        <f>ROUND(G58-E58,2)</f>
        <v/>
      </c>
    </row>
    <row r="59">
      <c r="A59" s="9" t="inlineStr">
        <is>
          <t>plomo</t>
        </is>
      </c>
      <c r="B59" s="9" t="inlineStr">
        <is>
          <t>Jalisco</t>
        </is>
      </c>
      <c r="C59" s="9" t="n">
        <v>4052.92</v>
      </c>
      <c r="D59" s="9" t="inlineStr">
        <is>
          <t>toneladas</t>
        </is>
      </c>
      <c r="E59" s="9" t="n">
        <v>1.11</v>
      </c>
      <c r="F59" s="8" t="inlineStr">
        <is>
          <t>SGM Anuario 2025 p.110</t>
        </is>
      </c>
      <c r="G59" s="11">
        <f>ROUND(C59/SUMIFS($C$4:$C$96,$A$4:$A$96,A59)*100,2)</f>
        <v/>
      </c>
      <c r="H59" s="11">
        <f>ROUND(G59-E59,2)</f>
        <v/>
      </c>
    </row>
    <row r="60">
      <c r="A60" s="6" t="inlineStr">
        <is>
          <t>plomo</t>
        </is>
      </c>
      <c r="B60" s="6" t="inlineStr">
        <is>
          <t>Oaxaca</t>
        </is>
      </c>
      <c r="C60" s="6" t="n">
        <v>3844.38</v>
      </c>
      <c r="D60" s="6" t="inlineStr">
        <is>
          <t>toneladas</t>
        </is>
      </c>
      <c r="E60" s="6" t="n">
        <v>1.05</v>
      </c>
      <c r="F60" s="5" t="inlineStr">
        <is>
          <t>SGM Anuario 2025 p.110</t>
        </is>
      </c>
      <c r="G60" s="11">
        <f>ROUND(C60/SUMIFS($C$4:$C$96,$A$4:$A$96,A60)*100,2)</f>
        <v/>
      </c>
      <c r="H60" s="11">
        <f>ROUND(G60-E60,2)</f>
        <v/>
      </c>
    </row>
    <row r="61">
      <c r="A61" s="9" t="inlineStr">
        <is>
          <t>plomo</t>
        </is>
      </c>
      <c r="B61" s="9" t="inlineStr">
        <is>
          <t>Aguascalientes</t>
        </is>
      </c>
      <c r="C61" s="9" t="n">
        <v>3116</v>
      </c>
      <c r="D61" s="9" t="inlineStr">
        <is>
          <t>toneladas</t>
        </is>
      </c>
      <c r="E61" s="9" t="n">
        <v>0.85</v>
      </c>
      <c r="F61" s="8" t="inlineStr">
        <is>
          <t>SGM Anuario 2025 p.110</t>
        </is>
      </c>
      <c r="G61" s="11">
        <f>ROUND(C61/SUMIFS($C$4:$C$96,$A$4:$A$96,A61)*100,2)</f>
        <v/>
      </c>
      <c r="H61" s="11">
        <f>ROUND(G61-E61,2)</f>
        <v/>
      </c>
    </row>
    <row r="62">
      <c r="A62" s="6" t="inlineStr">
        <is>
          <t>plomo</t>
        </is>
      </c>
      <c r="B62" s="6" t="inlineStr">
        <is>
          <t>San Luis Potosi</t>
        </is>
      </c>
      <c r="C62" s="6" t="n">
        <v>2517.08</v>
      </c>
      <c r="D62" s="6" t="inlineStr">
        <is>
          <t>toneladas</t>
        </is>
      </c>
      <c r="E62" s="6" t="n">
        <v>0.6899999999999999</v>
      </c>
      <c r="F62" s="5" t="inlineStr">
        <is>
          <t>SGM Anuario 2025 p.110</t>
        </is>
      </c>
      <c r="G62" s="11">
        <f>ROUND(C62/SUMIFS($C$4:$C$96,$A$4:$A$96,A62)*100,2)</f>
        <v/>
      </c>
      <c r="H62" s="11">
        <f>ROUND(G62-E62,2)</f>
        <v/>
      </c>
    </row>
    <row r="63">
      <c r="A63" s="9" t="inlineStr">
        <is>
          <t>plomo</t>
        </is>
      </c>
      <c r="B63" s="9" t="inlineStr">
        <is>
          <t>Queretaro</t>
        </is>
      </c>
      <c r="C63" s="9" t="n">
        <v>299</v>
      </c>
      <c r="D63" s="9" t="inlineStr">
        <is>
          <t>toneladas</t>
        </is>
      </c>
      <c r="E63" s="9" t="n">
        <v>0.08</v>
      </c>
      <c r="F63" s="8" t="inlineStr">
        <is>
          <t>SGM Anuario 2025 p.110</t>
        </is>
      </c>
      <c r="G63" s="11">
        <f>ROUND(C63/SUMIFS($C$4:$C$96,$A$4:$A$96,A63)*100,2)</f>
        <v/>
      </c>
      <c r="H63" s="11">
        <f>ROUND(G63-E63,2)</f>
        <v/>
      </c>
    </row>
    <row r="64">
      <c r="A64" s="6" t="inlineStr">
        <is>
          <t>plomo</t>
        </is>
      </c>
      <c r="B64" s="6" t="inlineStr">
        <is>
          <t>Sonora</t>
        </is>
      </c>
      <c r="C64" s="6" t="n">
        <v>1.9</v>
      </c>
      <c r="D64" s="6" t="inlineStr">
        <is>
          <t>toneladas</t>
        </is>
      </c>
      <c r="E64" s="6" t="n">
        <v>0</v>
      </c>
      <c r="F64" s="5" t="inlineStr">
        <is>
          <t>SGM Anuario 2025 p.110</t>
        </is>
      </c>
      <c r="G64" s="11">
        <f>ROUND(C64/SUMIFS($C$4:$C$96,$A$4:$A$96,A64)*100,2)</f>
        <v/>
      </c>
      <c r="H64" s="11">
        <f>ROUND(G64-E64,2)</f>
        <v/>
      </c>
    </row>
    <row r="65">
      <c r="A65" s="9" t="inlineStr">
        <is>
          <t>zinc</t>
        </is>
      </c>
      <c r="B65" s="9" t="inlineStr">
        <is>
          <t>Zacatecas</t>
        </is>
      </c>
      <c r="C65" s="9" t="n">
        <v>563495.74</v>
      </c>
      <c r="D65" s="9" t="inlineStr">
        <is>
          <t>toneladas</t>
        </is>
      </c>
      <c r="E65" s="9" t="n">
        <v>55.82</v>
      </c>
      <c r="F65" s="8" t="inlineStr">
        <is>
          <t>SGM Anuario 2025 p.114</t>
        </is>
      </c>
      <c r="G65" s="11">
        <f>ROUND(C65/SUMIFS($C$4:$C$96,$A$4:$A$96,A65)*100,2)</f>
        <v/>
      </c>
      <c r="H65" s="11">
        <f>ROUND(G65-E65,2)</f>
        <v/>
      </c>
    </row>
    <row r="66">
      <c r="A66" s="6" t="inlineStr">
        <is>
          <t>zinc</t>
        </is>
      </c>
      <c r="B66" s="6" t="inlineStr">
        <is>
          <t>Chihuahua</t>
        </is>
      </c>
      <c r="C66" s="6" t="n">
        <v>115878.35</v>
      </c>
      <c r="D66" s="6" t="inlineStr">
        <is>
          <t>toneladas</t>
        </is>
      </c>
      <c r="E66" s="6" t="n">
        <v>11.48</v>
      </c>
      <c r="F66" s="5" t="inlineStr">
        <is>
          <t>SGM Anuario 2025 p.114</t>
        </is>
      </c>
      <c r="G66" s="11">
        <f>ROUND(C66/SUMIFS($C$4:$C$96,$A$4:$A$96,A66)*100,2)</f>
        <v/>
      </c>
      <c r="H66" s="11">
        <f>ROUND(G66-E66,2)</f>
        <v/>
      </c>
    </row>
    <row r="67">
      <c r="A67" s="9" t="inlineStr">
        <is>
          <t>zinc</t>
        </is>
      </c>
      <c r="B67" s="9" t="inlineStr">
        <is>
          <t>Durango</t>
        </is>
      </c>
      <c r="C67" s="9" t="n">
        <v>97404.99000000001</v>
      </c>
      <c r="D67" s="9" t="inlineStr">
        <is>
          <t>toneladas</t>
        </is>
      </c>
      <c r="E67" s="9" t="n">
        <v>9.65</v>
      </c>
      <c r="F67" s="8" t="inlineStr">
        <is>
          <t>SGM Anuario 2025 p.114</t>
        </is>
      </c>
      <c r="G67" s="11">
        <f>ROUND(C67/SUMIFS($C$4:$C$96,$A$4:$A$96,A67)*100,2)</f>
        <v/>
      </c>
      <c r="H67" s="11">
        <f>ROUND(G67-E67,2)</f>
        <v/>
      </c>
    </row>
    <row r="68">
      <c r="A68" s="6" t="inlineStr">
        <is>
          <t>zinc</t>
        </is>
      </c>
      <c r="B68" s="6" t="inlineStr">
        <is>
          <t>Sonora</t>
        </is>
      </c>
      <c r="C68" s="6" t="n">
        <v>78029.61</v>
      </c>
      <c r="D68" s="6" t="inlineStr">
        <is>
          <t>toneladas</t>
        </is>
      </c>
      <c r="E68" s="6" t="n">
        <v>7.73</v>
      </c>
      <c r="F68" s="5" t="inlineStr">
        <is>
          <t>SGM Anuario 2025 p.114</t>
        </is>
      </c>
      <c r="G68" s="11">
        <f>ROUND(C68/SUMIFS($C$4:$C$96,$A$4:$A$96,A68)*100,2)</f>
        <v/>
      </c>
      <c r="H68" s="11">
        <f>ROUND(G68-E68,2)</f>
        <v/>
      </c>
    </row>
    <row r="69">
      <c r="A69" s="9" t="inlineStr">
        <is>
          <t>zinc</t>
        </is>
      </c>
      <c r="B69" s="9" t="inlineStr">
        <is>
          <t>Guerrero</t>
        </is>
      </c>
      <c r="C69" s="9" t="n">
        <v>32406.5</v>
      </c>
      <c r="D69" s="9" t="inlineStr">
        <is>
          <t>toneladas</t>
        </is>
      </c>
      <c r="E69" s="9" t="n">
        <v>3.21</v>
      </c>
      <c r="F69" s="8" t="inlineStr">
        <is>
          <t>SGM Anuario 2025 p.114</t>
        </is>
      </c>
      <c r="G69" s="11">
        <f>ROUND(C69/SUMIFS($C$4:$C$96,$A$4:$A$96,A69)*100,2)</f>
        <v/>
      </c>
      <c r="H69" s="11">
        <f>ROUND(G69-E69,2)</f>
        <v/>
      </c>
    </row>
    <row r="70">
      <c r="A70" s="6" t="inlineStr">
        <is>
          <t>zinc</t>
        </is>
      </c>
      <c r="B70" s="6" t="inlineStr">
        <is>
          <t>Mexico</t>
        </is>
      </c>
      <c r="C70" s="6" t="n">
        <v>27583.7</v>
      </c>
      <c r="D70" s="6" t="inlineStr">
        <is>
          <t>toneladas</t>
        </is>
      </c>
      <c r="E70" s="6" t="n">
        <v>2.73</v>
      </c>
      <c r="F70" s="5" t="inlineStr">
        <is>
          <t>SGM Anuario 2025 p.114</t>
        </is>
      </c>
      <c r="G70" s="11">
        <f>ROUND(C70/SUMIFS($C$4:$C$96,$A$4:$A$96,A70)*100,2)</f>
        <v/>
      </c>
      <c r="H70" s="11">
        <f>ROUND(G70-E70,2)</f>
        <v/>
      </c>
    </row>
    <row r="71">
      <c r="A71" s="9" t="inlineStr">
        <is>
          <t>zinc</t>
        </is>
      </c>
      <c r="B71" s="9" t="inlineStr">
        <is>
          <t>San Luis Potosi</t>
        </is>
      </c>
      <c r="C71" s="9" t="n">
        <v>27039.19</v>
      </c>
      <c r="D71" s="9" t="inlineStr">
        <is>
          <t>toneladas</t>
        </is>
      </c>
      <c r="E71" s="9" t="n">
        <v>2.68</v>
      </c>
      <c r="F71" s="8" t="inlineStr">
        <is>
          <t>SGM Anuario 2025 p.114</t>
        </is>
      </c>
      <c r="G71" s="11">
        <f>ROUND(C71/SUMIFS($C$4:$C$96,$A$4:$A$96,A71)*100,2)</f>
        <v/>
      </c>
      <c r="H71" s="11">
        <f>ROUND(G71-E71,2)</f>
        <v/>
      </c>
    </row>
    <row r="72">
      <c r="A72" s="6" t="inlineStr">
        <is>
          <t>zinc</t>
        </is>
      </c>
      <c r="B72" s="6" t="inlineStr">
        <is>
          <t>Hidalgo</t>
        </is>
      </c>
      <c r="C72" s="6" t="n">
        <v>25639.97</v>
      </c>
      <c r="D72" s="6" t="inlineStr">
        <is>
          <t>toneladas</t>
        </is>
      </c>
      <c r="E72" s="6" t="n">
        <v>2.54</v>
      </c>
      <c r="F72" s="5" t="inlineStr">
        <is>
          <t>SGM Anuario 2025 p.114</t>
        </is>
      </c>
      <c r="G72" s="11">
        <f>ROUND(C72/SUMIFS($C$4:$C$96,$A$4:$A$96,A72)*100,2)</f>
        <v/>
      </c>
      <c r="H72" s="11">
        <f>ROUND(G72-E72,2)</f>
        <v/>
      </c>
    </row>
    <row r="73">
      <c r="A73" s="9" t="inlineStr">
        <is>
          <t>zinc</t>
        </is>
      </c>
      <c r="B73" s="9" t="inlineStr">
        <is>
          <t>Coahuila</t>
        </is>
      </c>
      <c r="C73" s="9" t="n">
        <v>15000</v>
      </c>
      <c r="D73" s="9" t="inlineStr">
        <is>
          <t>toneladas</t>
        </is>
      </c>
      <c r="E73" s="9" t="n">
        <v>1.49</v>
      </c>
      <c r="F73" s="8" t="inlineStr">
        <is>
          <t>SGM Anuario 2025 p.114</t>
        </is>
      </c>
      <c r="G73" s="11">
        <f>ROUND(C73/SUMIFS($C$4:$C$96,$A$4:$A$96,A73)*100,2)</f>
        <v/>
      </c>
      <c r="H73" s="11">
        <f>ROUND(G73-E73,2)</f>
        <v/>
      </c>
    </row>
    <row r="74">
      <c r="A74" s="6" t="inlineStr">
        <is>
          <t>zinc</t>
        </is>
      </c>
      <c r="B74" s="6" t="inlineStr">
        <is>
          <t>Oaxaca</t>
        </is>
      </c>
      <c r="C74" s="6" t="n">
        <v>9506.33</v>
      </c>
      <c r="D74" s="6" t="inlineStr">
        <is>
          <t>toneladas</t>
        </is>
      </c>
      <c r="E74" s="6" t="n">
        <v>0.9399999999999999</v>
      </c>
      <c r="F74" s="5" t="inlineStr">
        <is>
          <t>SGM Anuario 2025 p.114</t>
        </is>
      </c>
      <c r="G74" s="11">
        <f>ROUND(C74/SUMIFS($C$4:$C$96,$A$4:$A$96,A74)*100,2)</f>
        <v/>
      </c>
      <c r="H74" s="11">
        <f>ROUND(G74-E74,2)</f>
        <v/>
      </c>
    </row>
    <row r="75">
      <c r="A75" s="9" t="inlineStr">
        <is>
          <t>zinc</t>
        </is>
      </c>
      <c r="B75" s="9" t="inlineStr">
        <is>
          <t>Aguascalientes</t>
        </is>
      </c>
      <c r="C75" s="9" t="n">
        <v>8381</v>
      </c>
      <c r="D75" s="9" t="inlineStr">
        <is>
          <t>toneladas</t>
        </is>
      </c>
      <c r="E75" s="9" t="n">
        <v>0.83</v>
      </c>
      <c r="F75" s="8" t="inlineStr">
        <is>
          <t>SGM Anuario 2025 p.114</t>
        </is>
      </c>
      <c r="G75" s="11">
        <f>ROUND(C75/SUMIFS($C$4:$C$96,$A$4:$A$96,A75)*100,2)</f>
        <v/>
      </c>
      <c r="H75" s="11">
        <f>ROUND(G75-E75,2)</f>
        <v/>
      </c>
    </row>
    <row r="76">
      <c r="A76" s="6" t="inlineStr">
        <is>
          <t>zinc</t>
        </is>
      </c>
      <c r="B76" s="6" t="inlineStr">
        <is>
          <t>Jalisco</t>
        </is>
      </c>
      <c r="C76" s="6" t="n">
        <v>5479.19</v>
      </c>
      <c r="D76" s="6" t="inlineStr">
        <is>
          <t>toneladas</t>
        </is>
      </c>
      <c r="E76" s="6" t="n">
        <v>0.54</v>
      </c>
      <c r="F76" s="5" t="inlineStr">
        <is>
          <t>SGM Anuario 2025 p.114</t>
        </is>
      </c>
      <c r="G76" s="11">
        <f>ROUND(C76/SUMIFS($C$4:$C$96,$A$4:$A$96,A76)*100,2)</f>
        <v/>
      </c>
      <c r="H76" s="11">
        <f>ROUND(G76-E76,2)</f>
        <v/>
      </c>
    </row>
    <row r="77">
      <c r="A77" s="9" t="inlineStr">
        <is>
          <t>zinc</t>
        </is>
      </c>
      <c r="B77" s="9" t="inlineStr">
        <is>
          <t>Queretaro</t>
        </is>
      </c>
      <c r="C77" s="9" t="n">
        <v>3649</v>
      </c>
      <c r="D77" s="9" t="inlineStr">
        <is>
          <t>toneladas</t>
        </is>
      </c>
      <c r="E77" s="9" t="n">
        <v>0.36</v>
      </c>
      <c r="F77" s="8" t="inlineStr">
        <is>
          <t>SGM Anuario 2025 p.114</t>
        </is>
      </c>
      <c r="G77" s="11">
        <f>ROUND(C77/SUMIFS($C$4:$C$96,$A$4:$A$96,A77)*100,2)</f>
        <v/>
      </c>
      <c r="H77" s="11">
        <f>ROUND(G77-E77,2)</f>
        <v/>
      </c>
    </row>
    <row r="78">
      <c r="A78" s="6" t="inlineStr">
        <is>
          <t>barita</t>
        </is>
      </c>
      <c r="B78" s="6" t="inlineStr">
        <is>
          <t>Nuevo Leon</t>
        </is>
      </c>
      <c r="C78" s="6" t="n">
        <v>405788</v>
      </c>
      <c r="D78" s="6" t="inlineStr">
        <is>
          <t>toneladas</t>
        </is>
      </c>
      <c r="E78" s="6" t="n">
        <v>58.6</v>
      </c>
      <c r="F78" s="5" t="inlineStr">
        <is>
          <t>SGM Anuario 2025 p.126</t>
        </is>
      </c>
      <c r="G78" s="11">
        <f>ROUND(C78/SUMIFS($C$4:$C$96,$A$4:$A$96,A78)*100,2)</f>
        <v/>
      </c>
      <c r="H78" s="11">
        <f>ROUND(G78-E78,2)</f>
        <v/>
      </c>
    </row>
    <row r="79">
      <c r="A79" s="9" t="inlineStr">
        <is>
          <t>barita</t>
        </is>
      </c>
      <c r="B79" s="9" t="inlineStr">
        <is>
          <t>Sonora</t>
        </is>
      </c>
      <c r="C79" s="9" t="n">
        <v>265380</v>
      </c>
      <c r="D79" s="9" t="inlineStr">
        <is>
          <t>toneladas</t>
        </is>
      </c>
      <c r="E79" s="9" t="n">
        <v>38.32</v>
      </c>
      <c r="F79" s="8" t="inlineStr">
        <is>
          <t>SGM Anuario 2025 p.126</t>
        </is>
      </c>
      <c r="G79" s="11">
        <f>ROUND(C79/SUMIFS($C$4:$C$96,$A$4:$A$96,A79)*100,2)</f>
        <v/>
      </c>
      <c r="H79" s="11">
        <f>ROUND(G79-E79,2)</f>
        <v/>
      </c>
    </row>
    <row r="80">
      <c r="A80" s="6" t="inlineStr">
        <is>
          <t>barita</t>
        </is>
      </c>
      <c r="B80" s="6" t="inlineStr">
        <is>
          <t>Coahuila</t>
        </is>
      </c>
      <c r="C80" s="6" t="n">
        <v>13982.99</v>
      </c>
      <c r="D80" s="6" t="inlineStr">
        <is>
          <t>toneladas</t>
        </is>
      </c>
      <c r="E80" s="6" t="n">
        <v>2.02</v>
      </c>
      <c r="F80" s="5" t="inlineStr">
        <is>
          <t>SGM Anuario 2025 p.126</t>
        </is>
      </c>
      <c r="G80" s="11">
        <f>ROUND(C80/SUMIFS($C$4:$C$96,$A$4:$A$96,A80)*100,2)</f>
        <v/>
      </c>
      <c r="H80" s="11">
        <f>ROUND(G80-E80,2)</f>
        <v/>
      </c>
    </row>
    <row r="81">
      <c r="A81" s="9" t="inlineStr">
        <is>
          <t>barita</t>
        </is>
      </c>
      <c r="B81" s="9" t="inlineStr">
        <is>
          <t>Chihuahua</t>
        </is>
      </c>
      <c r="C81" s="9" t="n">
        <v>2919</v>
      </c>
      <c r="D81" s="9" t="inlineStr">
        <is>
          <t>toneladas</t>
        </is>
      </c>
      <c r="E81" s="9" t="n">
        <v>0.42</v>
      </c>
      <c r="F81" s="8" t="inlineStr">
        <is>
          <t>SGM Anuario 2025 p.126</t>
        </is>
      </c>
      <c r="G81" s="11">
        <f>ROUND(C81/SUMIFS($C$4:$C$96,$A$4:$A$96,A81)*100,2)</f>
        <v/>
      </c>
      <c r="H81" s="11">
        <f>ROUND(G81-E81,2)</f>
        <v/>
      </c>
    </row>
    <row r="82">
      <c r="A82" s="6" t="inlineStr">
        <is>
          <t>barita</t>
        </is>
      </c>
      <c r="B82" s="6" t="inlineStr">
        <is>
          <t>Oaxaca</t>
        </is>
      </c>
      <c r="C82" s="6" t="n">
        <v>2319.14</v>
      </c>
      <c r="D82" s="6" t="inlineStr">
        <is>
          <t>toneladas</t>
        </is>
      </c>
      <c r="E82" s="6" t="n">
        <v>0.33</v>
      </c>
      <c r="F82" s="5" t="inlineStr">
        <is>
          <t>SGM Anuario 2025 p.126</t>
        </is>
      </c>
      <c r="G82" s="11">
        <f>ROUND(C82/SUMIFS($C$4:$C$96,$A$4:$A$96,A82)*100,2)</f>
        <v/>
      </c>
      <c r="H82" s="11">
        <f>ROUND(G82-E82,2)</f>
        <v/>
      </c>
    </row>
    <row r="83">
      <c r="A83" s="9" t="inlineStr">
        <is>
          <t>barita</t>
        </is>
      </c>
      <c r="B83" s="9" t="inlineStr">
        <is>
          <t>Jalisco</t>
        </is>
      </c>
      <c r="C83" s="9" t="n">
        <v>1507</v>
      </c>
      <c r="D83" s="9" t="inlineStr">
        <is>
          <t>toneladas</t>
        </is>
      </c>
      <c r="E83" s="9" t="n">
        <v>0.22</v>
      </c>
      <c r="F83" s="8" t="inlineStr">
        <is>
          <t>SGM Anuario 2025 p.126</t>
        </is>
      </c>
      <c r="G83" s="11">
        <f>ROUND(C83/SUMIFS($C$4:$C$96,$A$4:$A$96,A83)*100,2)</f>
        <v/>
      </c>
      <c r="H83" s="11">
        <f>ROUND(G83-E83,2)</f>
        <v/>
      </c>
    </row>
    <row r="84">
      <c r="A84" s="6" t="inlineStr">
        <is>
          <t>barita</t>
        </is>
      </c>
      <c r="B84" s="6" t="inlineStr">
        <is>
          <t>Veracruz</t>
        </is>
      </c>
      <c r="C84" s="6" t="n">
        <v>494.07</v>
      </c>
      <c r="D84" s="6" t="inlineStr">
        <is>
          <t>toneladas</t>
        </is>
      </c>
      <c r="E84" s="6" t="n">
        <v>0.07000000000000001</v>
      </c>
      <c r="F84" s="5" t="inlineStr">
        <is>
          <t>SGM Anuario 2025 p.126</t>
        </is>
      </c>
      <c r="G84" s="11">
        <f>ROUND(C84/SUMIFS($C$4:$C$96,$A$4:$A$96,A84)*100,2)</f>
        <v/>
      </c>
      <c r="H84" s="11">
        <f>ROUND(G84-E84,2)</f>
        <v/>
      </c>
    </row>
    <row r="85">
      <c r="A85" s="9" t="inlineStr">
        <is>
          <t>barita</t>
        </is>
      </c>
      <c r="B85" s="9" t="inlineStr">
        <is>
          <t>Puebla</t>
        </is>
      </c>
      <c r="C85" s="9" t="n">
        <v>30</v>
      </c>
      <c r="D85" s="9" t="inlineStr">
        <is>
          <t>toneladas</t>
        </is>
      </c>
      <c r="E85" s="9" t="n">
        <v>0</v>
      </c>
      <c r="F85" s="8" t="inlineStr">
        <is>
          <t>SGM Anuario 2025 p.126</t>
        </is>
      </c>
      <c r="G85" s="11">
        <f>ROUND(C85/SUMIFS($C$4:$C$96,$A$4:$A$96,A85)*100,2)</f>
        <v/>
      </c>
      <c r="H85" s="11">
        <f>ROUND(G85-E85,2)</f>
        <v/>
      </c>
    </row>
    <row r="86">
      <c r="A86" s="6" t="inlineStr">
        <is>
          <t>barita</t>
        </is>
      </c>
      <c r="B86" s="6" t="inlineStr">
        <is>
          <t>Chiapas</t>
        </is>
      </c>
      <c r="C86" s="6" t="n">
        <v>26</v>
      </c>
      <c r="D86" s="6" t="inlineStr">
        <is>
          <t>toneladas</t>
        </is>
      </c>
      <c r="E86" s="6" t="n">
        <v>0</v>
      </c>
      <c r="F86" s="5" t="inlineStr">
        <is>
          <t>SGM Anuario 2025 p.126</t>
        </is>
      </c>
      <c r="G86" s="11">
        <f>ROUND(C86/SUMIFS($C$4:$C$96,$A$4:$A$96,A86)*100,2)</f>
        <v/>
      </c>
      <c r="H86" s="11">
        <f>ROUND(G86-E86,2)</f>
        <v/>
      </c>
    </row>
    <row r="87">
      <c r="A87" s="9" t="inlineStr">
        <is>
          <t>fluorita</t>
        </is>
      </c>
      <c r="B87" s="9" t="inlineStr">
        <is>
          <t>San Luis Potosi</t>
        </is>
      </c>
      <c r="C87" s="9" t="n">
        <v>2247995.71</v>
      </c>
      <c r="D87" s="9" t="inlineStr">
        <is>
          <t>toneladas</t>
        </is>
      </c>
      <c r="E87" s="9" t="n">
        <v>95.64</v>
      </c>
      <c r="F87" s="8" t="inlineStr">
        <is>
          <t>SGM Anuario 2025 p.145</t>
        </is>
      </c>
      <c r="G87" s="11">
        <f>ROUND(C87/SUMIFS($C$4:$C$96,$A$4:$A$96,A87)*100,2)</f>
        <v/>
      </c>
      <c r="H87" s="11">
        <f>ROUND(G87-E87,2)</f>
        <v/>
      </c>
    </row>
    <row r="88">
      <c r="A88" s="6" t="inlineStr">
        <is>
          <t>fluorita</t>
        </is>
      </c>
      <c r="B88" s="6" t="inlineStr">
        <is>
          <t>Durango</t>
        </is>
      </c>
      <c r="C88" s="6" t="n">
        <v>71074</v>
      </c>
      <c r="D88" s="6" t="inlineStr">
        <is>
          <t>toneladas</t>
        </is>
      </c>
      <c r="E88" s="6" t="n">
        <v>3.02</v>
      </c>
      <c r="F88" s="5" t="inlineStr">
        <is>
          <t>SGM Anuario 2025 p.145</t>
        </is>
      </c>
      <c r="G88" s="11">
        <f>ROUND(C88/SUMIFS($C$4:$C$96,$A$4:$A$96,A88)*100,2)</f>
        <v/>
      </c>
      <c r="H88" s="11">
        <f>ROUND(G88-E88,2)</f>
        <v/>
      </c>
    </row>
    <row r="89">
      <c r="A89" s="9" t="inlineStr">
        <is>
          <t>fluorita</t>
        </is>
      </c>
      <c r="B89" s="9" t="inlineStr">
        <is>
          <t>Coahuila</t>
        </is>
      </c>
      <c r="C89" s="9" t="n">
        <v>31352</v>
      </c>
      <c r="D89" s="9" t="inlineStr">
        <is>
          <t>toneladas</t>
        </is>
      </c>
      <c r="E89" s="9" t="n">
        <v>1.33</v>
      </c>
      <c r="F89" s="8" t="inlineStr">
        <is>
          <t>SGM Anuario 2025 p.145</t>
        </is>
      </c>
      <c r="G89" s="11">
        <f>ROUND(C89/SUMIFS($C$4:$C$96,$A$4:$A$96,A89)*100,2)</f>
        <v/>
      </c>
      <c r="H89" s="11">
        <f>ROUND(G89-E89,2)</f>
        <v/>
      </c>
    </row>
    <row r="90">
      <c r="A90" s="6" t="inlineStr">
        <is>
          <t>grafito</t>
        </is>
      </c>
      <c r="B90" s="6" t="inlineStr">
        <is>
          <t>Sonora</t>
        </is>
      </c>
      <c r="C90" s="6" t="n">
        <v>2150.2</v>
      </c>
      <c r="D90" s="6" t="inlineStr">
        <is>
          <t>toneladas</t>
        </is>
      </c>
      <c r="E90" s="6" t="n">
        <v>100</v>
      </c>
      <c r="F90" s="5" t="inlineStr">
        <is>
          <t>SGM Anuario 2025 p.147</t>
        </is>
      </c>
      <c r="G90" s="11">
        <f>ROUND(C90/SUMIFS($C$4:$C$96,$A$4:$A$96,A90)*100,2)</f>
        <v/>
      </c>
      <c r="H90" s="11">
        <f>ROUND(G90-E90,2)</f>
        <v/>
      </c>
    </row>
    <row r="91">
      <c r="A91" s="9" t="inlineStr">
        <is>
          <t>silice</t>
        </is>
      </c>
      <c r="B91" s="9" t="inlineStr">
        <is>
          <t>Coahuila</t>
        </is>
      </c>
      <c r="C91" s="9" t="n">
        <v>1635148</v>
      </c>
      <c r="D91" s="9" t="inlineStr">
        <is>
          <t>toneladas</t>
        </is>
      </c>
      <c r="E91" s="9" t="n">
        <v>51.7</v>
      </c>
      <c r="F91" s="8" t="inlineStr">
        <is>
          <t>SGM Anuario 2025 p.162</t>
        </is>
      </c>
      <c r="G91" s="11">
        <f>ROUND(C91/SUMIFS($C$4:$C$96,$A$4:$A$96,A91)*100,2)</f>
        <v/>
      </c>
      <c r="H91" s="11">
        <f>ROUND(G91-E91,2)</f>
        <v/>
      </c>
    </row>
    <row r="92">
      <c r="A92" s="6" t="inlineStr">
        <is>
          <t>silice</t>
        </is>
      </c>
      <c r="B92" s="6" t="inlineStr">
        <is>
          <t>Puebla</t>
        </is>
      </c>
      <c r="C92" s="6" t="n">
        <v>1234257</v>
      </c>
      <c r="D92" s="6" t="inlineStr">
        <is>
          <t>toneladas</t>
        </is>
      </c>
      <c r="E92" s="6" t="n">
        <v>39.02</v>
      </c>
      <c r="F92" s="5" t="inlineStr">
        <is>
          <t>SGM Anuario 2025 p.162</t>
        </is>
      </c>
      <c r="G92" s="11">
        <f>ROUND(C92/SUMIFS($C$4:$C$96,$A$4:$A$96,A92)*100,2)</f>
        <v/>
      </c>
      <c r="H92" s="11">
        <f>ROUND(G92-E92,2)</f>
        <v/>
      </c>
    </row>
    <row r="93">
      <c r="A93" s="9" t="inlineStr">
        <is>
          <t>silice</t>
        </is>
      </c>
      <c r="B93" s="9" t="inlineStr">
        <is>
          <t>Baja California</t>
        </is>
      </c>
      <c r="C93" s="9" t="n">
        <v>244774.14</v>
      </c>
      <c r="D93" s="9" t="inlineStr">
        <is>
          <t>toneladas</t>
        </is>
      </c>
      <c r="E93" s="9" t="n">
        <v>7.74</v>
      </c>
      <c r="F93" s="8" t="inlineStr">
        <is>
          <t>SGM Anuario 2025 p.162</t>
        </is>
      </c>
      <c r="G93" s="11">
        <f>ROUND(C93/SUMIFS($C$4:$C$96,$A$4:$A$96,A93)*100,2)</f>
        <v/>
      </c>
      <c r="H93" s="11">
        <f>ROUND(G93-E93,2)</f>
        <v/>
      </c>
    </row>
    <row r="94">
      <c r="A94" s="6" t="inlineStr">
        <is>
          <t>silice</t>
        </is>
      </c>
      <c r="B94" s="6" t="inlineStr">
        <is>
          <t>Sonora</t>
        </is>
      </c>
      <c r="C94" s="6" t="n">
        <v>48098.39</v>
      </c>
      <c r="D94" s="6" t="inlineStr">
        <is>
          <t>toneladas</t>
        </is>
      </c>
      <c r="E94" s="6" t="n">
        <v>1.52</v>
      </c>
      <c r="F94" s="5" t="inlineStr">
        <is>
          <t>SGM Anuario 2025 p.162</t>
        </is>
      </c>
      <c r="G94" s="11">
        <f>ROUND(C94/SUMIFS($C$4:$C$96,$A$4:$A$96,A94)*100,2)</f>
        <v/>
      </c>
      <c r="H94" s="11">
        <f>ROUND(G94-E94,2)</f>
        <v/>
      </c>
    </row>
    <row r="95">
      <c r="A95" s="9" t="inlineStr">
        <is>
          <t>silice</t>
        </is>
      </c>
      <c r="B95" s="9" t="inlineStr">
        <is>
          <t>Jalisco</t>
        </is>
      </c>
      <c r="C95" s="9" t="n">
        <v>555</v>
      </c>
      <c r="D95" s="9" t="inlineStr">
        <is>
          <t>toneladas</t>
        </is>
      </c>
      <c r="E95" s="9" t="n">
        <v>0.02</v>
      </c>
      <c r="F95" s="8" t="inlineStr">
        <is>
          <t>SGM Anuario 2025 p.162</t>
        </is>
      </c>
      <c r="G95" s="11">
        <f>ROUND(C95/SUMIFS($C$4:$C$96,$A$4:$A$96,A95)*100,2)</f>
        <v/>
      </c>
      <c r="H95" s="11">
        <f>ROUND(G95-E95,2)</f>
        <v/>
      </c>
    </row>
    <row r="96">
      <c r="A96" s="6" t="inlineStr">
        <is>
          <t>silice</t>
        </is>
      </c>
      <c r="B96" s="6" t="inlineStr">
        <is>
          <t>Chihuahua</t>
        </is>
      </c>
      <c r="C96" s="6" t="n">
        <v>80.81999999999999</v>
      </c>
      <c r="D96" s="6" t="inlineStr">
        <is>
          <t>toneladas</t>
        </is>
      </c>
      <c r="E96" s="6" t="n">
        <v>0</v>
      </c>
      <c r="F96" s="5" t="inlineStr">
        <is>
          <t>SGM Anuario 2025 p.162</t>
        </is>
      </c>
      <c r="G96" s="11">
        <f>ROUND(C96/SUMIFS($C$4:$C$96,$A$4:$A$96,A96)*100,2)</f>
        <v/>
      </c>
      <c r="H96" s="11">
        <f>ROUND(G96-E96,2)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0" customWidth="1" min="4" max="4"/>
    <col width="14" customWidth="1" min="5" max="5"/>
    <col width="26" customWidth="1" min="6" max="6"/>
    <col width="14" customWidth="1" min="7" max="7"/>
    <col width="18" customWidth="1" min="8" max="8"/>
  </cols>
  <sheetData>
    <row r="1" ht="24" customHeight="1">
      <c r="A1" s="1" t="inlineStr">
        <is>
          <t>HHI geografico de la extraccion + co-localizacion con transformacion</t>
        </is>
      </c>
    </row>
    <row r="2" ht="40" customHeight="1">
      <c r="A2" s="2" t="inlineStr">
        <is>
          <t>hhi_geografico = suma_estado (share_estado)^2. Columna verde lo recomputa con SUMPRODUCT sobre los shares de la hoja '17 Georref extraccion' y lo compara con el valor del script. tiene_eslabon_E2 / colocalizado = mapa cualitativo.</t>
        </is>
      </c>
    </row>
    <row r="3">
      <c r="A3" s="3" t="inlineStr">
        <is>
          <t>mineral</t>
        </is>
      </c>
      <c r="B3" s="3" t="inlineStr">
        <is>
          <t>hhi_geografico</t>
        </is>
      </c>
      <c r="C3" s="3" t="inlineStr">
        <is>
          <t>n_estados</t>
        </is>
      </c>
      <c r="D3" s="3" t="inlineStr">
        <is>
          <t>estado_extraccion_lider</t>
        </is>
      </c>
      <c r="E3" s="3" t="inlineStr">
        <is>
          <t>share_lider_pct</t>
        </is>
      </c>
      <c r="F3" s="3" t="inlineStr">
        <is>
          <t>estados_transformacion</t>
        </is>
      </c>
      <c r="G3" s="3" t="inlineStr">
        <is>
          <t>tiene_eslabon_E2</t>
        </is>
      </c>
      <c r="H3" s="3" t="inlineStr">
        <is>
          <t>colocalizado_extraccion_E2</t>
        </is>
      </c>
      <c r="I3" s="10" t="inlineStr">
        <is>
          <t>HHI_geo (=formula)</t>
        </is>
      </c>
      <c r="J3" s="10" t="inlineStr">
        <is>
          <t>dif</t>
        </is>
      </c>
    </row>
    <row r="4">
      <c r="A4" s="6" t="inlineStr">
        <is>
          <t>cobre</t>
        </is>
      </c>
      <c r="B4" s="6" t="n">
        <v>5186</v>
      </c>
      <c r="C4" s="6" t="n">
        <v>16</v>
      </c>
      <c r="D4" s="6" t="inlineStr">
        <is>
          <t>Sonora</t>
        </is>
      </c>
      <c r="E4" s="6" t="n">
        <v>70</v>
      </c>
      <c r="F4" s="5" t="inlineStr">
        <is>
          <t>Ciudad de México; Sonora</t>
        </is>
      </c>
      <c r="G4" s="6" t="inlineStr">
        <is>
          <t>si</t>
        </is>
      </c>
      <c r="H4" s="6" t="inlineStr">
        <is>
          <t>si</t>
        </is>
      </c>
      <c r="I4" s="11">
        <f>ROUND(SUMPRODUCT(('17 Georref extraccion'!$A$4:$A$96=A4)*('17 Georref extraccion'!$E$4:$E$96)^2),0)</f>
        <v/>
      </c>
      <c r="J4" s="11">
        <f>ROUND(I4-B4,0)</f>
        <v/>
      </c>
    </row>
    <row r="5">
      <c r="A5" s="9" t="inlineStr">
        <is>
          <t>plomo</t>
        </is>
      </c>
      <c r="B5" s="9" t="n">
        <v>5318</v>
      </c>
      <c r="C5" s="9" t="n">
        <v>12</v>
      </c>
      <c r="D5" s="9" t="inlineStr">
        <is>
          <t>Zacatecas</t>
        </is>
      </c>
      <c r="E5" s="9" t="n">
        <v>71</v>
      </c>
      <c r="F5" s="8" t="inlineStr">
        <is>
          <t>Coahuila; San Luis Potosí</t>
        </is>
      </c>
      <c r="G5" s="9" t="inlineStr">
        <is>
          <t>si</t>
        </is>
      </c>
      <c r="H5" s="9" t="inlineStr">
        <is>
          <t>no</t>
        </is>
      </c>
      <c r="I5" s="11">
        <f>ROUND(SUMPRODUCT(('17 Georref extraccion'!$A$4:$A$96=A5)*('17 Georref extraccion'!$E$4:$E$96)^2),0)</f>
        <v/>
      </c>
      <c r="J5" s="11">
        <f>ROUND(I5-B5,0)</f>
        <v/>
      </c>
    </row>
    <row r="6">
      <c r="A6" s="6" t="inlineStr">
        <is>
          <t>zinc</t>
        </is>
      </c>
      <c r="B6" s="6" t="n">
        <v>3436</v>
      </c>
      <c r="C6" s="6" t="n">
        <v>13</v>
      </c>
      <c r="D6" s="6" t="inlineStr">
        <is>
          <t>Zacatecas</t>
        </is>
      </c>
      <c r="E6" s="6" t="n">
        <v>56</v>
      </c>
      <c r="F6" s="5" t="inlineStr">
        <is>
          <t>Coahuila; San Luis Potosí</t>
        </is>
      </c>
      <c r="G6" s="6" t="inlineStr">
        <is>
          <t>si</t>
        </is>
      </c>
      <c r="H6" s="6" t="inlineStr">
        <is>
          <t>no</t>
        </is>
      </c>
      <c r="I6" s="11">
        <f>ROUND(SUMPRODUCT(('17 Georref extraccion'!$A$4:$A$96=A6)*('17 Georref extraccion'!$E$4:$E$96)^2),0)</f>
        <v/>
      </c>
      <c r="J6" s="11">
        <f>ROUND(I6-B6,0)</f>
        <v/>
      </c>
    </row>
    <row r="7">
      <c r="A7" s="9" t="inlineStr">
        <is>
          <t>manganeso</t>
        </is>
      </c>
      <c r="B7" s="9" t="n">
        <v>10000</v>
      </c>
      <c r="C7" s="9" t="n">
        <v>1</v>
      </c>
      <c r="D7" s="9" t="inlineStr">
        <is>
          <t>Hidalgo</t>
        </is>
      </c>
      <c r="E7" s="9" t="n">
        <v>100</v>
      </c>
      <c r="F7" s="8" t="inlineStr">
        <is>
          <t>Durango; Puebla; Veracruz</t>
        </is>
      </c>
      <c r="G7" s="9" t="inlineStr">
        <is>
          <t>si</t>
        </is>
      </c>
      <c r="H7" s="9" t="inlineStr">
        <is>
          <t>no</t>
        </is>
      </c>
      <c r="I7" s="11">
        <f>ROUND(SUMPRODUCT(('17 Georref extraccion'!$A$4:$A$96=A7)*('17 Georref extraccion'!$E$4:$E$96)^2),0)</f>
        <v/>
      </c>
      <c r="J7" s="11">
        <f>ROUND(I7-B7,0)</f>
        <v/>
      </c>
    </row>
    <row r="8">
      <c r="A8" s="6" t="inlineStr">
        <is>
          <t>oro</t>
        </is>
      </c>
      <c r="B8" s="6" t="n">
        <v>2476</v>
      </c>
      <c r="C8" s="6" t="n">
        <v>16</v>
      </c>
      <c r="D8" s="6" t="inlineStr">
        <is>
          <t>Sonora</t>
        </is>
      </c>
      <c r="E8" s="6" t="n">
        <v>32</v>
      </c>
      <c r="F8" s="5" t="inlineStr">
        <is>
          <t>Coahuila</t>
        </is>
      </c>
      <c r="G8" s="6" t="inlineStr">
        <is>
          <t>si</t>
        </is>
      </c>
      <c r="H8" s="6" t="inlineStr">
        <is>
          <t>no</t>
        </is>
      </c>
      <c r="I8" s="11">
        <f>ROUND(SUMPRODUCT(('17 Georref extraccion'!$A$4:$A$96=A8)*('17 Georref extraccion'!$E$4:$E$96)^2),0)</f>
        <v/>
      </c>
      <c r="J8" s="11">
        <f>ROUND(I8-B8,0)</f>
        <v/>
      </c>
    </row>
    <row r="9">
      <c r="A9" s="9" t="inlineStr">
        <is>
          <t>plata</t>
        </is>
      </c>
      <c r="B9" s="9" t="n">
        <v>3022</v>
      </c>
      <c r="C9" s="9" t="n">
        <v>16</v>
      </c>
      <c r="D9" s="9" t="inlineStr">
        <is>
          <t>Zacatecas</t>
        </is>
      </c>
      <c r="E9" s="9" t="n">
        <v>50</v>
      </c>
      <c r="F9" s="8" t="inlineStr">
        <is>
          <t>Coahuila</t>
        </is>
      </c>
      <c r="G9" s="9" t="inlineStr">
        <is>
          <t>si</t>
        </is>
      </c>
      <c r="H9" s="9" t="inlineStr">
        <is>
          <t>no</t>
        </is>
      </c>
      <c r="I9" s="11">
        <f>ROUND(SUMPRODUCT(('17 Georref extraccion'!$A$4:$A$96=A9)*('17 Georref extraccion'!$E$4:$E$96)^2),0)</f>
        <v/>
      </c>
      <c r="J9" s="11">
        <f>ROUND(I9-B9,0)</f>
        <v/>
      </c>
    </row>
    <row r="10">
      <c r="A10" s="6" t="inlineStr">
        <is>
          <t>fluorita</t>
        </is>
      </c>
      <c r="B10" s="6" t="n">
        <v>9158</v>
      </c>
      <c r="C10" s="6" t="n">
        <v>3</v>
      </c>
      <c r="D10" s="6" t="inlineStr">
        <is>
          <t>San Luis Potosi</t>
        </is>
      </c>
      <c r="E10" s="6" t="n">
        <v>96</v>
      </c>
      <c r="F10" s="5" t="inlineStr">
        <is>
          <t>Tamaulipas</t>
        </is>
      </c>
      <c r="G10" s="6" t="inlineStr">
        <is>
          <t>si</t>
        </is>
      </c>
      <c r="H10" s="6" t="inlineStr">
        <is>
          <t>no</t>
        </is>
      </c>
      <c r="I10" s="11">
        <f>ROUND(SUMPRODUCT(('17 Georref extraccion'!$A$4:$A$96=A10)*('17 Georref extraccion'!$E$4:$E$96)^2),0)</f>
        <v/>
      </c>
      <c r="J10" s="11">
        <f>ROUND(I10-B10,0)</f>
        <v/>
      </c>
    </row>
    <row r="11">
      <c r="A11" s="9" t="inlineStr">
        <is>
          <t>grafito</t>
        </is>
      </c>
      <c r="B11" s="9" t="n">
        <v>10000</v>
      </c>
      <c r="C11" s="9" t="n">
        <v>1</v>
      </c>
      <c r="D11" s="9" t="inlineStr">
        <is>
          <t>Sonora</t>
        </is>
      </c>
      <c r="E11" s="9" t="n">
        <v>100</v>
      </c>
      <c r="F11" s="8" t="inlineStr">
        <is>
          <t>Michoacán</t>
        </is>
      </c>
      <c r="G11" s="9" t="inlineStr">
        <is>
          <t>no</t>
        </is>
      </c>
      <c r="H11" s="9" t="inlineStr">
        <is>
          <t>no</t>
        </is>
      </c>
      <c r="I11" s="11">
        <f>ROUND(SUMPRODUCT(('17 Georref extraccion'!$A$4:$A$96=A11)*('17 Georref extraccion'!$E$4:$E$96)^2),0)</f>
        <v/>
      </c>
      <c r="J11" s="11">
        <f>ROUND(I11-B11,0)</f>
        <v/>
      </c>
    </row>
    <row r="12">
      <c r="A12" s="6" t="inlineStr">
        <is>
          <t>barita</t>
        </is>
      </c>
      <c r="B12" s="6" t="n">
        <v>4907</v>
      </c>
      <c r="C12" s="6" t="n">
        <v>9</v>
      </c>
      <c r="D12" s="6" t="inlineStr">
        <is>
          <t>Nuevo Leon</t>
        </is>
      </c>
      <c r="E12" s="6" t="n">
        <v>59</v>
      </c>
      <c r="F12" s="5" t="inlineStr">
        <is>
          <t>Campeche</t>
        </is>
      </c>
      <c r="G12" s="6" t="inlineStr">
        <is>
          <t>no</t>
        </is>
      </c>
      <c r="H12" s="6" t="inlineStr">
        <is>
          <t>no</t>
        </is>
      </c>
      <c r="I12" s="11">
        <f>ROUND(SUMPRODUCT(('17 Georref extraccion'!$A$4:$A$96=A12)*('17 Georref extraccion'!$E$4:$E$96)^2),0)</f>
        <v/>
      </c>
      <c r="J12" s="11">
        <f>ROUND(I12-B12,0)</f>
        <v/>
      </c>
    </row>
    <row r="13">
      <c r="A13" s="9" t="inlineStr">
        <is>
          <t>silice</t>
        </is>
      </c>
      <c r="B13" s="9" t="n">
        <v>4258</v>
      </c>
      <c r="C13" s="9" t="n">
        <v>6</v>
      </c>
      <c r="D13" s="9" t="inlineStr">
        <is>
          <t>Coahuila</t>
        </is>
      </c>
      <c r="E13" s="9" t="n">
        <v>52</v>
      </c>
      <c r="F13" s="8" t="inlineStr">
        <is>
          <t>Nuevo León</t>
        </is>
      </c>
      <c r="G13" s="9" t="inlineStr">
        <is>
          <t>si</t>
        </is>
      </c>
      <c r="H13" s="9" t="inlineStr">
        <is>
          <t>no</t>
        </is>
      </c>
      <c r="I13" s="11">
        <f>ROUND(SUMPRODUCT(('17 Georref extraccion'!$A$4:$A$96=A13)*('17 Georref extraccion'!$E$4:$E$96)^2),0)</f>
        <v/>
      </c>
      <c r="J13" s="11">
        <f>ROUND(I13-B13,0)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6" customWidth="1" min="8" max="8"/>
    <col width="16" customWidth="1" min="9" max="9"/>
    <col width="18" customWidth="1" min="10" max="10"/>
    <col width="14" customWidth="1" min="11" max="11"/>
  </cols>
  <sheetData>
    <row r="1" ht="24" customHeight="1">
      <c r="A1" s="1" t="inlineStr">
        <is>
          <t>Ghosh estatal de la mineria (MIP Estatal INEGI 2018, intra-estatal)</t>
        </is>
      </c>
    </row>
    <row r="2" ht="40" customHeight="1">
      <c r="A2" s="2" t="inlineStr">
        <is>
          <t>Ghosh-Rasmussen intra-estatal por entidad (metodo identico al nacional, inversa de Ghosh sobre la MIP estatal; media estado=1). fuga_export_share = fraccion del arrastre del producto minero que sale del estado (de la descomposicion Ghosh, no un cociente simple). share_vbp_estatal_pct = peso de la mineria en la economia de CADA estado (no cuota del total nacional). Resultado del script; validado como el nacional.</t>
        </is>
      </c>
    </row>
    <row r="3">
      <c r="A3" s="3" t="inlineStr">
        <is>
          <t>estado</t>
        </is>
      </c>
      <c r="B3" s="3" t="inlineStr">
        <is>
          <t>abrev</t>
        </is>
      </c>
      <c r="C3" s="3" t="inlineStr">
        <is>
          <t>vbp_mineria_mdp</t>
        </is>
      </c>
      <c r="D3" s="3" t="inlineStr">
        <is>
          <t>share_vbp_estatal_pct</t>
        </is>
      </c>
      <c r="E3" s="3" t="inlineStr">
        <is>
          <t>forward_rowsum</t>
        </is>
      </c>
      <c r="F3" s="3" t="inlineStr">
        <is>
          <t>forward_rasmussen</t>
        </is>
      </c>
      <c r="G3" s="3" t="inlineStr">
        <is>
          <t>rank_forward_de_35</t>
        </is>
      </c>
      <c r="H3" s="3" t="inlineStr">
        <is>
          <t>backward_rasmussen</t>
        </is>
      </c>
      <c r="I3" s="3" t="inlineStr">
        <is>
          <t>fuga_export_share</t>
        </is>
      </c>
      <c r="J3" s="3" t="inlineStr">
        <is>
          <t>usa_intra_interm_mdp</t>
        </is>
      </c>
      <c r="K3" s="3" t="inlineStr">
        <is>
          <t>exporta_mdp</t>
        </is>
      </c>
    </row>
    <row r="4">
      <c r="A4" s="6" t="inlineStr">
        <is>
          <t>Sonora</t>
        </is>
      </c>
      <c r="B4" s="6" t="inlineStr">
        <is>
          <t>son</t>
        </is>
      </c>
      <c r="C4" s="6" t="n">
        <v>140608.2</v>
      </c>
      <c r="D4" s="6" t="n">
        <v>9.555999999999999</v>
      </c>
      <c r="E4" s="6" t="n">
        <v>1.7627</v>
      </c>
      <c r="F4" s="6" t="n">
        <v>1.4051</v>
      </c>
      <c r="G4" s="6" t="n">
        <v>2</v>
      </c>
      <c r="H4" s="6" t="n">
        <v>0.8120000000000001</v>
      </c>
      <c r="I4" s="6" t="n">
        <v>0.3863</v>
      </c>
      <c r="J4" s="6" t="n">
        <v>78693.8</v>
      </c>
      <c r="K4" s="6" t="n">
        <v>54312.9</v>
      </c>
    </row>
    <row r="5">
      <c r="A5" s="9" t="inlineStr">
        <is>
          <t>Coahuila</t>
        </is>
      </c>
      <c r="B5" s="9" t="inlineStr">
        <is>
          <t>coah</t>
        </is>
      </c>
      <c r="C5" s="9" t="n">
        <v>42338.9</v>
      </c>
      <c r="D5" s="9" t="n">
        <v>1.973</v>
      </c>
      <c r="E5" s="9" t="n">
        <v>1.9454</v>
      </c>
      <c r="F5" s="9" t="n">
        <v>1.6145</v>
      </c>
      <c r="G5" s="9" t="n">
        <v>1</v>
      </c>
      <c r="H5" s="9" t="n">
        <v>0.868</v>
      </c>
      <c r="I5" s="9" t="n">
        <v>0.3166</v>
      </c>
      <c r="J5" s="9" t="n">
        <v>28625.3</v>
      </c>
      <c r="K5" s="9" t="n">
        <v>13402.9</v>
      </c>
    </row>
    <row r="6">
      <c r="A6" s="6" t="inlineStr">
        <is>
          <t>Durango</t>
        </is>
      </c>
      <c r="B6" s="6" t="inlineStr">
        <is>
          <t>dgo</t>
        </is>
      </c>
      <c r="C6" s="6" t="n">
        <v>36058.7</v>
      </c>
      <c r="D6" s="6" t="n">
        <v>7.017</v>
      </c>
      <c r="E6" s="6" t="n">
        <v>1.2177</v>
      </c>
      <c r="F6" s="6" t="n">
        <v>1.0292</v>
      </c>
      <c r="G6" s="6" t="n">
        <v>9</v>
      </c>
      <c r="H6" s="6" t="n">
        <v>0.9867</v>
      </c>
      <c r="I6" s="6" t="n">
        <v>0.7697000000000001</v>
      </c>
      <c r="J6" s="6" t="n">
        <v>7148.7</v>
      </c>
      <c r="K6" s="6" t="n">
        <v>27754.9</v>
      </c>
    </row>
    <row r="7">
      <c r="A7" s="9" t="inlineStr">
        <is>
          <t>Zacatecas</t>
        </is>
      </c>
      <c r="B7" s="9" t="inlineStr">
        <is>
          <t>zac</t>
        </is>
      </c>
      <c r="C7" s="9" t="n">
        <v>34470.9</v>
      </c>
      <c r="D7" s="9" t="n">
        <v>10.215</v>
      </c>
      <c r="E7" s="9" t="n">
        <v>1.1265</v>
      </c>
      <c r="F7" s="9" t="n">
        <v>1.0446</v>
      </c>
      <c r="G7" s="9" t="n">
        <v>9</v>
      </c>
      <c r="H7" s="9" t="n">
        <v>0.8923</v>
      </c>
      <c r="I7" s="9" t="n">
        <v>0.8442</v>
      </c>
      <c r="J7" s="9" t="n">
        <v>4000.4</v>
      </c>
      <c r="K7" s="9" t="n">
        <v>29101.9</v>
      </c>
    </row>
    <row r="8">
      <c r="A8" s="6" t="inlineStr">
        <is>
          <t>Chihuahua</t>
        </is>
      </c>
      <c r="B8" s="6" t="inlineStr">
        <is>
          <t>chih</t>
        </is>
      </c>
      <c r="C8" s="6" t="n">
        <v>23906.3</v>
      </c>
      <c r="D8" s="6" t="n">
        <v>1.334</v>
      </c>
      <c r="E8" s="6" t="n">
        <v>1.126</v>
      </c>
      <c r="F8" s="6" t="n">
        <v>0.9647</v>
      </c>
      <c r="G8" s="6" t="n">
        <v>13</v>
      </c>
      <c r="H8" s="6" t="n">
        <v>0.9996</v>
      </c>
      <c r="I8" s="6" t="n">
        <v>0.8932</v>
      </c>
      <c r="J8" s="6" t="n">
        <v>2422.6</v>
      </c>
      <c r="K8" s="6" t="n">
        <v>21353.7</v>
      </c>
    </row>
    <row r="9">
      <c r="A9" s="9" t="inlineStr">
        <is>
          <t>San Luis Potosi</t>
        </is>
      </c>
      <c r="B9" s="9" t="inlineStr">
        <is>
          <t>slp</t>
        </is>
      </c>
      <c r="C9" s="9" t="n">
        <v>19628.6</v>
      </c>
      <c r="D9" s="9" t="n">
        <v>1.779</v>
      </c>
      <c r="E9" s="9" t="n">
        <v>1.6528</v>
      </c>
      <c r="F9" s="9" t="n">
        <v>1.3956</v>
      </c>
      <c r="G9" s="9" t="n">
        <v>1</v>
      </c>
      <c r="H9" s="9" t="n">
        <v>0.8783</v>
      </c>
      <c r="I9" s="9" t="n">
        <v>0.526</v>
      </c>
      <c r="J9" s="9" t="n">
        <v>9151.799999999999</v>
      </c>
      <c r="K9" s="9" t="n">
        <v>10324.8</v>
      </c>
    </row>
    <row r="10">
      <c r="A10" s="6" t="inlineStr">
        <is>
          <t>Jalisco</t>
        </is>
      </c>
      <c r="B10" s="6" t="inlineStr">
        <is>
          <t>jal</t>
        </is>
      </c>
      <c r="C10" s="6" t="n">
        <v>12982.8</v>
      </c>
      <c r="D10" s="6" t="n">
        <v>0.422</v>
      </c>
      <c r="E10" s="6" t="n">
        <v>1.2432</v>
      </c>
      <c r="F10" s="6" t="n">
        <v>1.0282</v>
      </c>
      <c r="G10" s="6" t="n">
        <v>13</v>
      </c>
      <c r="H10" s="6" t="n">
        <v>1.0094</v>
      </c>
      <c r="I10" s="6" t="n">
        <v>0.8043</v>
      </c>
      <c r="J10" s="6" t="n">
        <v>2512.5</v>
      </c>
      <c r="K10" s="6" t="n">
        <v>10442</v>
      </c>
    </row>
    <row r="11">
      <c r="A11" s="9" t="inlineStr">
        <is>
          <t>Nuevo Leon</t>
        </is>
      </c>
      <c r="B11" s="9" t="inlineStr">
        <is>
          <t>nl</t>
        </is>
      </c>
      <c r="C11" s="9" t="n">
        <v>11947.1</v>
      </c>
      <c r="D11" s="9" t="n">
        <v>0.328</v>
      </c>
      <c r="E11" s="9" t="n">
        <v>1.0725</v>
      </c>
      <c r="F11" s="9" t="n">
        <v>0.8828</v>
      </c>
      <c r="G11" s="9" t="n">
        <v>28</v>
      </c>
      <c r="H11" s="9" t="n">
        <v>1.0486</v>
      </c>
      <c r="I11" s="9" t="n">
        <v>0.9458</v>
      </c>
      <c r="J11" s="9" t="n">
        <v>635</v>
      </c>
      <c r="K11" s="9" t="n">
        <v>11299.2</v>
      </c>
    </row>
    <row r="12">
      <c r="A12" s="6" t="inlineStr">
        <is>
          <t>Guerrero</t>
        </is>
      </c>
      <c r="B12" s="6" t="inlineStr">
        <is>
          <t>gro</t>
        </is>
      </c>
      <c r="C12" s="6" t="n">
        <v>11208.4</v>
      </c>
      <c r="D12" s="6" t="n">
        <v>2.508</v>
      </c>
      <c r="E12" s="6" t="n">
        <v>1.1465</v>
      </c>
      <c r="F12" s="6" t="n">
        <v>1.0506</v>
      </c>
      <c r="G12" s="6" t="n">
        <v>9</v>
      </c>
      <c r="H12" s="6" t="n">
        <v>0.9135</v>
      </c>
      <c r="I12" s="6" t="n">
        <v>0.8658</v>
      </c>
      <c r="J12" s="6" t="n">
        <v>1432.6</v>
      </c>
      <c r="K12" s="6" t="n">
        <v>9704.700000000001</v>
      </c>
    </row>
    <row r="13">
      <c r="A13" s="9" t="inlineStr">
        <is>
          <t>Aguascalientes</t>
        </is>
      </c>
      <c r="B13" s="9" t="inlineStr">
        <is>
          <t>ags</t>
        </is>
      </c>
      <c r="C13" s="9" t="n">
        <v>9530.5</v>
      </c>
      <c r="D13" s="9" t="n">
        <v>1.486</v>
      </c>
      <c r="E13" s="9" t="n">
        <v>1.388</v>
      </c>
      <c r="F13" s="9" t="n">
        <v>1.2137</v>
      </c>
      <c r="G13" s="9" t="n">
        <v>3</v>
      </c>
      <c r="H13" s="9" t="n">
        <v>0.9116</v>
      </c>
      <c r="I13" s="9" t="n">
        <v>0.6966</v>
      </c>
      <c r="J13" s="9" t="n">
        <v>2807</v>
      </c>
      <c r="K13" s="9" t="n">
        <v>6639.1</v>
      </c>
    </row>
    <row r="14">
      <c r="A14" s="6" t="inlineStr">
        <is>
          <t>Baja California Sur</t>
        </is>
      </c>
      <c r="B14" s="6" t="inlineStr">
        <is>
          <t>bcs</t>
        </is>
      </c>
      <c r="C14" s="6" t="n">
        <v>8986.799999999999</v>
      </c>
      <c r="D14" s="6" t="n">
        <v>3.381</v>
      </c>
      <c r="E14" s="6" t="n">
        <v>1.2446</v>
      </c>
      <c r="F14" s="6" t="n">
        <v>1.1271</v>
      </c>
      <c r="G14" s="6" t="n">
        <v>6</v>
      </c>
      <c r="H14" s="6" t="n">
        <v>0.8914</v>
      </c>
      <c r="I14" s="6" t="n">
        <v>0.7696</v>
      </c>
      <c r="J14" s="6" t="n">
        <v>1944.7</v>
      </c>
      <c r="K14" s="6" t="n">
        <v>6916.2</v>
      </c>
    </row>
    <row r="15">
      <c r="A15" s="9" t="inlineStr">
        <is>
          <t>Michoacan</t>
        </is>
      </c>
      <c r="B15" s="9" t="inlineStr">
        <is>
          <t>mich</t>
        </is>
      </c>
      <c r="C15" s="9" t="n">
        <v>8896.6</v>
      </c>
      <c r="D15" s="9" t="n">
        <v>0.967</v>
      </c>
      <c r="E15" s="9" t="n">
        <v>1.2382</v>
      </c>
      <c r="F15" s="9" t="n">
        <v>1.1046</v>
      </c>
      <c r="G15" s="9" t="n">
        <v>5</v>
      </c>
      <c r="H15" s="9" t="n">
        <v>0.9799</v>
      </c>
      <c r="I15" s="9" t="n">
        <v>0.7839</v>
      </c>
      <c r="J15" s="9" t="n">
        <v>1893.8</v>
      </c>
      <c r="K15" s="9" t="n">
        <v>6974.2</v>
      </c>
    </row>
    <row r="16">
      <c r="A16" s="6" t="inlineStr">
        <is>
          <t>Mexico</t>
        </is>
      </c>
      <c r="B16" s="6" t="inlineStr">
        <is>
          <t>mex</t>
        </is>
      </c>
      <c r="C16" s="6" t="n">
        <v>8584.5</v>
      </c>
      <c r="D16" s="6" t="n">
        <v>0.229</v>
      </c>
      <c r="E16" s="6" t="n">
        <v>1.1104</v>
      </c>
      <c r="F16" s="6" t="n">
        <v>0.9527</v>
      </c>
      <c r="G16" s="6" t="n">
        <v>18</v>
      </c>
      <c r="H16" s="6" t="n">
        <v>0.9926</v>
      </c>
      <c r="I16" s="6" t="n">
        <v>0.9122</v>
      </c>
      <c r="J16" s="6" t="n">
        <v>744.2</v>
      </c>
      <c r="K16" s="6" t="n">
        <v>7830.3</v>
      </c>
    </row>
    <row r="17">
      <c r="A17" s="9" t="inlineStr">
        <is>
          <t>Veracruz</t>
        </is>
      </c>
      <c r="B17" s="9" t="inlineStr">
        <is>
          <t>ver</t>
        </is>
      </c>
      <c r="C17" s="9" t="n">
        <v>7749.3</v>
      </c>
      <c r="D17" s="9" t="n">
        <v>0.461</v>
      </c>
      <c r="E17" s="9" t="n">
        <v>1.2859</v>
      </c>
      <c r="F17" s="9" t="n">
        <v>1.0943</v>
      </c>
      <c r="G17" s="9" t="n">
        <v>9</v>
      </c>
      <c r="H17" s="9" t="n">
        <v>1.0427</v>
      </c>
      <c r="I17" s="9" t="n">
        <v>0.6692</v>
      </c>
      <c r="J17" s="9" t="n">
        <v>1734.9</v>
      </c>
      <c r="K17" s="9" t="n">
        <v>5186.2</v>
      </c>
    </row>
    <row r="18">
      <c r="A18" s="6" t="inlineStr">
        <is>
          <t>Hidalgo</t>
        </is>
      </c>
      <c r="B18" s="6" t="inlineStr">
        <is>
          <t>hgo</t>
        </is>
      </c>
      <c r="C18" s="6" t="n">
        <v>7493.7</v>
      </c>
      <c r="D18" s="6" t="n">
        <v>0.913</v>
      </c>
      <c r="E18" s="6" t="n">
        <v>1.3194</v>
      </c>
      <c r="F18" s="6" t="n">
        <v>1.1692</v>
      </c>
      <c r="G18" s="6" t="n">
        <v>5</v>
      </c>
      <c r="H18" s="6" t="n">
        <v>1.0761</v>
      </c>
      <c r="I18" s="6" t="n">
        <v>0.7579</v>
      </c>
      <c r="J18" s="6" t="n">
        <v>1789.8</v>
      </c>
      <c r="K18" s="6" t="n">
        <v>5679.7</v>
      </c>
    </row>
    <row r="19">
      <c r="A19" s="9" t="inlineStr">
        <is>
          <t>Sinaloa</t>
        </is>
      </c>
      <c r="B19" s="9" t="inlineStr">
        <is>
          <t>sin</t>
        </is>
      </c>
      <c r="C19" s="9" t="n">
        <v>6801.2</v>
      </c>
      <c r="D19" s="9" t="n">
        <v>0.873</v>
      </c>
      <c r="E19" s="9" t="n">
        <v>1.2056</v>
      </c>
      <c r="F19" s="9" t="n">
        <v>1.0316</v>
      </c>
      <c r="G19" s="9" t="n">
        <v>11</v>
      </c>
      <c r="H19" s="9" t="n">
        <v>0.9614</v>
      </c>
      <c r="I19" s="9" t="n">
        <v>0.8201000000000001</v>
      </c>
      <c r="J19" s="9" t="n">
        <v>1190.8</v>
      </c>
      <c r="K19" s="9" t="n">
        <v>5577.3</v>
      </c>
    </row>
    <row r="20">
      <c r="A20" s="6" t="inlineStr">
        <is>
          <t>Colima</t>
        </is>
      </c>
      <c r="B20" s="6" t="inlineStr">
        <is>
          <t>col</t>
        </is>
      </c>
      <c r="C20" s="6" t="n">
        <v>6548.1</v>
      </c>
      <c r="D20" s="6" t="n">
        <v>2.871</v>
      </c>
      <c r="E20" s="6" t="n">
        <v>1.2637</v>
      </c>
      <c r="F20" s="6" t="n">
        <v>1.14</v>
      </c>
      <c r="G20" s="6" t="n">
        <v>4</v>
      </c>
      <c r="H20" s="6" t="n">
        <v>0.9302</v>
      </c>
      <c r="I20" s="6" t="n">
        <v>0.7923</v>
      </c>
      <c r="J20" s="6" t="n">
        <v>1303.8</v>
      </c>
      <c r="K20" s="6" t="n">
        <v>5188</v>
      </c>
    </row>
    <row r="21">
      <c r="A21" s="9" t="inlineStr">
        <is>
          <t>Quintana Roo</t>
        </is>
      </c>
      <c r="B21" s="9" t="inlineStr">
        <is>
          <t>qr</t>
        </is>
      </c>
      <c r="C21" s="9" t="n">
        <v>6135.3</v>
      </c>
      <c r="D21" s="9" t="n">
        <v>1.194</v>
      </c>
      <c r="E21" s="9" t="n">
        <v>1.2321</v>
      </c>
      <c r="F21" s="9" t="n">
        <v>1.1183</v>
      </c>
      <c r="G21" s="9" t="n">
        <v>5</v>
      </c>
      <c r="H21" s="9" t="n">
        <v>0.8915999999999999</v>
      </c>
      <c r="I21" s="9" t="n">
        <v>0.7828000000000001</v>
      </c>
      <c r="J21" s="9" t="n">
        <v>1260.2</v>
      </c>
      <c r="K21" s="9" t="n">
        <v>4802.9</v>
      </c>
    </row>
    <row r="22">
      <c r="A22" s="6" t="inlineStr">
        <is>
          <t>Queretaro</t>
        </is>
      </c>
      <c r="B22" s="6" t="inlineStr">
        <is>
          <t>qro</t>
        </is>
      </c>
      <c r="C22" s="6" t="n">
        <v>6071.3</v>
      </c>
      <c r="D22" s="6" t="n">
        <v>0.503</v>
      </c>
      <c r="E22" s="6" t="n">
        <v>1.2031</v>
      </c>
      <c r="F22" s="6" t="n">
        <v>1.0287</v>
      </c>
      <c r="G22" s="6" t="n">
        <v>11</v>
      </c>
      <c r="H22" s="6" t="n">
        <v>0.9484</v>
      </c>
      <c r="I22" s="6" t="n">
        <v>0.8385</v>
      </c>
      <c r="J22" s="6" t="n">
        <v>969.7</v>
      </c>
      <c r="K22" s="6" t="n">
        <v>5090.7</v>
      </c>
    </row>
    <row r="23">
      <c r="A23" s="9" t="inlineStr">
        <is>
          <t>Guanajuato</t>
        </is>
      </c>
      <c r="B23" s="9" t="inlineStr">
        <is>
          <t>gto</t>
        </is>
      </c>
      <c r="C23" s="9" t="n">
        <v>5465.6</v>
      </c>
      <c r="D23" s="9" t="n">
        <v>0.255</v>
      </c>
      <c r="E23" s="9" t="n">
        <v>1.1513</v>
      </c>
      <c r="F23" s="9" t="n">
        <v>0.9807</v>
      </c>
      <c r="G23" s="9" t="n">
        <v>17</v>
      </c>
      <c r="H23" s="9" t="n">
        <v>1.0623</v>
      </c>
      <c r="I23" s="9" t="n">
        <v>0.8767</v>
      </c>
      <c r="J23" s="9" t="n">
        <v>668.5</v>
      </c>
      <c r="K23" s="9" t="n">
        <v>4791.9</v>
      </c>
    </row>
    <row r="24">
      <c r="A24" s="6" t="inlineStr">
        <is>
          <t>Yucatan</t>
        </is>
      </c>
      <c r="B24" s="6" t="inlineStr">
        <is>
          <t>yuc</t>
        </is>
      </c>
      <c r="C24" s="6" t="n">
        <v>5171.4</v>
      </c>
      <c r="D24" s="6" t="n">
        <v>0.93</v>
      </c>
      <c r="E24" s="6" t="n">
        <v>1.3121</v>
      </c>
      <c r="F24" s="6" t="n">
        <v>1.1413</v>
      </c>
      <c r="G24" s="6" t="n">
        <v>5</v>
      </c>
      <c r="H24" s="6" t="n">
        <v>0.9348</v>
      </c>
      <c r="I24" s="6" t="n">
        <v>0.7286</v>
      </c>
      <c r="J24" s="6" t="n">
        <v>1364.4</v>
      </c>
      <c r="K24" s="6" t="n">
        <v>3768.1</v>
      </c>
    </row>
    <row r="25">
      <c r="A25" s="9" t="inlineStr">
        <is>
          <t>Oaxaca</t>
        </is>
      </c>
      <c r="B25" s="9" t="inlineStr">
        <is>
          <t>oax</t>
        </is>
      </c>
      <c r="C25" s="9" t="n">
        <v>4309</v>
      </c>
      <c r="D25" s="9" t="n">
        <v>0.588</v>
      </c>
      <c r="E25" s="9" t="n">
        <v>1.1973</v>
      </c>
      <c r="F25" s="9" t="n">
        <v>1.0612</v>
      </c>
      <c r="G25" s="9" t="n">
        <v>10</v>
      </c>
      <c r="H25" s="9" t="n">
        <v>1.1085</v>
      </c>
      <c r="I25" s="9" t="n">
        <v>0.8421999999999999</v>
      </c>
      <c r="J25" s="9" t="n">
        <v>668.4</v>
      </c>
      <c r="K25" s="9" t="n">
        <v>3628.9</v>
      </c>
    </row>
    <row r="26">
      <c r="A26" s="6" t="inlineStr">
        <is>
          <t>Puebla</t>
        </is>
      </c>
      <c r="B26" s="6" t="inlineStr">
        <is>
          <t>pue</t>
        </is>
      </c>
      <c r="C26" s="6" t="n">
        <v>4097.9</v>
      </c>
      <c r="D26" s="6" t="n">
        <v>0.271</v>
      </c>
      <c r="E26" s="6" t="n">
        <v>1.1268</v>
      </c>
      <c r="F26" s="6" t="n">
        <v>0.9673</v>
      </c>
      <c r="G26" s="6" t="n">
        <v>15</v>
      </c>
      <c r="H26" s="6" t="n">
        <v>0.9806</v>
      </c>
      <c r="I26" s="6" t="n">
        <v>0.9062</v>
      </c>
      <c r="J26" s="6" t="n">
        <v>373</v>
      </c>
      <c r="K26" s="6" t="n">
        <v>3713.8</v>
      </c>
    </row>
    <row r="27">
      <c r="A27" s="9" t="inlineStr">
        <is>
          <t>Tabasco</t>
        </is>
      </c>
      <c r="B27" s="9" t="inlineStr">
        <is>
          <t>tab</t>
        </is>
      </c>
      <c r="C27" s="9" t="n">
        <v>3473.6</v>
      </c>
      <c r="D27" s="9" t="n">
        <v>0.482</v>
      </c>
      <c r="E27" s="9" t="n">
        <v>1.1907</v>
      </c>
      <c r="F27" s="9" t="n">
        <v>1.0615</v>
      </c>
      <c r="G27" s="9" t="n">
        <v>11</v>
      </c>
      <c r="H27" s="9" t="n">
        <v>0.9370000000000001</v>
      </c>
      <c r="I27" s="9" t="n">
        <v>0.7761</v>
      </c>
      <c r="J27" s="9" t="n">
        <v>513.2</v>
      </c>
      <c r="K27" s="9" t="n">
        <v>2695.8</v>
      </c>
    </row>
    <row r="28">
      <c r="A28" s="6" t="inlineStr">
        <is>
          <t>Baja California</t>
        </is>
      </c>
      <c r="B28" s="6" t="inlineStr">
        <is>
          <t>bc</t>
        </is>
      </c>
      <c r="C28" s="6" t="n">
        <v>2917</v>
      </c>
      <c r="D28" s="6" t="n">
        <v>0.169</v>
      </c>
      <c r="E28" s="6" t="n">
        <v>1.4255</v>
      </c>
      <c r="F28" s="6" t="n">
        <v>1.1675</v>
      </c>
      <c r="G28" s="6" t="n">
        <v>9</v>
      </c>
      <c r="H28" s="6" t="n">
        <v>1.0663</v>
      </c>
      <c r="I28" s="6" t="n">
        <v>0.6585</v>
      </c>
      <c r="J28" s="6" t="n">
        <v>991.5</v>
      </c>
      <c r="K28" s="6" t="n">
        <v>1920.8</v>
      </c>
    </row>
    <row r="29">
      <c r="A29" s="9" t="inlineStr">
        <is>
          <t>Nayarit</t>
        </is>
      </c>
      <c r="B29" s="9" t="inlineStr">
        <is>
          <t>nay</t>
        </is>
      </c>
      <c r="C29" s="9" t="n">
        <v>2491.4</v>
      </c>
      <c r="D29" s="9" t="n">
        <v>1.123</v>
      </c>
      <c r="E29" s="9" t="n">
        <v>1.1565</v>
      </c>
      <c r="F29" s="9" t="n">
        <v>1.0686</v>
      </c>
      <c r="G29" s="9" t="n">
        <v>7</v>
      </c>
      <c r="H29" s="9" t="n">
        <v>0.952</v>
      </c>
      <c r="I29" s="9" t="n">
        <v>0.8504</v>
      </c>
      <c r="J29" s="9" t="n">
        <v>363.1</v>
      </c>
      <c r="K29" s="9" t="n">
        <v>2118.7</v>
      </c>
    </row>
    <row r="30">
      <c r="A30" s="6" t="inlineStr">
        <is>
          <t>Chiapas</t>
        </is>
      </c>
      <c r="B30" s="6" t="inlineStr">
        <is>
          <t>chis</t>
        </is>
      </c>
      <c r="C30" s="6" t="n">
        <v>1486.3</v>
      </c>
      <c r="D30" s="6" t="n">
        <v>0.285</v>
      </c>
      <c r="E30" s="6" t="n">
        <v>1.1338</v>
      </c>
      <c r="F30" s="6" t="n">
        <v>0.997</v>
      </c>
      <c r="G30" s="6" t="n">
        <v>15</v>
      </c>
      <c r="H30" s="6" t="n">
        <v>1.002</v>
      </c>
      <c r="I30" s="6" t="n">
        <v>0.8622</v>
      </c>
      <c r="J30" s="6" t="n">
        <v>174.2</v>
      </c>
      <c r="K30" s="6" t="n">
        <v>1281.6</v>
      </c>
    </row>
    <row r="31">
      <c r="A31" s="9" t="inlineStr">
        <is>
          <t>Tamaulipas</t>
        </is>
      </c>
      <c r="B31" s="9" t="inlineStr">
        <is>
          <t>tamps</t>
        </is>
      </c>
      <c r="C31" s="9" t="n">
        <v>1038.9</v>
      </c>
      <c r="D31" s="9" t="n">
        <v>0.07000000000000001</v>
      </c>
      <c r="E31" s="9" t="n">
        <v>1.0292</v>
      </c>
      <c r="F31" s="9" t="n">
        <v>0.8833</v>
      </c>
      <c r="G31" s="9" t="n">
        <v>29</v>
      </c>
      <c r="H31" s="9" t="n">
        <v>1.1407</v>
      </c>
      <c r="I31" s="9" t="n">
        <v>0.9604</v>
      </c>
      <c r="J31" s="9" t="n">
        <v>26.3</v>
      </c>
      <c r="K31" s="9" t="n">
        <v>997.8</v>
      </c>
    </row>
    <row r="32">
      <c r="A32" s="6" t="inlineStr">
        <is>
          <t>Morelos</t>
        </is>
      </c>
      <c r="B32" s="6" t="inlineStr">
        <is>
          <t>mor</t>
        </is>
      </c>
      <c r="C32" s="6" t="n">
        <v>923.4</v>
      </c>
      <c r="D32" s="6" t="n">
        <v>0.206</v>
      </c>
      <c r="E32" s="6" t="n">
        <v>1.1225</v>
      </c>
      <c r="F32" s="6" t="n">
        <v>1.0215</v>
      </c>
      <c r="G32" s="6" t="n">
        <v>11</v>
      </c>
      <c r="H32" s="6" t="n">
        <v>1.0112</v>
      </c>
      <c r="I32" s="6" t="n">
        <v>0.8893</v>
      </c>
      <c r="J32" s="6" t="n">
        <v>101.7</v>
      </c>
      <c r="K32" s="6" t="n">
        <v>821.2</v>
      </c>
    </row>
    <row r="33">
      <c r="A33" s="9" t="inlineStr">
        <is>
          <t>Campeche</t>
        </is>
      </c>
      <c r="B33" s="9" t="inlineStr">
        <is>
          <t>camp</t>
        </is>
      </c>
      <c r="C33" s="9" t="n">
        <v>707.6</v>
      </c>
      <c r="D33" s="9" t="n">
        <v>0.083</v>
      </c>
      <c r="E33" s="9" t="n">
        <v>1.0551</v>
      </c>
      <c r="F33" s="9" t="n">
        <v>0.9785</v>
      </c>
      <c r="G33" s="9" t="n">
        <v>15</v>
      </c>
      <c r="H33" s="9" t="n">
        <v>1.0411</v>
      </c>
      <c r="I33" s="9" t="n">
        <v>0.9335</v>
      </c>
      <c r="J33" s="9" t="n">
        <v>37</v>
      </c>
      <c r="K33" s="9" t="n">
        <v>660.6</v>
      </c>
    </row>
    <row r="34">
      <c r="A34" s="6" t="inlineStr">
        <is>
          <t>Tlaxcala</t>
        </is>
      </c>
      <c r="B34" s="6" t="inlineStr">
        <is>
          <t>tlax</t>
        </is>
      </c>
      <c r="C34" s="6" t="n">
        <v>646.1</v>
      </c>
      <c r="D34" s="6" t="n">
        <v>0.247</v>
      </c>
      <c r="E34" s="6" t="n">
        <v>1.1074</v>
      </c>
      <c r="F34" s="6" t="n">
        <v>1.0047</v>
      </c>
      <c r="G34" s="6" t="n">
        <v>14</v>
      </c>
      <c r="H34" s="6" t="n">
        <v>1.0118</v>
      </c>
      <c r="I34" s="6" t="n">
        <v>0.9089</v>
      </c>
      <c r="J34" s="6" t="n">
        <v>58.5</v>
      </c>
      <c r="K34" s="6" t="n">
        <v>587.3</v>
      </c>
    </row>
    <row r="35">
      <c r="A35" s="9" t="inlineStr">
        <is>
          <t>Ciudad de Mexico</t>
        </is>
      </c>
      <c r="B35" s="9" t="inlineStr">
        <is>
          <t>cdmx</t>
        </is>
      </c>
      <c r="C35" s="9" t="n">
        <v>429.5</v>
      </c>
      <c r="D35" s="9" t="n">
        <v>0.008</v>
      </c>
      <c r="E35" s="9" t="n">
        <v>1.0004</v>
      </c>
      <c r="F35" s="9" t="n">
        <v>0.8863</v>
      </c>
      <c r="G35" s="9" t="n">
        <v>32</v>
      </c>
      <c r="H35" s="9" t="n">
        <v>1.2263</v>
      </c>
      <c r="I35" s="9" t="n">
        <v>0.9952</v>
      </c>
      <c r="J35" s="9" t="n">
        <v>0.2</v>
      </c>
      <c r="K35" s="9" t="n">
        <v>427.5</v>
      </c>
    </row>
    <row r="38">
      <c r="A38" s="12" t="inlineStr">
        <is>
          <t>Ghosh INTER-ESTATAL (MIP birregional 2018): descompone en intra / inter-estatal / final / export_abroad</t>
        </is>
      </c>
    </row>
    <row r="39">
      <c r="A39" s="3" t="inlineStr">
        <is>
          <t>estado</t>
        </is>
      </c>
      <c r="B39" s="3" t="inlineStr">
        <is>
          <t>abrev</t>
        </is>
      </c>
      <c r="C39" s="3" t="inlineStr">
        <is>
          <t>vbp_mineria_mdp</t>
        </is>
      </c>
      <c r="D39" s="3" t="inlineStr">
        <is>
          <t>intra_share</t>
        </is>
      </c>
      <c r="E39" s="3" t="inlineStr">
        <is>
          <t>inter_estatal_share</t>
        </is>
      </c>
      <c r="F39" s="3" t="inlineStr">
        <is>
          <t>final_nacional_share</t>
        </is>
      </c>
      <c r="G39" s="3" t="inlineStr">
        <is>
          <t>export_abroad_share</t>
        </is>
      </c>
      <c r="H39" s="3" t="inlineStr">
        <is>
          <t>encad_nacional_share</t>
        </is>
      </c>
      <c r="I39" s="3" t="inlineStr">
        <is>
          <t>forward_rasmussen_br</t>
        </is>
      </c>
      <c r="J39" s="13" t="inlineStr">
        <is>
          <t>suma shares (=1?)</t>
        </is>
      </c>
    </row>
    <row r="40">
      <c r="A40" s="6" t="inlineStr">
        <is>
          <t>Sonora</t>
        </is>
      </c>
      <c r="B40" s="6" t="inlineStr">
        <is>
          <t>son</t>
        </is>
      </c>
      <c r="C40" s="6" t="n">
        <v>140608.2</v>
      </c>
      <c r="D40" s="6" t="n">
        <v>0.5597</v>
      </c>
      <c r="E40" s="6" t="n">
        <v>0.1401</v>
      </c>
      <c r="F40" s="6" t="n">
        <v>0.0603</v>
      </c>
      <c r="G40" s="6" t="n">
        <v>0.2399</v>
      </c>
      <c r="H40" s="6" t="n">
        <v>0.6998</v>
      </c>
      <c r="I40" s="6" t="n">
        <v>1.3888</v>
      </c>
      <c r="J40" s="14">
        <f>ROUND(D40+E40+F40+G40,4)</f>
        <v/>
      </c>
    </row>
    <row r="41">
      <c r="A41" s="9" t="inlineStr">
        <is>
          <t>Coahuila</t>
        </is>
      </c>
      <c r="B41" s="9" t="inlineStr">
        <is>
          <t>coah</t>
        </is>
      </c>
      <c r="C41" s="9" t="n">
        <v>42338.9</v>
      </c>
      <c r="D41" s="9" t="n">
        <v>0.6761</v>
      </c>
      <c r="E41" s="9" t="n">
        <v>0.2498</v>
      </c>
      <c r="F41" s="9" t="n">
        <v>0.0323</v>
      </c>
      <c r="G41" s="9" t="n">
        <v>0.0418</v>
      </c>
      <c r="H41" s="9" t="n">
        <v>0.9258999999999999</v>
      </c>
      <c r="I41" s="9" t="n">
        <v>1.5885</v>
      </c>
      <c r="J41" s="14">
        <f>ROUND(D41+E41+F41+G41,4)</f>
        <v/>
      </c>
    </row>
    <row r="42">
      <c r="A42" s="6" t="inlineStr">
        <is>
          <t>Durango</t>
        </is>
      </c>
      <c r="B42" s="6" t="inlineStr">
        <is>
          <t>dgo</t>
        </is>
      </c>
      <c r="C42" s="6" t="n">
        <v>36058.7</v>
      </c>
      <c r="D42" s="6" t="n">
        <v>0.1983</v>
      </c>
      <c r="E42" s="6" t="n">
        <v>0.4587</v>
      </c>
      <c r="F42" s="6" t="n">
        <v>0.0547</v>
      </c>
      <c r="G42" s="6" t="n">
        <v>0.2884</v>
      </c>
      <c r="H42" s="6" t="n">
        <v>0.6569</v>
      </c>
      <c r="I42" s="6" t="n">
        <v>1.3046</v>
      </c>
      <c r="J42" s="14">
        <f>ROUND(D42+E42+F42+G42,4)</f>
        <v/>
      </c>
    </row>
    <row r="43">
      <c r="A43" s="9" t="inlineStr">
        <is>
          <t>Zacatecas</t>
        </is>
      </c>
      <c r="B43" s="9" t="inlineStr">
        <is>
          <t>zac</t>
        </is>
      </c>
      <c r="C43" s="9" t="n">
        <v>34470.9</v>
      </c>
      <c r="D43" s="9" t="n">
        <v>0.1161</v>
      </c>
      <c r="E43" s="9" t="n">
        <v>0.2975</v>
      </c>
      <c r="F43" s="9" t="n">
        <v>0.0564</v>
      </c>
      <c r="G43" s="9" t="n">
        <v>0.5301</v>
      </c>
      <c r="H43" s="9" t="n">
        <v>0.4135</v>
      </c>
      <c r="I43" s="9" t="n">
        <v>1.074</v>
      </c>
      <c r="J43" s="14">
        <f>ROUND(D43+E43+F43+G43,4)</f>
        <v/>
      </c>
    </row>
    <row r="44">
      <c r="A44" s="6" t="inlineStr">
        <is>
          <t>Chihuahua</t>
        </is>
      </c>
      <c r="B44" s="6" t="inlineStr">
        <is>
          <t>chih</t>
        </is>
      </c>
      <c r="C44" s="6" t="n">
        <v>23906.3</v>
      </c>
      <c r="D44" s="6" t="n">
        <v>0.1013</v>
      </c>
      <c r="E44" s="6" t="n">
        <v>0.1169</v>
      </c>
      <c r="F44" s="6" t="n">
        <v>0.0244</v>
      </c>
      <c r="G44" s="6" t="n">
        <v>0.7574</v>
      </c>
      <c r="H44" s="6" t="n">
        <v>0.2182</v>
      </c>
      <c r="I44" s="6" t="n">
        <v>0.9202</v>
      </c>
      <c r="J44" s="14">
        <f>ROUND(D44+E44+F44+G44,4)</f>
        <v/>
      </c>
    </row>
    <row r="45">
      <c r="A45" s="9" t="inlineStr">
        <is>
          <t>San Luis Potosi</t>
        </is>
      </c>
      <c r="B45" s="9" t="inlineStr">
        <is>
          <t>slp</t>
        </is>
      </c>
      <c r="C45" s="9" t="n">
        <v>19628.6</v>
      </c>
      <c r="D45" s="9" t="n">
        <v>0.4662</v>
      </c>
      <c r="E45" s="9" t="n">
        <v>0.4774</v>
      </c>
      <c r="F45" s="9" t="n">
        <v>0.0433</v>
      </c>
      <c r="G45" s="9" t="n">
        <v>0.013</v>
      </c>
      <c r="H45" s="9" t="n">
        <v>0.9437</v>
      </c>
      <c r="I45" s="9" t="n">
        <v>1.6501</v>
      </c>
      <c r="J45" s="14">
        <f>ROUND(D45+E45+F45+G45,4)</f>
        <v/>
      </c>
    </row>
    <row r="46">
      <c r="A46" s="6" t="inlineStr">
        <is>
          <t>Jalisco</t>
        </is>
      </c>
      <c r="B46" s="6" t="inlineStr">
        <is>
          <t>jal</t>
        </is>
      </c>
      <c r="C46" s="6" t="n">
        <v>12982.8</v>
      </c>
      <c r="D46" s="6" t="n">
        <v>0.1935</v>
      </c>
      <c r="E46" s="6" t="n">
        <v>0.7512</v>
      </c>
      <c r="F46" s="6" t="n">
        <v>0.0504</v>
      </c>
      <c r="G46" s="6" t="n">
        <v>0.0048</v>
      </c>
      <c r="H46" s="6" t="n">
        <v>0.9447</v>
      </c>
      <c r="I46" s="6" t="n">
        <v>1.6597</v>
      </c>
      <c r="J46" s="14">
        <f>ROUND(D46+E46+F46+G46,4)</f>
        <v/>
      </c>
    </row>
    <row r="47">
      <c r="A47" s="9" t="inlineStr">
        <is>
          <t>Nuevo Leon</t>
        </is>
      </c>
      <c r="B47" s="9" t="inlineStr">
        <is>
          <t>nl</t>
        </is>
      </c>
      <c r="C47" s="9" t="n">
        <v>11947.1</v>
      </c>
      <c r="D47" s="9" t="n">
        <v>0.0531</v>
      </c>
      <c r="E47" s="9" t="n">
        <v>0.9137</v>
      </c>
      <c r="F47" s="9" t="n">
        <v>0.0291</v>
      </c>
      <c r="G47" s="9" t="n">
        <v>0.0041</v>
      </c>
      <c r="H47" s="9" t="n">
        <v>0.9668</v>
      </c>
      <c r="I47" s="9" t="n">
        <v>1.6245</v>
      </c>
      <c r="J47" s="14">
        <f>ROUND(D47+E47+F47+G47,4)</f>
        <v/>
      </c>
    </row>
    <row r="48">
      <c r="A48" s="6" t="inlineStr">
        <is>
          <t>Guerrero</t>
        </is>
      </c>
      <c r="B48" s="6" t="inlineStr">
        <is>
          <t>gro</t>
        </is>
      </c>
      <c r="C48" s="6" t="n">
        <v>11208.4</v>
      </c>
      <c r="D48" s="6" t="n">
        <v>0.1278</v>
      </c>
      <c r="E48" s="6" t="n">
        <v>0.257</v>
      </c>
      <c r="F48" s="6" t="n">
        <v>0.027</v>
      </c>
      <c r="G48" s="6" t="n">
        <v>0.5881</v>
      </c>
      <c r="H48" s="6" t="n">
        <v>0.3848</v>
      </c>
      <c r="I48" s="6" t="n">
        <v>1.0758</v>
      </c>
      <c r="J48" s="14">
        <f>ROUND(D48+E48+F48+G48,4)</f>
        <v/>
      </c>
    </row>
    <row r="49">
      <c r="A49" s="9" t="inlineStr">
        <is>
          <t>Aguascalientes</t>
        </is>
      </c>
      <c r="B49" s="9" t="inlineStr">
        <is>
          <t>ags</t>
        </is>
      </c>
      <c r="C49" s="9" t="n">
        <v>9530.5</v>
      </c>
      <c r="D49" s="9" t="n">
        <v>0.2945</v>
      </c>
      <c r="E49" s="9" t="n">
        <v>0.6323</v>
      </c>
      <c r="F49" s="9" t="n">
        <v>0.0616</v>
      </c>
      <c r="G49" s="9" t="n">
        <v>0.0116</v>
      </c>
      <c r="H49" s="9" t="n">
        <v>0.9268</v>
      </c>
      <c r="I49" s="9" t="n">
        <v>1.6675</v>
      </c>
      <c r="J49" s="14">
        <f>ROUND(D49+E49+F49+G49,4)</f>
        <v/>
      </c>
    </row>
    <row r="50">
      <c r="A50" s="6" t="inlineStr">
        <is>
          <t>Baja California Sur</t>
        </is>
      </c>
      <c r="B50" s="6" t="inlineStr">
        <is>
          <t>bcs</t>
        </is>
      </c>
      <c r="C50" s="6" t="n">
        <v>8986.799999999999</v>
      </c>
      <c r="D50" s="6" t="n">
        <v>0.2164</v>
      </c>
      <c r="E50" s="6" t="n">
        <v>0.4414</v>
      </c>
      <c r="F50" s="6" t="n">
        <v>0.0471</v>
      </c>
      <c r="G50" s="6" t="n">
        <v>0.2951</v>
      </c>
      <c r="H50" s="6" t="n">
        <v>0.6578000000000001</v>
      </c>
      <c r="I50" s="6" t="n">
        <v>1.3218</v>
      </c>
      <c r="J50" s="14">
        <f>ROUND(D50+E50+F50+G50,4)</f>
        <v/>
      </c>
    </row>
    <row r="51">
      <c r="A51" s="9" t="inlineStr">
        <is>
          <t>Michoacan</t>
        </is>
      </c>
      <c r="B51" s="9" t="inlineStr">
        <is>
          <t>mich</t>
        </is>
      </c>
      <c r="C51" s="9" t="n">
        <v>8896.6</v>
      </c>
      <c r="D51" s="9" t="n">
        <v>0.2129</v>
      </c>
      <c r="E51" s="9" t="n">
        <v>0.6408</v>
      </c>
      <c r="F51" s="9" t="n">
        <v>0.0407</v>
      </c>
      <c r="G51" s="9" t="n">
        <v>0.1056</v>
      </c>
      <c r="H51" s="9" t="n">
        <v>0.8537</v>
      </c>
      <c r="I51" s="9" t="n">
        <v>1.6094</v>
      </c>
      <c r="J51" s="14">
        <f>ROUND(D51+E51+F51+G51,4)</f>
        <v/>
      </c>
    </row>
    <row r="52">
      <c r="A52" s="6" t="inlineStr">
        <is>
          <t>Mexico</t>
        </is>
      </c>
      <c r="B52" s="6" t="inlineStr">
        <is>
          <t>mex</t>
        </is>
      </c>
      <c r="C52" s="6" t="n">
        <v>8584.5</v>
      </c>
      <c r="D52" s="6" t="n">
        <v>0.0867</v>
      </c>
      <c r="E52" s="6" t="n">
        <v>0.8534</v>
      </c>
      <c r="F52" s="6" t="n">
        <v>0.0468</v>
      </c>
      <c r="G52" s="6" t="n">
        <v>0.0131</v>
      </c>
      <c r="H52" s="6" t="n">
        <v>0.9401</v>
      </c>
      <c r="I52" s="6" t="n">
        <v>1.6415</v>
      </c>
      <c r="J52" s="14">
        <f>ROUND(D52+E52+F52+G52,4)</f>
        <v/>
      </c>
    </row>
    <row r="53">
      <c r="A53" s="9" t="inlineStr">
        <is>
          <t>Veracruz</t>
        </is>
      </c>
      <c r="B53" s="9" t="inlineStr">
        <is>
          <t>ver</t>
        </is>
      </c>
      <c r="C53" s="9" t="n">
        <v>7749.3</v>
      </c>
      <c r="D53" s="9" t="n">
        <v>0.2239</v>
      </c>
      <c r="E53" s="9" t="n">
        <v>0.645</v>
      </c>
      <c r="F53" s="9" t="n">
        <v>0.1311</v>
      </c>
      <c r="G53" s="9" t="n">
        <v>0</v>
      </c>
      <c r="H53" s="9" t="n">
        <v>0.8689</v>
      </c>
      <c r="I53" s="9" t="n">
        <v>1.557</v>
      </c>
      <c r="J53" s="14">
        <f>ROUND(D53+E53+F53+G53,4)</f>
        <v/>
      </c>
    </row>
    <row r="54">
      <c r="A54" s="6" t="inlineStr">
        <is>
          <t>Hidalgo</t>
        </is>
      </c>
      <c r="B54" s="6" t="inlineStr">
        <is>
          <t>hgo</t>
        </is>
      </c>
      <c r="C54" s="6" t="n">
        <v>7493.7</v>
      </c>
      <c r="D54" s="6" t="n">
        <v>0.2388</v>
      </c>
      <c r="E54" s="6" t="n">
        <v>0.7134</v>
      </c>
      <c r="F54" s="6" t="n">
        <v>0.0478</v>
      </c>
      <c r="G54" s="6" t="n">
        <v>0</v>
      </c>
      <c r="H54" s="6" t="n">
        <v>0.9522</v>
      </c>
      <c r="I54" s="6" t="n">
        <v>1.6959</v>
      </c>
      <c r="J54" s="14">
        <f>ROUND(D54+E54+F54+G54,4)</f>
        <v/>
      </c>
    </row>
    <row r="55">
      <c r="A55" s="9" t="inlineStr">
        <is>
          <t>Sinaloa</t>
        </is>
      </c>
      <c r="B55" s="9" t="inlineStr">
        <is>
          <t>sin</t>
        </is>
      </c>
      <c r="C55" s="9" t="n">
        <v>6801.2</v>
      </c>
      <c r="D55" s="9" t="n">
        <v>0.1751</v>
      </c>
      <c r="E55" s="9" t="n">
        <v>0.6647999999999999</v>
      </c>
      <c r="F55" s="9" t="n">
        <v>0.0603</v>
      </c>
      <c r="G55" s="9" t="n">
        <v>0.0998</v>
      </c>
      <c r="H55" s="9" t="n">
        <v>0.8399</v>
      </c>
      <c r="I55" s="9" t="n">
        <v>1.5549</v>
      </c>
      <c r="J55" s="14">
        <f>ROUND(D55+E55+F55+G55,4)</f>
        <v/>
      </c>
    </row>
    <row r="56">
      <c r="A56" s="6" t="inlineStr">
        <is>
          <t>Colima</t>
        </is>
      </c>
      <c r="B56" s="6" t="inlineStr">
        <is>
          <t>col</t>
        </is>
      </c>
      <c r="C56" s="6" t="n">
        <v>6548.1</v>
      </c>
      <c r="D56" s="6" t="n">
        <v>0.1991</v>
      </c>
      <c r="E56" s="6" t="n">
        <v>0.3591</v>
      </c>
      <c r="F56" s="6" t="n">
        <v>0.038</v>
      </c>
      <c r="G56" s="6" t="n">
        <v>0.4038</v>
      </c>
      <c r="H56" s="6" t="n">
        <v>0.5582</v>
      </c>
      <c r="I56" s="6" t="n">
        <v>1.2611</v>
      </c>
      <c r="J56" s="14">
        <f>ROUND(D56+E56+F56+G56,4)</f>
        <v/>
      </c>
    </row>
    <row r="57">
      <c r="A57" s="9" t="inlineStr">
        <is>
          <t>Quintana Roo</t>
        </is>
      </c>
      <c r="B57" s="9" t="inlineStr">
        <is>
          <t>qr</t>
        </is>
      </c>
      <c r="C57" s="9" t="n">
        <v>6135.3</v>
      </c>
      <c r="D57" s="9" t="n">
        <v>0.2054</v>
      </c>
      <c r="E57" s="9" t="n">
        <v>0.7425</v>
      </c>
      <c r="F57" s="9" t="n">
        <v>0.0521</v>
      </c>
      <c r="G57" s="9" t="n">
        <v>0</v>
      </c>
      <c r="H57" s="9" t="n">
        <v>0.9479</v>
      </c>
      <c r="I57" s="9" t="n">
        <v>1.6158</v>
      </c>
      <c r="J57" s="14">
        <f>ROUND(D57+E57+F57+G57,4)</f>
        <v/>
      </c>
    </row>
    <row r="58">
      <c r="A58" s="6" t="inlineStr">
        <is>
          <t>Queretaro</t>
        </is>
      </c>
      <c r="B58" s="6" t="inlineStr">
        <is>
          <t>qro</t>
        </is>
      </c>
      <c r="C58" s="6" t="n">
        <v>6071.3</v>
      </c>
      <c r="D58" s="6" t="n">
        <v>0.1597</v>
      </c>
      <c r="E58" s="6" t="n">
        <v>0.7863</v>
      </c>
      <c r="F58" s="6" t="n">
        <v>0.0443</v>
      </c>
      <c r="G58" s="6" t="n">
        <v>0.009599999999999999</v>
      </c>
      <c r="H58" s="6" t="n">
        <v>0.946</v>
      </c>
      <c r="I58" s="6" t="n">
        <v>1.645</v>
      </c>
      <c r="J58" s="14">
        <f>ROUND(D58+E58+F58+G58,4)</f>
        <v/>
      </c>
    </row>
    <row r="59">
      <c r="A59" s="9" t="inlineStr">
        <is>
          <t>Guanajuato</t>
        </is>
      </c>
      <c r="B59" s="9" t="inlineStr">
        <is>
          <t>gto</t>
        </is>
      </c>
      <c r="C59" s="9" t="n">
        <v>5465.6</v>
      </c>
      <c r="D59" s="9" t="n">
        <v>0.1223</v>
      </c>
      <c r="E59" s="9" t="n">
        <v>0.8235</v>
      </c>
      <c r="F59" s="9" t="n">
        <v>0.0462</v>
      </c>
      <c r="G59" s="9" t="n">
        <v>0.007900000000000001</v>
      </c>
      <c r="H59" s="9" t="n">
        <v>0.9458</v>
      </c>
      <c r="I59" s="9" t="n">
        <v>1.6572</v>
      </c>
      <c r="J59" s="14">
        <f>ROUND(D59+E59+F59+G59,4)</f>
        <v/>
      </c>
    </row>
    <row r="60">
      <c r="A60" s="6" t="inlineStr">
        <is>
          <t>Yucatan</t>
        </is>
      </c>
      <c r="B60" s="6" t="inlineStr">
        <is>
          <t>yuc</t>
        </is>
      </c>
      <c r="C60" s="6" t="n">
        <v>5171.4</v>
      </c>
      <c r="D60" s="6" t="n">
        <v>0.2638</v>
      </c>
      <c r="E60" s="6" t="n">
        <v>0.6949</v>
      </c>
      <c r="F60" s="6" t="n">
        <v>0.0412</v>
      </c>
      <c r="G60" s="6" t="n">
        <v>0</v>
      </c>
      <c r="H60" s="6" t="n">
        <v>0.9588</v>
      </c>
      <c r="I60" s="6" t="n">
        <v>1.6671</v>
      </c>
      <c r="J60" s="14">
        <f>ROUND(D60+E60+F60+G60,4)</f>
        <v/>
      </c>
    </row>
    <row r="61">
      <c r="A61" s="9" t="inlineStr">
        <is>
          <t>Oaxaca</t>
        </is>
      </c>
      <c r="B61" s="9" t="inlineStr">
        <is>
          <t>oax</t>
        </is>
      </c>
      <c r="C61" s="9" t="n">
        <v>4309</v>
      </c>
      <c r="D61" s="9" t="n">
        <v>0.1551</v>
      </c>
      <c r="E61" s="9" t="n">
        <v>0.7911</v>
      </c>
      <c r="F61" s="9" t="n">
        <v>0.0474</v>
      </c>
      <c r="G61" s="9" t="n">
        <v>0.0064</v>
      </c>
      <c r="H61" s="9" t="n">
        <v>0.9462</v>
      </c>
      <c r="I61" s="9" t="n">
        <v>1.7016</v>
      </c>
      <c r="J61" s="14">
        <f>ROUND(D61+E61+F61+G61,4)</f>
        <v/>
      </c>
    </row>
    <row r="62">
      <c r="A62" s="6" t="inlineStr">
        <is>
          <t>Puebla</t>
        </is>
      </c>
      <c r="B62" s="6" t="inlineStr">
        <is>
          <t>pue</t>
        </is>
      </c>
      <c r="C62" s="6" t="n">
        <v>4097.9</v>
      </c>
      <c r="D62" s="6" t="n">
        <v>0.091</v>
      </c>
      <c r="E62" s="6" t="n">
        <v>0.8646</v>
      </c>
      <c r="F62" s="6" t="n">
        <v>0.0439</v>
      </c>
      <c r="G62" s="6" t="n">
        <v>0.0005</v>
      </c>
      <c r="H62" s="6" t="n">
        <v>0.9556</v>
      </c>
      <c r="I62" s="6" t="n">
        <v>1.6585</v>
      </c>
      <c r="J62" s="14">
        <f>ROUND(D62+E62+F62+G62,4)</f>
        <v/>
      </c>
    </row>
    <row r="63">
      <c r="A63" s="9" t="inlineStr">
        <is>
          <t>Tabasco</t>
        </is>
      </c>
      <c r="B63" s="9" t="inlineStr">
        <is>
          <t>tab</t>
        </is>
      </c>
      <c r="C63" s="9" t="n">
        <v>3473.6</v>
      </c>
      <c r="D63" s="9" t="n">
        <v>0.1478</v>
      </c>
      <c r="E63" s="9" t="n">
        <v>0.769</v>
      </c>
      <c r="F63" s="9" t="n">
        <v>0.0832</v>
      </c>
      <c r="G63" s="9" t="n">
        <v>0</v>
      </c>
      <c r="H63" s="9" t="n">
        <v>0.9167999999999999</v>
      </c>
      <c r="I63" s="9" t="n">
        <v>1.5996</v>
      </c>
      <c r="J63" s="14">
        <f>ROUND(D63+E63+F63+G63,4)</f>
        <v/>
      </c>
    </row>
    <row r="64">
      <c r="A64" s="6" t="inlineStr">
        <is>
          <t>Baja California</t>
        </is>
      </c>
      <c r="B64" s="6" t="inlineStr">
        <is>
          <t>bc</t>
        </is>
      </c>
      <c r="C64" s="6" t="n">
        <v>2917</v>
      </c>
      <c r="D64" s="6" t="n">
        <v>0.3399</v>
      </c>
      <c r="E64" s="6" t="n">
        <v>0.5764</v>
      </c>
      <c r="F64" s="6" t="n">
        <v>0.0557</v>
      </c>
      <c r="G64" s="6" t="n">
        <v>0.0281</v>
      </c>
      <c r="H64" s="6" t="n">
        <v>0.9163</v>
      </c>
      <c r="I64" s="6" t="n">
        <v>1.6418</v>
      </c>
      <c r="J64" s="14">
        <f>ROUND(D64+E64+F64+G64,4)</f>
        <v/>
      </c>
    </row>
    <row r="65">
      <c r="A65" s="9" t="inlineStr">
        <is>
          <t>Nayarit</t>
        </is>
      </c>
      <c r="B65" s="9" t="inlineStr">
        <is>
          <t>nay</t>
        </is>
      </c>
      <c r="C65" s="9" t="n">
        <v>2491.4</v>
      </c>
      <c r="D65" s="9" t="n">
        <v>0.1457</v>
      </c>
      <c r="E65" s="9" t="n">
        <v>0.7855</v>
      </c>
      <c r="F65" s="9" t="n">
        <v>0.0466</v>
      </c>
      <c r="G65" s="9" t="n">
        <v>0.0221</v>
      </c>
      <c r="H65" s="9" t="n">
        <v>0.9313</v>
      </c>
      <c r="I65" s="9" t="n">
        <v>1.6651</v>
      </c>
      <c r="J65" s="14">
        <f>ROUND(D65+E65+F65+G65,4)</f>
        <v/>
      </c>
    </row>
    <row r="66">
      <c r="A66" s="6" t="inlineStr">
        <is>
          <t>Chiapas</t>
        </is>
      </c>
      <c r="B66" s="6" t="inlineStr">
        <is>
          <t>chis</t>
        </is>
      </c>
      <c r="C66" s="6" t="n">
        <v>1486.3</v>
      </c>
      <c r="D66" s="6" t="n">
        <v>0.1172</v>
      </c>
      <c r="E66" s="6" t="n">
        <v>0.8308</v>
      </c>
      <c r="F66" s="6" t="n">
        <v>0.0521</v>
      </c>
      <c r="G66" s="6" t="n">
        <v>0</v>
      </c>
      <c r="H66" s="6" t="n">
        <v>0.9479</v>
      </c>
      <c r="I66" s="6" t="n">
        <v>1.6672</v>
      </c>
      <c r="J66" s="14">
        <f>ROUND(D66+E66+F66+G66,4)</f>
        <v/>
      </c>
    </row>
    <row r="67">
      <c r="A67" s="9" t="inlineStr">
        <is>
          <t>Tamaulipas</t>
        </is>
      </c>
      <c r="B67" s="9" t="inlineStr">
        <is>
          <t>tamps</t>
        </is>
      </c>
      <c r="C67" s="9" t="n">
        <v>1038.9</v>
      </c>
      <c r="D67" s="9" t="n">
        <v>0.0253</v>
      </c>
      <c r="E67" s="9" t="n">
        <v>0.9481000000000001</v>
      </c>
      <c r="F67" s="9" t="n">
        <v>0.0265</v>
      </c>
      <c r="G67" s="9" t="n">
        <v>0</v>
      </c>
      <c r="H67" s="9" t="n">
        <v>0.9735</v>
      </c>
      <c r="I67" s="9" t="n">
        <v>1.6836</v>
      </c>
      <c r="J67" s="14">
        <f>ROUND(D67+E67+F67+G67,4)</f>
        <v/>
      </c>
    </row>
    <row r="68">
      <c r="A68" s="6" t="inlineStr">
        <is>
          <t>Morelos</t>
        </is>
      </c>
      <c r="B68" s="6" t="inlineStr">
        <is>
          <t>mor</t>
        </is>
      </c>
      <c r="C68" s="6" t="n">
        <v>923.4</v>
      </c>
      <c r="D68" s="6" t="n">
        <v>0.1101</v>
      </c>
      <c r="E68" s="6" t="n">
        <v>0.8315</v>
      </c>
      <c r="F68" s="6" t="n">
        <v>0.0584</v>
      </c>
      <c r="G68" s="6" t="n">
        <v>0</v>
      </c>
      <c r="H68" s="6" t="n">
        <v>0.9416</v>
      </c>
      <c r="I68" s="6" t="n">
        <v>1.6889</v>
      </c>
      <c r="J68" s="14">
        <f>ROUND(D68+E68+F68+G68,4)</f>
        <v/>
      </c>
    </row>
    <row r="69">
      <c r="A69" s="9" t="inlineStr">
        <is>
          <t>Campeche</t>
        </is>
      </c>
      <c r="B69" s="9" t="inlineStr">
        <is>
          <t>camp</t>
        </is>
      </c>
      <c r="C69" s="9" t="n">
        <v>707.6</v>
      </c>
      <c r="D69" s="9" t="n">
        <v>0.0523</v>
      </c>
      <c r="E69" s="9" t="n">
        <v>0.9267</v>
      </c>
      <c r="F69" s="9" t="n">
        <v>0.021</v>
      </c>
      <c r="G69" s="9" t="n">
        <v>0</v>
      </c>
      <c r="H69" s="9" t="n">
        <v>0.979</v>
      </c>
      <c r="I69" s="9" t="n">
        <v>1.6159</v>
      </c>
      <c r="J69" s="14">
        <f>ROUND(D69+E69+F69+G69,4)</f>
        <v/>
      </c>
    </row>
    <row r="70">
      <c r="A70" s="6" t="inlineStr">
        <is>
          <t>Tlaxcala</t>
        </is>
      </c>
      <c r="B70" s="6" t="inlineStr">
        <is>
          <t>tlax</t>
        </is>
      </c>
      <c r="C70" s="6" t="n">
        <v>646.1</v>
      </c>
      <c r="D70" s="6" t="n">
        <v>0.0906</v>
      </c>
      <c r="E70" s="6" t="n">
        <v>0.8621</v>
      </c>
      <c r="F70" s="6" t="n">
        <v>0.0473</v>
      </c>
      <c r="G70" s="6" t="n">
        <v>0</v>
      </c>
      <c r="H70" s="6" t="n">
        <v>0.9527</v>
      </c>
      <c r="I70" s="6" t="n">
        <v>1.7351</v>
      </c>
      <c r="J70" s="14">
        <f>ROUND(D70+E70+F70+G70,4)</f>
        <v/>
      </c>
    </row>
    <row r="71">
      <c r="A71" s="9" t="inlineStr">
        <is>
          <t>Ciudad de Mexico</t>
        </is>
      </c>
      <c r="B71" s="9" t="inlineStr">
        <is>
          <t>cdmx</t>
        </is>
      </c>
      <c r="C71" s="9" t="n">
        <v>429.5</v>
      </c>
      <c r="D71" s="9" t="n">
        <v>0.0004</v>
      </c>
      <c r="E71" s="9" t="n">
        <v>0.4019</v>
      </c>
      <c r="F71" s="9" t="n">
        <v>0.5977</v>
      </c>
      <c r="G71" s="9" t="n">
        <v>0</v>
      </c>
      <c r="H71" s="9" t="n">
        <v>0.4023</v>
      </c>
      <c r="I71" s="9" t="n">
        <v>1.077</v>
      </c>
      <c r="J71" s="14">
        <f>ROUND(D71+E71+F71+G71,4)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16" customWidth="1" min="4" max="4"/>
    <col width="14" customWidth="1" min="5" max="5"/>
  </cols>
  <sheetData>
    <row r="1" ht="24" customHeight="1">
      <c r="A1" s="1" t="inlineStr">
        <is>
          <t>Comercio - posicion por etapa (X_share_crudo, 1992-2024)</t>
        </is>
      </c>
    </row>
    <row r="2" ht="40" customHeight="1">
      <c r="A2" s="2" t="inlineStr">
        <is>
          <t>X_share_crudo = X_crudo (E1) / X_total. Columna verde recomputa con formula y su diferencia. Evidencia del truncamiento: se exporta E1 y se importa E3-E4. La serie larga por etapa/flujo esta en la hoja '18b'.</t>
        </is>
      </c>
    </row>
    <row r="3">
      <c r="A3" s="3" t="inlineStr">
        <is>
          <t>anio</t>
        </is>
      </c>
      <c r="B3" s="3" t="inlineStr">
        <is>
          <t>mineral</t>
        </is>
      </c>
      <c r="C3" s="3" t="inlineStr">
        <is>
          <t>X_total_usd</t>
        </is>
      </c>
      <c r="D3" s="3" t="inlineStr">
        <is>
          <t>X_crudo_usd</t>
        </is>
      </c>
      <c r="E3" s="3" t="inlineStr">
        <is>
          <t>X_share_crudo</t>
        </is>
      </c>
      <c r="F3" s="10" t="inlineStr">
        <is>
          <t>X_share_crudo (=formula)</t>
        </is>
      </c>
      <c r="G3" s="10" t="inlineStr">
        <is>
          <t>dif</t>
        </is>
      </c>
    </row>
    <row r="4">
      <c r="A4" s="6" t="n">
        <v>1992</v>
      </c>
      <c r="B4" s="6" t="inlineStr">
        <is>
          <t>barita</t>
        </is>
      </c>
      <c r="C4" s="6" t="n">
        <v>2815000</v>
      </c>
      <c r="D4" s="6" t="n">
        <v>1244000</v>
      </c>
      <c r="E4" s="6" t="n">
        <v>0.4419</v>
      </c>
      <c r="F4" s="11">
        <f>IF(C4=0,"",ROUND(D4/C4,4))</f>
        <v/>
      </c>
      <c r="G4" s="11">
        <f>IF(ISNUMBER(F4),ROUND(F4-E4,4),"")</f>
        <v/>
      </c>
    </row>
    <row r="5">
      <c r="A5" s="9" t="n">
        <v>1992</v>
      </c>
      <c r="B5" s="9" t="inlineStr">
        <is>
          <t>cobre</t>
        </is>
      </c>
      <c r="C5" s="9" t="n">
        <v>470519992</v>
      </c>
      <c r="D5" s="9" t="n">
        <v>31605000</v>
      </c>
      <c r="E5" s="9" t="n">
        <v>0.0672</v>
      </c>
      <c r="F5" s="11">
        <f>IF(C5=0,"",ROUND(D5/C5,4))</f>
        <v/>
      </c>
      <c r="G5" s="11">
        <f>IF(ISNUMBER(F5),ROUND(F5-E5,4),"")</f>
        <v/>
      </c>
    </row>
    <row r="6">
      <c r="A6" s="6" t="n">
        <v>1992</v>
      </c>
      <c r="B6" s="6" t="inlineStr">
        <is>
          <t>fluorita</t>
        </is>
      </c>
      <c r="C6" s="6" t="n">
        <v>100001000</v>
      </c>
      <c r="D6" s="6" t="n">
        <v>13929000</v>
      </c>
      <c r="E6" s="6" t="n">
        <v>0.1393</v>
      </c>
      <c r="F6" s="11">
        <f>IF(C6=0,"",ROUND(D6/C6,4))</f>
        <v/>
      </c>
      <c r="G6" s="11">
        <f>IF(ISNUMBER(F6),ROUND(F6-E6,4),"")</f>
        <v/>
      </c>
    </row>
    <row r="7">
      <c r="A7" s="9" t="n">
        <v>1992</v>
      </c>
      <c r="B7" s="9" t="inlineStr">
        <is>
          <t>grafito</t>
        </is>
      </c>
      <c r="C7" s="9" t="n">
        <v>30805000</v>
      </c>
      <c r="D7" s="9" t="n">
        <v>3073000</v>
      </c>
      <c r="E7" s="9" t="n">
        <v>0.0998</v>
      </c>
      <c r="F7" s="11">
        <f>IF(C7=0,"",ROUND(D7/C7,4))</f>
        <v/>
      </c>
      <c r="G7" s="11">
        <f>IF(ISNUMBER(F7),ROUND(F7-E7,4),"")</f>
        <v/>
      </c>
    </row>
    <row r="8">
      <c r="A8" s="6" t="n">
        <v>1992</v>
      </c>
      <c r="B8" s="6" t="inlineStr">
        <is>
          <t>manganeso</t>
        </is>
      </c>
      <c r="C8" s="6" t="n">
        <v>43053000</v>
      </c>
      <c r="D8" s="6" t="n">
        <v>6044000</v>
      </c>
      <c r="E8" s="6" t="n">
        <v>0.1404</v>
      </c>
      <c r="F8" s="11">
        <f>IF(C8=0,"",ROUND(D8/C8,4))</f>
        <v/>
      </c>
      <c r="G8" s="11">
        <f>IF(ISNUMBER(F8),ROUND(F8-E8,4),"")</f>
        <v/>
      </c>
    </row>
    <row r="9">
      <c r="A9" s="9" t="n">
        <v>1992</v>
      </c>
      <c r="B9" s="9" t="inlineStr">
        <is>
          <t>oro</t>
        </is>
      </c>
      <c r="C9" s="9" t="n">
        <v>41524000</v>
      </c>
      <c r="D9" s="9" t="n">
        <v>71000</v>
      </c>
      <c r="E9" s="9" t="n">
        <v>0.0017</v>
      </c>
      <c r="F9" s="11">
        <f>IF(C9=0,"",ROUND(D9/C9,4))</f>
        <v/>
      </c>
      <c r="G9" s="11">
        <f>IF(ISNUMBER(F9),ROUND(F9-E9,4),"")</f>
        <v/>
      </c>
    </row>
    <row r="10">
      <c r="A10" s="6" t="n">
        <v>1992</v>
      </c>
      <c r="B10" s="6" t="inlineStr">
        <is>
          <t>oro-plata (manufacturas)</t>
        </is>
      </c>
      <c r="C10" s="6" t="n">
        <v>43815000</v>
      </c>
      <c r="D10" s="6" t="n">
        <v>0</v>
      </c>
      <c r="E10" s="6" t="n">
        <v>0</v>
      </c>
      <c r="F10" s="11">
        <f>IF(C10=0,"",ROUND(D10/C10,4))</f>
        <v/>
      </c>
      <c r="G10" s="11">
        <f>IF(ISNUMBER(F10),ROUND(F10-E10,4),"")</f>
        <v/>
      </c>
    </row>
    <row r="11">
      <c r="A11" s="9" t="n">
        <v>1992</v>
      </c>
      <c r="B11" s="9" t="inlineStr">
        <is>
          <t>plata</t>
        </is>
      </c>
      <c r="C11" s="9" t="n">
        <v>206850992</v>
      </c>
      <c r="D11" s="9" t="n">
        <v>102000</v>
      </c>
      <c r="E11" s="9" t="n">
        <v>0.0005</v>
      </c>
      <c r="F11" s="11">
        <f>IF(C11=0,"",ROUND(D11/C11,4))</f>
        <v/>
      </c>
      <c r="G11" s="11">
        <f>IF(ISNUMBER(F11),ROUND(F11-E11,4),"")</f>
        <v/>
      </c>
    </row>
    <row r="12">
      <c r="A12" s="6" t="n">
        <v>1992</v>
      </c>
      <c r="B12" s="6" t="inlineStr">
        <is>
          <t>plomo</t>
        </is>
      </c>
      <c r="C12" s="6" t="n">
        <v>57849000</v>
      </c>
      <c r="D12" s="6" t="n">
        <v>1580000</v>
      </c>
      <c r="E12" s="6" t="n">
        <v>0.0273</v>
      </c>
      <c r="F12" s="11">
        <f>IF(C12=0,"",ROUND(D12/C12,4))</f>
        <v/>
      </c>
      <c r="G12" s="11">
        <f>IF(ISNUMBER(F12),ROUND(F12-E12,4),"")</f>
        <v/>
      </c>
    </row>
    <row r="13">
      <c r="A13" s="9" t="n">
        <v>1992</v>
      </c>
      <c r="B13" s="9" t="inlineStr">
        <is>
          <t>silice</t>
        </is>
      </c>
      <c r="C13" s="9" t="n">
        <v>870000</v>
      </c>
      <c r="D13" s="9" t="n">
        <v>624000</v>
      </c>
      <c r="E13" s="9" t="n">
        <v>0.7171999999999999</v>
      </c>
      <c r="F13" s="11">
        <f>IF(C13=0,"",ROUND(D13/C13,4))</f>
        <v/>
      </c>
      <c r="G13" s="11">
        <f>IF(ISNUMBER(F13),ROUND(F13-E13,4),"")</f>
        <v/>
      </c>
    </row>
    <row r="14">
      <c r="A14" s="6" t="n">
        <v>1992</v>
      </c>
      <c r="B14" s="6" t="inlineStr">
        <is>
          <t>zinc</t>
        </is>
      </c>
      <c r="C14" s="6" t="n">
        <v>141571000</v>
      </c>
      <c r="D14" s="6" t="n">
        <v>81135000</v>
      </c>
      <c r="E14" s="6" t="n">
        <v>0.5731000000000001</v>
      </c>
      <c r="F14" s="11">
        <f>IF(C14=0,"",ROUND(D14/C14,4))</f>
        <v/>
      </c>
      <c r="G14" s="11">
        <f>IF(ISNUMBER(F14),ROUND(F14-E14,4),"")</f>
        <v/>
      </c>
    </row>
    <row r="15">
      <c r="A15" s="9" t="n">
        <v>1993</v>
      </c>
      <c r="B15" s="9" t="inlineStr">
        <is>
          <t>barita</t>
        </is>
      </c>
      <c r="C15" s="9" t="n">
        <v>5909000</v>
      </c>
      <c r="D15" s="9" t="n">
        <v>4213000</v>
      </c>
      <c r="E15" s="9" t="n">
        <v>0.713</v>
      </c>
      <c r="F15" s="11">
        <f>IF(C15=0,"",ROUND(D15/C15,4))</f>
        <v/>
      </c>
      <c r="G15" s="11">
        <f>IF(ISNUMBER(F15),ROUND(F15-E15,4),"")</f>
        <v/>
      </c>
    </row>
    <row r="16">
      <c r="A16" s="6" t="n">
        <v>1993</v>
      </c>
      <c r="B16" s="6" t="inlineStr">
        <is>
          <t>cobre</t>
        </is>
      </c>
      <c r="C16" s="6" t="n">
        <v>522073984</v>
      </c>
      <c r="D16" s="6" t="n">
        <v>61000</v>
      </c>
      <c r="E16" s="6" t="n">
        <v>0.0001</v>
      </c>
      <c r="F16" s="11">
        <f>IF(C16=0,"",ROUND(D16/C16,4))</f>
        <v/>
      </c>
      <c r="G16" s="11">
        <f>IF(ISNUMBER(F16),ROUND(F16-E16,4),"")</f>
        <v/>
      </c>
    </row>
    <row r="17">
      <c r="A17" s="9" t="n">
        <v>1993</v>
      </c>
      <c r="B17" s="9" t="inlineStr">
        <is>
          <t>fluorita</t>
        </is>
      </c>
      <c r="C17" s="9" t="n">
        <v>89254000</v>
      </c>
      <c r="D17" s="9" t="n">
        <v>9385000</v>
      </c>
      <c r="E17" s="9" t="n">
        <v>0.1051</v>
      </c>
      <c r="F17" s="11">
        <f>IF(C17=0,"",ROUND(D17/C17,4))</f>
        <v/>
      </c>
      <c r="G17" s="11">
        <f>IF(ISNUMBER(F17),ROUND(F17-E17,4),"")</f>
        <v/>
      </c>
    </row>
    <row r="18">
      <c r="A18" s="6" t="n">
        <v>1993</v>
      </c>
      <c r="B18" s="6" t="inlineStr">
        <is>
          <t>grafito</t>
        </is>
      </c>
      <c r="C18" s="6" t="n">
        <v>33533000</v>
      </c>
      <c r="D18" s="6" t="n">
        <v>1995000</v>
      </c>
      <c r="E18" s="6" t="n">
        <v>0.0595</v>
      </c>
      <c r="F18" s="11">
        <f>IF(C18=0,"",ROUND(D18/C18,4))</f>
        <v/>
      </c>
      <c r="G18" s="11">
        <f>IF(ISNUMBER(F18),ROUND(F18-E18,4),"")</f>
        <v/>
      </c>
    </row>
    <row r="19">
      <c r="A19" s="9" t="n">
        <v>1993</v>
      </c>
      <c r="B19" s="9" t="inlineStr">
        <is>
          <t>manganeso</t>
        </is>
      </c>
      <c r="C19" s="9" t="n">
        <v>44906000</v>
      </c>
      <c r="D19" s="9" t="n">
        <v>8842000</v>
      </c>
      <c r="E19" s="9" t="n">
        <v>0.1969</v>
      </c>
      <c r="F19" s="11">
        <f>IF(C19=0,"",ROUND(D19/C19,4))</f>
        <v/>
      </c>
      <c r="G19" s="11">
        <f>IF(ISNUMBER(F19),ROUND(F19-E19,4),"")</f>
        <v/>
      </c>
    </row>
    <row r="20">
      <c r="A20" s="6" t="n">
        <v>1993</v>
      </c>
      <c r="B20" s="6" t="inlineStr">
        <is>
          <t>oro</t>
        </is>
      </c>
      <c r="C20" s="6" t="n">
        <v>52696000</v>
      </c>
      <c r="D20" s="6" t="n">
        <v>75000</v>
      </c>
      <c r="E20" s="6" t="n">
        <v>0.0014</v>
      </c>
      <c r="F20" s="11">
        <f>IF(C20=0,"",ROUND(D20/C20,4))</f>
        <v/>
      </c>
      <c r="G20" s="11">
        <f>IF(ISNUMBER(F20),ROUND(F20-E20,4),"")</f>
        <v/>
      </c>
    </row>
    <row r="21">
      <c r="A21" s="9" t="n">
        <v>1993</v>
      </c>
      <c r="B21" s="9" t="inlineStr">
        <is>
          <t>oro-plata (manufacturas)</t>
        </is>
      </c>
      <c r="C21" s="9" t="n">
        <v>50323000</v>
      </c>
      <c r="D21" s="9" t="n">
        <v>0</v>
      </c>
      <c r="E21" s="9" t="n">
        <v>0</v>
      </c>
      <c r="F21" s="11">
        <f>IF(C21=0,"",ROUND(D21/C21,4))</f>
        <v/>
      </c>
      <c r="G21" s="11">
        <f>IF(ISNUMBER(F21),ROUND(F21-E21,4),"")</f>
        <v/>
      </c>
    </row>
    <row r="22">
      <c r="A22" s="6" t="n">
        <v>1993</v>
      </c>
      <c r="B22" s="6" t="inlineStr">
        <is>
          <t>plata</t>
        </is>
      </c>
      <c r="C22" s="6" t="n">
        <v>187407000</v>
      </c>
      <c r="D22" s="6" t="n">
        <v>1231000</v>
      </c>
      <c r="E22" s="6" t="n">
        <v>0.0066</v>
      </c>
      <c r="F22" s="11">
        <f>IF(C22=0,"",ROUND(D22/C22,4))</f>
        <v/>
      </c>
      <c r="G22" s="11">
        <f>IF(ISNUMBER(F22),ROUND(F22-E22,4),"")</f>
        <v/>
      </c>
    </row>
    <row r="23">
      <c r="A23" s="9" t="n">
        <v>1993</v>
      </c>
      <c r="B23" s="9" t="inlineStr">
        <is>
          <t>plomo</t>
        </is>
      </c>
      <c r="C23" s="9" t="n">
        <v>43514000</v>
      </c>
      <c r="D23" s="9" t="n">
        <v>293000</v>
      </c>
      <c r="E23" s="9" t="n">
        <v>0.0067</v>
      </c>
      <c r="F23" s="11">
        <f>IF(C23=0,"",ROUND(D23/C23,4))</f>
        <v/>
      </c>
      <c r="G23" s="11">
        <f>IF(ISNUMBER(F23),ROUND(F23-E23,4),"")</f>
        <v/>
      </c>
    </row>
    <row r="24">
      <c r="A24" s="6" t="n">
        <v>1993</v>
      </c>
      <c r="B24" s="6" t="inlineStr">
        <is>
          <t>silice</t>
        </is>
      </c>
      <c r="C24" s="6" t="n">
        <v>1435000</v>
      </c>
      <c r="D24" s="6" t="n">
        <v>957000</v>
      </c>
      <c r="E24" s="6" t="n">
        <v>0.6669</v>
      </c>
      <c r="F24" s="11">
        <f>IF(C24=0,"",ROUND(D24/C24,4))</f>
        <v/>
      </c>
      <c r="G24" s="11">
        <f>IF(ISNUMBER(F24),ROUND(F24-E24,4),"")</f>
        <v/>
      </c>
    </row>
    <row r="25">
      <c r="A25" s="9" t="n">
        <v>1993</v>
      </c>
      <c r="B25" s="9" t="inlineStr">
        <is>
          <t>zinc</t>
        </is>
      </c>
      <c r="C25" s="9" t="n">
        <v>183071000</v>
      </c>
      <c r="D25" s="9" t="n">
        <v>58381000</v>
      </c>
      <c r="E25" s="9" t="n">
        <v>0.3189</v>
      </c>
      <c r="F25" s="11">
        <f>IF(C25=0,"",ROUND(D25/C25,4))</f>
        <v/>
      </c>
      <c r="G25" s="11">
        <f>IF(ISNUMBER(F25),ROUND(F25-E25,4),"")</f>
        <v/>
      </c>
    </row>
    <row r="26">
      <c r="A26" s="6" t="n">
        <v>1994</v>
      </c>
      <c r="B26" s="6" t="inlineStr">
        <is>
          <t>barita</t>
        </is>
      </c>
      <c r="C26" s="6" t="n">
        <v>7874501</v>
      </c>
      <c r="D26" s="6" t="n">
        <v>4690693</v>
      </c>
      <c r="E26" s="6" t="n">
        <v>0.5957</v>
      </c>
      <c r="F26" s="11">
        <f>IF(C26=0,"",ROUND(D26/C26,4))</f>
        <v/>
      </c>
      <c r="G26" s="11">
        <f>IF(ISNUMBER(F26),ROUND(F26-E26,4),"")</f>
        <v/>
      </c>
    </row>
    <row r="27">
      <c r="A27" s="9" t="n">
        <v>1994</v>
      </c>
      <c r="B27" s="9" t="inlineStr">
        <is>
          <t>cobre</t>
        </is>
      </c>
      <c r="C27" s="9" t="n">
        <v>524423278</v>
      </c>
      <c r="D27" s="9" t="n">
        <v>4748557</v>
      </c>
      <c r="E27" s="9" t="n">
        <v>0.0091</v>
      </c>
      <c r="F27" s="11">
        <f>IF(C27=0,"",ROUND(D27/C27,4))</f>
        <v/>
      </c>
      <c r="G27" s="11">
        <f>IF(ISNUMBER(F27),ROUND(F27-E27,4),"")</f>
        <v/>
      </c>
    </row>
    <row r="28">
      <c r="A28" s="6" t="n">
        <v>1994</v>
      </c>
      <c r="B28" s="6" t="inlineStr">
        <is>
          <t>fluorita</t>
        </is>
      </c>
      <c r="C28" s="6" t="n">
        <v>96142841</v>
      </c>
      <c r="D28" s="6" t="n">
        <v>15135902</v>
      </c>
      <c r="E28" s="6" t="n">
        <v>0.1574</v>
      </c>
      <c r="F28" s="11">
        <f>IF(C28=0,"",ROUND(D28/C28,4))</f>
        <v/>
      </c>
      <c r="G28" s="11">
        <f>IF(ISNUMBER(F28),ROUND(F28-E28,4),"")</f>
        <v/>
      </c>
    </row>
    <row r="29">
      <c r="A29" s="9" t="n">
        <v>1994</v>
      </c>
      <c r="B29" s="9" t="inlineStr">
        <is>
          <t>grafito</t>
        </is>
      </c>
      <c r="C29" s="9" t="n">
        <v>38355681</v>
      </c>
      <c r="D29" s="9" t="n">
        <v>2376785</v>
      </c>
      <c r="E29" s="9" t="n">
        <v>0.062</v>
      </c>
      <c r="F29" s="11">
        <f>IF(C29=0,"",ROUND(D29/C29,4))</f>
        <v/>
      </c>
      <c r="G29" s="11">
        <f>IF(ISNUMBER(F29),ROUND(F29-E29,4),"")</f>
        <v/>
      </c>
    </row>
    <row r="30">
      <c r="A30" s="6" t="n">
        <v>1994</v>
      </c>
      <c r="B30" s="6" t="inlineStr">
        <is>
          <t>manganeso</t>
        </is>
      </c>
      <c r="C30" s="6" t="n">
        <v>37628294</v>
      </c>
      <c r="D30" s="6" t="n">
        <v>3910169</v>
      </c>
      <c r="E30" s="6" t="n">
        <v>0.1039</v>
      </c>
      <c r="F30" s="11">
        <f>IF(C30=0,"",ROUND(D30/C30,4))</f>
        <v/>
      </c>
      <c r="G30" s="11">
        <f>IF(ISNUMBER(F30),ROUND(F30-E30,4),"")</f>
        <v/>
      </c>
    </row>
    <row r="31">
      <c r="A31" s="9" t="n">
        <v>1994</v>
      </c>
      <c r="B31" s="9" t="inlineStr">
        <is>
          <t>oro</t>
        </is>
      </c>
      <c r="C31" s="9" t="n">
        <v>78893049</v>
      </c>
      <c r="D31" s="9" t="n">
        <v>13441</v>
      </c>
      <c r="E31" s="9" t="n">
        <v>0.0002</v>
      </c>
      <c r="F31" s="11">
        <f>IF(C31=0,"",ROUND(D31/C31,4))</f>
        <v/>
      </c>
      <c r="G31" s="11">
        <f>IF(ISNUMBER(F31),ROUND(F31-E31,4),"")</f>
        <v/>
      </c>
    </row>
    <row r="32">
      <c r="A32" s="6" t="n">
        <v>1994</v>
      </c>
      <c r="B32" s="6" t="inlineStr">
        <is>
          <t>oro-plata (manufacturas)</t>
        </is>
      </c>
      <c r="C32" s="6" t="n">
        <v>71155206</v>
      </c>
      <c r="D32" s="6" t="n">
        <v>0</v>
      </c>
      <c r="E32" s="6" t="n">
        <v>0</v>
      </c>
      <c r="F32" s="11">
        <f>IF(C32=0,"",ROUND(D32/C32,4))</f>
        <v/>
      </c>
      <c r="G32" s="11">
        <f>IF(ISNUMBER(F32),ROUND(F32-E32,4),"")</f>
        <v/>
      </c>
    </row>
    <row r="33">
      <c r="A33" s="9" t="n">
        <v>1994</v>
      </c>
      <c r="B33" s="9" t="inlineStr">
        <is>
          <t>plata</t>
        </is>
      </c>
      <c r="C33" s="9" t="n">
        <v>214336167</v>
      </c>
      <c r="D33" s="9" t="n">
        <v>23815</v>
      </c>
      <c r="E33" s="9" t="n">
        <v>0.0001</v>
      </c>
      <c r="F33" s="11">
        <f>IF(C33=0,"",ROUND(D33/C33,4))</f>
        <v/>
      </c>
      <c r="G33" s="11">
        <f>IF(ISNUMBER(F33),ROUND(F33-E33,4),"")</f>
        <v/>
      </c>
    </row>
    <row r="34">
      <c r="A34" s="6" t="n">
        <v>1994</v>
      </c>
      <c r="B34" s="6" t="inlineStr">
        <is>
          <t>plomo</t>
        </is>
      </c>
      <c r="C34" s="6" t="n">
        <v>34099921</v>
      </c>
      <c r="D34" s="6" t="n">
        <v>0</v>
      </c>
      <c r="E34" s="6" t="n">
        <v>0</v>
      </c>
      <c r="F34" s="11">
        <f>IF(C34=0,"",ROUND(D34/C34,4))</f>
        <v/>
      </c>
      <c r="G34" s="11">
        <f>IF(ISNUMBER(F34),ROUND(F34-E34,4),"")</f>
        <v/>
      </c>
    </row>
    <row r="35">
      <c r="A35" s="9" t="n">
        <v>1994</v>
      </c>
      <c r="B35" s="9" t="inlineStr">
        <is>
          <t>silice</t>
        </is>
      </c>
      <c r="C35" s="9" t="n">
        <v>1406402</v>
      </c>
      <c r="D35" s="9" t="n">
        <v>382913</v>
      </c>
      <c r="E35" s="9" t="n">
        <v>0.2723</v>
      </c>
      <c r="F35" s="11">
        <f>IF(C35=0,"",ROUND(D35/C35,4))</f>
        <v/>
      </c>
      <c r="G35" s="11">
        <f>IF(ISNUMBER(F35),ROUND(F35-E35,4),"")</f>
        <v/>
      </c>
    </row>
    <row r="36">
      <c r="A36" s="6" t="n">
        <v>1994</v>
      </c>
      <c r="B36" s="6" t="inlineStr">
        <is>
          <t>zinc</t>
        </is>
      </c>
      <c r="C36" s="6" t="n">
        <v>186083303</v>
      </c>
      <c r="D36" s="6" t="n">
        <v>70061440</v>
      </c>
      <c r="E36" s="6" t="n">
        <v>0.3765</v>
      </c>
      <c r="F36" s="11">
        <f>IF(C36=0,"",ROUND(D36/C36,4))</f>
        <v/>
      </c>
      <c r="G36" s="11">
        <f>IF(ISNUMBER(F36),ROUND(F36-E36,4),"")</f>
        <v/>
      </c>
    </row>
    <row r="37">
      <c r="A37" s="9" t="n">
        <v>1995</v>
      </c>
      <c r="B37" s="9" t="inlineStr">
        <is>
          <t>barita</t>
        </is>
      </c>
      <c r="C37" s="9" t="n">
        <v>11582000</v>
      </c>
      <c r="D37" s="9" t="n">
        <v>6854000</v>
      </c>
      <c r="E37" s="9" t="n">
        <v>0.5918</v>
      </c>
      <c r="F37" s="11">
        <f>IF(C37=0,"",ROUND(D37/C37,4))</f>
        <v/>
      </c>
      <c r="G37" s="11">
        <f>IF(ISNUMBER(F37),ROUND(F37-E37,4),"")</f>
        <v/>
      </c>
    </row>
    <row r="38">
      <c r="A38" s="6" t="n">
        <v>1995</v>
      </c>
      <c r="B38" s="6" t="inlineStr">
        <is>
          <t>cobre</t>
        </is>
      </c>
      <c r="C38" s="6" t="n">
        <v>832913992</v>
      </c>
      <c r="D38" s="6" t="n">
        <v>20182000</v>
      </c>
      <c r="E38" s="6" t="n">
        <v>0.0242</v>
      </c>
      <c r="F38" s="11">
        <f>IF(C38=0,"",ROUND(D38/C38,4))</f>
        <v/>
      </c>
      <c r="G38" s="11">
        <f>IF(ISNUMBER(F38),ROUND(F38-E38,4),"")</f>
        <v/>
      </c>
    </row>
    <row r="39">
      <c r="A39" s="9" t="n">
        <v>1995</v>
      </c>
      <c r="B39" s="9" t="inlineStr">
        <is>
          <t>fluorita</t>
        </is>
      </c>
      <c r="C39" s="9" t="n">
        <v>113464000</v>
      </c>
      <c r="D39" s="9" t="n">
        <v>23708000</v>
      </c>
      <c r="E39" s="9" t="n">
        <v>0.2089</v>
      </c>
      <c r="F39" s="11">
        <f>IF(C39=0,"",ROUND(D39/C39,4))</f>
        <v/>
      </c>
      <c r="G39" s="11">
        <f>IF(ISNUMBER(F39),ROUND(F39-E39,4),"")</f>
        <v/>
      </c>
    </row>
    <row r="40">
      <c r="A40" s="6" t="n">
        <v>1995</v>
      </c>
      <c r="B40" s="6" t="inlineStr">
        <is>
          <t>grafito</t>
        </is>
      </c>
      <c r="C40" s="6" t="n">
        <v>42853000</v>
      </c>
      <c r="D40" s="6" t="n">
        <v>2264000</v>
      </c>
      <c r="E40" s="6" t="n">
        <v>0.0528</v>
      </c>
      <c r="F40" s="11">
        <f>IF(C40=0,"",ROUND(D40/C40,4))</f>
        <v/>
      </c>
      <c r="G40" s="11">
        <f>IF(ISNUMBER(F40),ROUND(F40-E40,4),"")</f>
        <v/>
      </c>
    </row>
    <row r="41">
      <c r="A41" s="9" t="n">
        <v>1995</v>
      </c>
      <c r="B41" s="9" t="inlineStr">
        <is>
          <t>manganeso</t>
        </is>
      </c>
      <c r="C41" s="9" t="n">
        <v>43231000</v>
      </c>
      <c r="D41" s="9" t="n">
        <v>9596000</v>
      </c>
      <c r="E41" s="9" t="n">
        <v>0.222</v>
      </c>
      <c r="F41" s="11">
        <f>IF(C41=0,"",ROUND(D41/C41,4))</f>
        <v/>
      </c>
      <c r="G41" s="11">
        <f>IF(ISNUMBER(F41),ROUND(F41-E41,4),"")</f>
        <v/>
      </c>
    </row>
    <row r="42">
      <c r="A42" s="6" t="n">
        <v>1995</v>
      </c>
      <c r="B42" s="6" t="inlineStr">
        <is>
          <t>oro</t>
        </is>
      </c>
      <c r="C42" s="6" t="n">
        <v>138929000</v>
      </c>
      <c r="D42" s="6" t="n">
        <v>13000</v>
      </c>
      <c r="E42" s="6" t="n">
        <v>0.0001</v>
      </c>
      <c r="F42" s="11">
        <f>IF(C42=0,"",ROUND(D42/C42,4))</f>
        <v/>
      </c>
      <c r="G42" s="11">
        <f>IF(ISNUMBER(F42),ROUND(F42-E42,4),"")</f>
        <v/>
      </c>
    </row>
    <row r="43">
      <c r="A43" s="9" t="n">
        <v>1995</v>
      </c>
      <c r="B43" s="9" t="inlineStr">
        <is>
          <t>oro-plata (manufacturas)</t>
        </is>
      </c>
      <c r="C43" s="9" t="n">
        <v>101540000</v>
      </c>
      <c r="D43" s="9" t="n">
        <v>0</v>
      </c>
      <c r="E43" s="9" t="n">
        <v>0</v>
      </c>
      <c r="F43" s="11">
        <f>IF(C43=0,"",ROUND(D43/C43,4))</f>
        <v/>
      </c>
      <c r="G43" s="11">
        <f>IF(ISNUMBER(F43),ROUND(F43-E43,4),"")</f>
        <v/>
      </c>
    </row>
    <row r="44">
      <c r="A44" s="6" t="n">
        <v>1995</v>
      </c>
      <c r="B44" s="6" t="inlineStr">
        <is>
          <t>plata</t>
        </is>
      </c>
      <c r="C44" s="6" t="n">
        <v>307646008</v>
      </c>
      <c r="D44" s="6" t="n">
        <v>6883000</v>
      </c>
      <c r="E44" s="6" t="n">
        <v>0.0224</v>
      </c>
      <c r="F44" s="11">
        <f>IF(C44=0,"",ROUND(D44/C44,4))</f>
        <v/>
      </c>
      <c r="G44" s="11">
        <f>IF(ISNUMBER(F44),ROUND(F44-E44,4),"")</f>
        <v/>
      </c>
    </row>
    <row r="45">
      <c r="A45" s="9" t="n">
        <v>1995</v>
      </c>
      <c r="B45" s="9" t="inlineStr">
        <is>
          <t>plomo</t>
        </is>
      </c>
      <c r="C45" s="9" t="n">
        <v>84857000</v>
      </c>
      <c r="D45" s="9" t="n">
        <v>14708000</v>
      </c>
      <c r="E45" s="9" t="n">
        <v>0.1733</v>
      </c>
      <c r="F45" s="11">
        <f>IF(C45=0,"",ROUND(D45/C45,4))</f>
        <v/>
      </c>
      <c r="G45" s="11">
        <f>IF(ISNUMBER(F45),ROUND(F45-E45,4),"")</f>
        <v/>
      </c>
    </row>
    <row r="46">
      <c r="A46" s="6" t="n">
        <v>1995</v>
      </c>
      <c r="B46" s="6" t="inlineStr">
        <is>
          <t>silice</t>
        </is>
      </c>
      <c r="C46" s="6" t="n">
        <v>948000</v>
      </c>
      <c r="D46" s="6" t="n">
        <v>266000</v>
      </c>
      <c r="E46" s="6" t="n">
        <v>0.2806</v>
      </c>
      <c r="F46" s="11">
        <f>IF(C46=0,"",ROUND(D46/C46,4))</f>
        <v/>
      </c>
      <c r="G46" s="11">
        <f>IF(ISNUMBER(F46),ROUND(F46-E46,4),"")</f>
        <v/>
      </c>
    </row>
    <row r="47">
      <c r="A47" s="9" t="n">
        <v>1995</v>
      </c>
      <c r="B47" s="9" t="inlineStr">
        <is>
          <t>zinc</t>
        </is>
      </c>
      <c r="C47" s="9" t="n">
        <v>216500000</v>
      </c>
      <c r="D47" s="9" t="n">
        <v>69328000</v>
      </c>
      <c r="E47" s="9" t="n">
        <v>0.3202</v>
      </c>
      <c r="F47" s="11">
        <f>IF(C47=0,"",ROUND(D47/C47,4))</f>
        <v/>
      </c>
      <c r="G47" s="11">
        <f>IF(ISNUMBER(F47),ROUND(F47-E47,4),"")</f>
        <v/>
      </c>
    </row>
    <row r="48">
      <c r="A48" s="6" t="n">
        <v>1996</v>
      </c>
      <c r="B48" s="6" t="inlineStr">
        <is>
          <t>barita</t>
        </is>
      </c>
      <c r="C48" s="6" t="n">
        <v>13099894</v>
      </c>
      <c r="D48" s="6" t="n">
        <v>7762014</v>
      </c>
      <c r="E48" s="6" t="n">
        <v>0.5925</v>
      </c>
      <c r="F48" s="11">
        <f>IF(C48=0,"",ROUND(D48/C48,4))</f>
        <v/>
      </c>
      <c r="G48" s="11">
        <f>IF(ISNUMBER(F48),ROUND(F48-E48,4),"")</f>
        <v/>
      </c>
    </row>
    <row r="49">
      <c r="A49" s="9" t="n">
        <v>1996</v>
      </c>
      <c r="B49" s="9" t="inlineStr">
        <is>
          <t>cobre</t>
        </is>
      </c>
      <c r="C49" s="9" t="n">
        <v>649837301</v>
      </c>
      <c r="D49" s="9" t="n">
        <v>15994984</v>
      </c>
      <c r="E49" s="9" t="n">
        <v>0.0246</v>
      </c>
      <c r="F49" s="11">
        <f>IF(C49=0,"",ROUND(D49/C49,4))</f>
        <v/>
      </c>
      <c r="G49" s="11">
        <f>IF(ISNUMBER(F49),ROUND(F49-E49,4),"")</f>
        <v/>
      </c>
    </row>
    <row r="50">
      <c r="A50" s="6" t="n">
        <v>1996</v>
      </c>
      <c r="B50" s="6" t="inlineStr">
        <is>
          <t>fluorita</t>
        </is>
      </c>
      <c r="C50" s="6" t="n">
        <v>137768043</v>
      </c>
      <c r="D50" s="6" t="n">
        <v>20073116</v>
      </c>
      <c r="E50" s="6" t="n">
        <v>0.1457</v>
      </c>
      <c r="F50" s="11">
        <f>IF(C50=0,"",ROUND(D50/C50,4))</f>
        <v/>
      </c>
      <c r="G50" s="11">
        <f>IF(ISNUMBER(F50),ROUND(F50-E50,4),"")</f>
        <v/>
      </c>
    </row>
    <row r="51">
      <c r="A51" s="9" t="n">
        <v>1996</v>
      </c>
      <c r="B51" s="9" t="inlineStr">
        <is>
          <t>grafito</t>
        </is>
      </c>
      <c r="C51" s="9" t="n">
        <v>56294228</v>
      </c>
      <c r="D51" s="9" t="n">
        <v>2075280</v>
      </c>
      <c r="E51" s="9" t="n">
        <v>0.0369</v>
      </c>
      <c r="F51" s="11">
        <f>IF(C51=0,"",ROUND(D51/C51,4))</f>
        <v/>
      </c>
      <c r="G51" s="11">
        <f>IF(ISNUMBER(F51),ROUND(F51-E51,4),"")</f>
        <v/>
      </c>
    </row>
    <row r="52">
      <c r="A52" s="6" t="n">
        <v>1996</v>
      </c>
      <c r="B52" s="6" t="inlineStr">
        <is>
          <t>manganeso</t>
        </is>
      </c>
      <c r="C52" s="6" t="n">
        <v>46235968</v>
      </c>
      <c r="D52" s="6" t="n">
        <v>4363511</v>
      </c>
      <c r="E52" s="6" t="n">
        <v>0.0944</v>
      </c>
      <c r="F52" s="11">
        <f>IF(C52=0,"",ROUND(D52/C52,4))</f>
        <v/>
      </c>
      <c r="G52" s="11">
        <f>IF(ISNUMBER(F52),ROUND(F52-E52,4),"")</f>
        <v/>
      </c>
    </row>
    <row r="53">
      <c r="A53" s="9" t="n">
        <v>1996</v>
      </c>
      <c r="B53" s="9" t="inlineStr">
        <is>
          <t>oro</t>
        </is>
      </c>
      <c r="C53" s="9" t="n">
        <v>235004871</v>
      </c>
      <c r="D53" s="9" t="n">
        <v>8439</v>
      </c>
      <c r="E53" s="9" t="n">
        <v>0</v>
      </c>
      <c r="F53" s="11">
        <f>IF(C53=0,"",ROUND(D53/C53,4))</f>
        <v/>
      </c>
      <c r="G53" s="11">
        <f>IF(ISNUMBER(F53),ROUND(F53-E53,4),"")</f>
        <v/>
      </c>
    </row>
    <row r="54">
      <c r="A54" s="6" t="n">
        <v>1996</v>
      </c>
      <c r="B54" s="6" t="inlineStr">
        <is>
          <t>oro-plata (manufacturas)</t>
        </is>
      </c>
      <c r="C54" s="6" t="n">
        <v>162060646</v>
      </c>
      <c r="D54" s="6" t="n">
        <v>0</v>
      </c>
      <c r="E54" s="6" t="n">
        <v>0</v>
      </c>
      <c r="F54" s="11">
        <f>IF(C54=0,"",ROUND(D54/C54,4))</f>
        <v/>
      </c>
      <c r="G54" s="11">
        <f>IF(ISNUMBER(F54),ROUND(F54-E54,4),"")</f>
        <v/>
      </c>
    </row>
    <row r="55">
      <c r="A55" s="9" t="n">
        <v>1996</v>
      </c>
      <c r="B55" s="9" t="inlineStr">
        <is>
          <t>plata</t>
        </is>
      </c>
      <c r="C55" s="9" t="n">
        <v>345054576</v>
      </c>
      <c r="D55" s="9" t="n">
        <v>17565200</v>
      </c>
      <c r="E55" s="9" t="n">
        <v>0.0509</v>
      </c>
      <c r="F55" s="11">
        <f>IF(C55=0,"",ROUND(D55/C55,4))</f>
        <v/>
      </c>
      <c r="G55" s="11">
        <f>IF(ISNUMBER(F55),ROUND(F55-E55,4),"")</f>
        <v/>
      </c>
    </row>
    <row r="56">
      <c r="A56" s="6" t="n">
        <v>1996</v>
      </c>
      <c r="B56" s="6" t="inlineStr">
        <is>
          <t>plomo</t>
        </is>
      </c>
      <c r="C56" s="6" t="n">
        <v>81867200</v>
      </c>
      <c r="D56" s="6" t="n">
        <v>14091348</v>
      </c>
      <c r="E56" s="6" t="n">
        <v>0.1721</v>
      </c>
      <c r="F56" s="11">
        <f>IF(C56=0,"",ROUND(D56/C56,4))</f>
        <v/>
      </c>
      <c r="G56" s="11">
        <f>IF(ISNUMBER(F56),ROUND(F56-E56,4),"")</f>
        <v/>
      </c>
    </row>
    <row r="57">
      <c r="A57" s="9" t="n">
        <v>1996</v>
      </c>
      <c r="B57" s="9" t="inlineStr">
        <is>
          <t>silice</t>
        </is>
      </c>
      <c r="C57" s="9" t="n">
        <v>1028212</v>
      </c>
      <c r="D57" s="9" t="n">
        <v>241041</v>
      </c>
      <c r="E57" s="9" t="n">
        <v>0.2344</v>
      </c>
      <c r="F57" s="11">
        <f>IF(C57=0,"",ROUND(D57/C57,4))</f>
        <v/>
      </c>
      <c r="G57" s="11">
        <f>IF(ISNUMBER(F57),ROUND(F57-E57,4),"")</f>
        <v/>
      </c>
    </row>
    <row r="58">
      <c r="A58" s="6" t="n">
        <v>1996</v>
      </c>
      <c r="B58" s="6" t="inlineStr">
        <is>
          <t>zinc</t>
        </is>
      </c>
      <c r="C58" s="6" t="n">
        <v>178655687</v>
      </c>
      <c r="D58" s="6" t="n">
        <v>57037052</v>
      </c>
      <c r="E58" s="6" t="n">
        <v>0.3193</v>
      </c>
      <c r="F58" s="11">
        <f>IF(C58=0,"",ROUND(D58/C58,4))</f>
        <v/>
      </c>
      <c r="G58" s="11">
        <f>IF(ISNUMBER(F58),ROUND(F58-E58,4),"")</f>
        <v/>
      </c>
    </row>
    <row r="59">
      <c r="A59" s="9" t="n">
        <v>1997</v>
      </c>
      <c r="B59" s="9" t="inlineStr">
        <is>
          <t>barita</t>
        </is>
      </c>
      <c r="C59" s="9" t="n">
        <v>12628815</v>
      </c>
      <c r="D59" s="9" t="n">
        <v>4439673</v>
      </c>
      <c r="E59" s="9" t="n">
        <v>0.3516</v>
      </c>
      <c r="F59" s="11">
        <f>IF(C59=0,"",ROUND(D59/C59,4))</f>
        <v/>
      </c>
      <c r="G59" s="11">
        <f>IF(ISNUMBER(F59),ROUND(F59-E59,4),"")</f>
        <v/>
      </c>
    </row>
    <row r="60">
      <c r="A60" s="6" t="n">
        <v>1997</v>
      </c>
      <c r="B60" s="6" t="inlineStr">
        <is>
          <t>cobre</t>
        </is>
      </c>
      <c r="C60" s="6" t="n">
        <v>743135189</v>
      </c>
      <c r="D60" s="6" t="n">
        <v>18588480</v>
      </c>
      <c r="E60" s="6" t="n">
        <v>0.025</v>
      </c>
      <c r="F60" s="11">
        <f>IF(C60=0,"",ROUND(D60/C60,4))</f>
        <v/>
      </c>
      <c r="G60" s="11">
        <f>IF(ISNUMBER(F60),ROUND(F60-E60,4),"")</f>
        <v/>
      </c>
    </row>
    <row r="61">
      <c r="A61" s="9" t="n">
        <v>1997</v>
      </c>
      <c r="B61" s="9" t="inlineStr">
        <is>
          <t>fluorita</t>
        </is>
      </c>
      <c r="C61" s="9" t="n">
        <v>138742812</v>
      </c>
      <c r="D61" s="9" t="n">
        <v>23322192</v>
      </c>
      <c r="E61" s="9" t="n">
        <v>0.1681</v>
      </c>
      <c r="F61" s="11">
        <f>IF(C61=0,"",ROUND(D61/C61,4))</f>
        <v/>
      </c>
      <c r="G61" s="11">
        <f>IF(ISNUMBER(F61),ROUND(F61-E61,4),"")</f>
        <v/>
      </c>
    </row>
    <row r="62">
      <c r="A62" s="6" t="n">
        <v>1997</v>
      </c>
      <c r="B62" s="6" t="inlineStr">
        <is>
          <t>grafito</t>
        </is>
      </c>
      <c r="C62" s="6" t="n">
        <v>72970280</v>
      </c>
      <c r="D62" s="6" t="n">
        <v>2299340</v>
      </c>
      <c r="E62" s="6" t="n">
        <v>0.0315</v>
      </c>
      <c r="F62" s="11">
        <f>IF(C62=0,"",ROUND(D62/C62,4))</f>
        <v/>
      </c>
      <c r="G62" s="11">
        <f>IF(ISNUMBER(F62),ROUND(F62-E62,4),"")</f>
        <v/>
      </c>
    </row>
    <row r="63">
      <c r="A63" s="9" t="n">
        <v>1997</v>
      </c>
      <c r="B63" s="9" t="inlineStr">
        <is>
          <t>manganeso</t>
        </is>
      </c>
      <c r="C63" s="9" t="n">
        <v>61743656</v>
      </c>
      <c r="D63" s="9" t="n">
        <v>6756622</v>
      </c>
      <c r="E63" s="9" t="n">
        <v>0.1094</v>
      </c>
      <c r="F63" s="11">
        <f>IF(C63=0,"",ROUND(D63/C63,4))</f>
        <v/>
      </c>
      <c r="G63" s="11">
        <f>IF(ISNUMBER(F63),ROUND(F63-E63,4),"")</f>
        <v/>
      </c>
    </row>
    <row r="64">
      <c r="A64" s="6" t="n">
        <v>1997</v>
      </c>
      <c r="B64" s="6" t="inlineStr">
        <is>
          <t>oro</t>
        </is>
      </c>
      <c r="C64" s="6" t="n">
        <v>134975815</v>
      </c>
      <c r="D64" s="6" t="n">
        <v>2865503</v>
      </c>
      <c r="E64" s="6" t="n">
        <v>0.0212</v>
      </c>
      <c r="F64" s="11">
        <f>IF(C64=0,"",ROUND(D64/C64,4))</f>
        <v/>
      </c>
      <c r="G64" s="11">
        <f>IF(ISNUMBER(F64),ROUND(F64-E64,4),"")</f>
        <v/>
      </c>
    </row>
    <row r="65">
      <c r="A65" s="9" t="n">
        <v>1997</v>
      </c>
      <c r="B65" s="9" t="inlineStr">
        <is>
          <t>oro-plata (manufacturas)</t>
        </is>
      </c>
      <c r="C65" s="9" t="n">
        <v>262748067</v>
      </c>
      <c r="D65" s="9" t="n">
        <v>0</v>
      </c>
      <c r="E65" s="9" t="n">
        <v>0</v>
      </c>
      <c r="F65" s="11">
        <f>IF(C65=0,"",ROUND(D65/C65,4))</f>
        <v/>
      </c>
      <c r="G65" s="11">
        <f>IF(ISNUMBER(F65),ROUND(F65-E65,4),"")</f>
        <v/>
      </c>
    </row>
    <row r="66">
      <c r="A66" s="6" t="n">
        <v>1997</v>
      </c>
      <c r="B66" s="6" t="inlineStr">
        <is>
          <t>plata</t>
        </is>
      </c>
      <c r="C66" s="6" t="n">
        <v>322275394</v>
      </c>
      <c r="D66" s="6" t="n">
        <v>232354</v>
      </c>
      <c r="E66" s="6" t="n">
        <v>0.0007</v>
      </c>
      <c r="F66" s="11">
        <f>IF(C66=0,"",ROUND(D66/C66,4))</f>
        <v/>
      </c>
      <c r="G66" s="11">
        <f>IF(ISNUMBER(F66),ROUND(F66-E66,4),"")</f>
        <v/>
      </c>
    </row>
    <row r="67">
      <c r="A67" s="9" t="n">
        <v>1997</v>
      </c>
      <c r="B67" s="9" t="inlineStr">
        <is>
          <t>plomo</t>
        </is>
      </c>
      <c r="C67" s="9" t="n">
        <v>74089764</v>
      </c>
      <c r="D67" s="9" t="n">
        <v>8020893</v>
      </c>
      <c r="E67" s="9" t="n">
        <v>0.1083</v>
      </c>
      <c r="F67" s="11">
        <f>IF(C67=0,"",ROUND(D67/C67,4))</f>
        <v/>
      </c>
      <c r="G67" s="11">
        <f>IF(ISNUMBER(F67),ROUND(F67-E67,4),"")</f>
        <v/>
      </c>
    </row>
    <row r="68">
      <c r="A68" s="6" t="n">
        <v>1997</v>
      </c>
      <c r="B68" s="6" t="inlineStr">
        <is>
          <t>silice</t>
        </is>
      </c>
      <c r="C68" s="6" t="n">
        <v>2455713</v>
      </c>
      <c r="D68" s="6" t="n">
        <v>271128</v>
      </c>
      <c r="E68" s="6" t="n">
        <v>0.1104</v>
      </c>
      <c r="F68" s="11">
        <f>IF(C68=0,"",ROUND(D68/C68,4))</f>
        <v/>
      </c>
      <c r="G68" s="11">
        <f>IF(ISNUMBER(F68),ROUND(F68-E68,4),"")</f>
        <v/>
      </c>
    </row>
    <row r="69">
      <c r="A69" s="9" t="n">
        <v>1997</v>
      </c>
      <c r="B69" s="9" t="inlineStr">
        <is>
          <t>zinc</t>
        </is>
      </c>
      <c r="C69" s="9" t="n">
        <v>231742606</v>
      </c>
      <c r="D69" s="9" t="n">
        <v>80546680</v>
      </c>
      <c r="E69" s="9" t="n">
        <v>0.3476</v>
      </c>
      <c r="F69" s="11">
        <f>IF(C69=0,"",ROUND(D69/C69,4))</f>
        <v/>
      </c>
      <c r="G69" s="11">
        <f>IF(ISNUMBER(F69),ROUND(F69-E69,4),"")</f>
        <v/>
      </c>
    </row>
    <row r="70">
      <c r="A70" s="6" t="n">
        <v>1998</v>
      </c>
      <c r="B70" s="6" t="inlineStr">
        <is>
          <t>barita</t>
        </is>
      </c>
      <c r="C70" s="6" t="n">
        <v>8927431</v>
      </c>
      <c r="D70" s="6" t="n">
        <v>1469473</v>
      </c>
      <c r="E70" s="6" t="n">
        <v>0.1646</v>
      </c>
      <c r="F70" s="11">
        <f>IF(C70=0,"",ROUND(D70/C70,4))</f>
        <v/>
      </c>
      <c r="G70" s="11">
        <f>IF(ISNUMBER(F70),ROUND(F70-E70,4),"")</f>
        <v/>
      </c>
    </row>
    <row r="71">
      <c r="A71" s="9" t="n">
        <v>1998</v>
      </c>
      <c r="B71" s="9" t="inlineStr">
        <is>
          <t>cobre</t>
        </is>
      </c>
      <c r="C71" s="9" t="n">
        <v>718467187</v>
      </c>
      <c r="D71" s="9" t="n">
        <v>25456432</v>
      </c>
      <c r="E71" s="9" t="n">
        <v>0.0354</v>
      </c>
      <c r="F71" s="11">
        <f>IF(C71=0,"",ROUND(D71/C71,4))</f>
        <v/>
      </c>
      <c r="G71" s="11">
        <f>IF(ISNUMBER(F71),ROUND(F71-E71,4),"")</f>
        <v/>
      </c>
    </row>
    <row r="72">
      <c r="A72" s="6" t="n">
        <v>1998</v>
      </c>
      <c r="B72" s="6" t="inlineStr">
        <is>
          <t>fluorita</t>
        </is>
      </c>
      <c r="C72" s="6" t="n">
        <v>129964750</v>
      </c>
      <c r="D72" s="6" t="n">
        <v>25967668</v>
      </c>
      <c r="E72" s="6" t="n">
        <v>0.1998</v>
      </c>
      <c r="F72" s="11">
        <f>IF(C72=0,"",ROUND(D72/C72,4))</f>
        <v/>
      </c>
      <c r="G72" s="11">
        <f>IF(ISNUMBER(F72),ROUND(F72-E72,4),"")</f>
        <v/>
      </c>
    </row>
    <row r="73">
      <c r="A73" s="9" t="n">
        <v>1998</v>
      </c>
      <c r="B73" s="9" t="inlineStr">
        <is>
          <t>grafito</t>
        </is>
      </c>
      <c r="C73" s="9" t="n">
        <v>62118003</v>
      </c>
      <c r="D73" s="9" t="n">
        <v>2571031</v>
      </c>
      <c r="E73" s="9" t="n">
        <v>0.0414</v>
      </c>
      <c r="F73" s="11">
        <f>IF(C73=0,"",ROUND(D73/C73,4))</f>
        <v/>
      </c>
      <c r="G73" s="11">
        <f>IF(ISNUMBER(F73),ROUND(F73-E73,4),"")</f>
        <v/>
      </c>
    </row>
    <row r="74">
      <c r="A74" s="6" t="n">
        <v>1998</v>
      </c>
      <c r="B74" s="6" t="inlineStr">
        <is>
          <t>manganeso</t>
        </is>
      </c>
      <c r="C74" s="6" t="n">
        <v>51961184</v>
      </c>
      <c r="D74" s="6" t="n">
        <v>5560749</v>
      </c>
      <c r="E74" s="6" t="n">
        <v>0.107</v>
      </c>
      <c r="F74" s="11">
        <f>IF(C74=0,"",ROUND(D74/C74,4))</f>
        <v/>
      </c>
      <c r="G74" s="11">
        <f>IF(ISNUMBER(F74),ROUND(F74-E74,4),"")</f>
        <v/>
      </c>
    </row>
    <row r="75">
      <c r="A75" s="9" t="n">
        <v>1998</v>
      </c>
      <c r="B75" s="9" t="inlineStr">
        <is>
          <t>oro</t>
        </is>
      </c>
      <c r="C75" s="9" t="n">
        <v>116254282</v>
      </c>
      <c r="D75" s="9" t="n">
        <v>5512786</v>
      </c>
      <c r="E75" s="9" t="n">
        <v>0.0474</v>
      </c>
      <c r="F75" s="11">
        <f>IF(C75=0,"",ROUND(D75/C75,4))</f>
        <v/>
      </c>
      <c r="G75" s="11">
        <f>IF(ISNUMBER(F75),ROUND(F75-E75,4),"")</f>
        <v/>
      </c>
    </row>
    <row r="76">
      <c r="A76" s="6" t="n">
        <v>1998</v>
      </c>
      <c r="B76" s="6" t="inlineStr">
        <is>
          <t>oro-plata (manufacturas)</t>
        </is>
      </c>
      <c r="C76" s="6" t="n">
        <v>316111215</v>
      </c>
      <c r="D76" s="6" t="n">
        <v>0</v>
      </c>
      <c r="E76" s="6" t="n">
        <v>0</v>
      </c>
      <c r="F76" s="11">
        <f>IF(C76=0,"",ROUND(D76/C76,4))</f>
        <v/>
      </c>
      <c r="G76" s="11">
        <f>IF(ISNUMBER(F76),ROUND(F76-E76,4),"")</f>
        <v/>
      </c>
    </row>
    <row r="77">
      <c r="A77" s="9" t="n">
        <v>1998</v>
      </c>
      <c r="B77" s="9" t="inlineStr">
        <is>
          <t>plata</t>
        </is>
      </c>
      <c r="C77" s="9" t="n">
        <v>425675048</v>
      </c>
      <c r="D77" s="9" t="n">
        <v>115848</v>
      </c>
      <c r="E77" s="9" t="n">
        <v>0.0003</v>
      </c>
      <c r="F77" s="11">
        <f>IF(C77=0,"",ROUND(D77/C77,4))</f>
        <v/>
      </c>
      <c r="G77" s="11">
        <f>IF(ISNUMBER(F77),ROUND(F77-E77,4),"")</f>
        <v/>
      </c>
    </row>
    <row r="78">
      <c r="A78" s="6" t="n">
        <v>1998</v>
      </c>
      <c r="B78" s="6" t="inlineStr">
        <is>
          <t>plomo</t>
        </is>
      </c>
      <c r="C78" s="6" t="n">
        <v>44665583</v>
      </c>
      <c r="D78" s="6" t="n">
        <v>4415557</v>
      </c>
      <c r="E78" s="6" t="n">
        <v>0.0989</v>
      </c>
      <c r="F78" s="11">
        <f>IF(C78=0,"",ROUND(D78/C78,4))</f>
        <v/>
      </c>
      <c r="G78" s="11">
        <f>IF(ISNUMBER(F78),ROUND(F78-E78,4),"")</f>
        <v/>
      </c>
    </row>
    <row r="79">
      <c r="A79" s="9" t="n">
        <v>1998</v>
      </c>
      <c r="B79" s="9" t="inlineStr">
        <is>
          <t>silice</t>
        </is>
      </c>
      <c r="C79" s="9" t="n">
        <v>4040833</v>
      </c>
      <c r="D79" s="9" t="n">
        <v>282720</v>
      </c>
      <c r="E79" s="9" t="n">
        <v>0.07000000000000001</v>
      </c>
      <c r="F79" s="11">
        <f>IF(C79=0,"",ROUND(D79/C79,4))</f>
        <v/>
      </c>
      <c r="G79" s="11">
        <f>IF(ISNUMBER(F79),ROUND(F79-E79,4),"")</f>
        <v/>
      </c>
    </row>
    <row r="80">
      <c r="A80" s="6" t="n">
        <v>1998</v>
      </c>
      <c r="B80" s="6" t="inlineStr">
        <is>
          <t>zinc</t>
        </is>
      </c>
      <c r="C80" s="6" t="n">
        <v>184318187</v>
      </c>
      <c r="D80" s="6" t="n">
        <v>71915376</v>
      </c>
      <c r="E80" s="6" t="n">
        <v>0.3902</v>
      </c>
      <c r="F80" s="11">
        <f>IF(C80=0,"",ROUND(D80/C80,4))</f>
        <v/>
      </c>
      <c r="G80" s="11">
        <f>IF(ISNUMBER(F80),ROUND(F80-E80,4),"")</f>
        <v/>
      </c>
    </row>
    <row r="81">
      <c r="A81" s="9" t="n">
        <v>1999</v>
      </c>
      <c r="B81" s="9" t="inlineStr">
        <is>
          <t>barita</t>
        </is>
      </c>
      <c r="C81" s="9" t="n">
        <v>8097525</v>
      </c>
      <c r="D81" s="9" t="n">
        <v>1030666</v>
      </c>
      <c r="E81" s="9" t="n">
        <v>0.1273</v>
      </c>
      <c r="F81" s="11">
        <f>IF(C81=0,"",ROUND(D81/C81,4))</f>
        <v/>
      </c>
      <c r="G81" s="11">
        <f>IF(ISNUMBER(F81),ROUND(F81-E81,4),"")</f>
        <v/>
      </c>
    </row>
    <row r="82">
      <c r="A82" s="6" t="n">
        <v>1999</v>
      </c>
      <c r="B82" s="6" t="inlineStr">
        <is>
          <t>cobre</t>
        </is>
      </c>
      <c r="C82" s="6" t="n">
        <v>588579197</v>
      </c>
      <c r="D82" s="6" t="n">
        <v>24479468</v>
      </c>
      <c r="E82" s="6" t="n">
        <v>0.0416</v>
      </c>
      <c r="F82" s="11">
        <f>IF(C82=0,"",ROUND(D82/C82,4))</f>
        <v/>
      </c>
      <c r="G82" s="11">
        <f>IF(ISNUMBER(F82),ROUND(F82-E82,4),"")</f>
        <v/>
      </c>
    </row>
    <row r="83">
      <c r="A83" s="9" t="n">
        <v>1999</v>
      </c>
      <c r="B83" s="9" t="inlineStr">
        <is>
          <t>fluorita</t>
        </is>
      </c>
      <c r="C83" s="9" t="n">
        <v>131332007</v>
      </c>
      <c r="D83" s="9" t="n">
        <v>26503055</v>
      </c>
      <c r="E83" s="9" t="n">
        <v>0.2018</v>
      </c>
      <c r="F83" s="11">
        <f>IF(C83=0,"",ROUND(D83/C83,4))</f>
        <v/>
      </c>
      <c r="G83" s="11">
        <f>IF(ISNUMBER(F83),ROUND(F83-E83,4),"")</f>
        <v/>
      </c>
    </row>
    <row r="84">
      <c r="A84" s="6" t="n">
        <v>1999</v>
      </c>
      <c r="B84" s="6" t="inlineStr">
        <is>
          <t>grafito</t>
        </is>
      </c>
      <c r="C84" s="6" t="n">
        <v>65543722</v>
      </c>
      <c r="D84" s="6" t="n">
        <v>2027221</v>
      </c>
      <c r="E84" s="6" t="n">
        <v>0.0309</v>
      </c>
      <c r="F84" s="11">
        <f>IF(C84=0,"",ROUND(D84/C84,4))</f>
        <v/>
      </c>
      <c r="G84" s="11">
        <f>IF(ISNUMBER(F84),ROUND(F84-E84,4),"")</f>
        <v/>
      </c>
    </row>
    <row r="85">
      <c r="A85" s="9" t="n">
        <v>1999</v>
      </c>
      <c r="B85" s="9" t="inlineStr">
        <is>
          <t>manganeso</t>
        </is>
      </c>
      <c r="C85" s="9" t="n">
        <v>46651428</v>
      </c>
      <c r="D85" s="9" t="n">
        <v>4223878</v>
      </c>
      <c r="E85" s="9" t="n">
        <v>0.0905</v>
      </c>
      <c r="F85" s="11">
        <f>IF(C85=0,"",ROUND(D85/C85,4))</f>
        <v/>
      </c>
      <c r="G85" s="11">
        <f>IF(ISNUMBER(F85),ROUND(F85-E85,4),"")</f>
        <v/>
      </c>
    </row>
    <row r="86">
      <c r="A86" s="6" t="n">
        <v>1999</v>
      </c>
      <c r="B86" s="6" t="inlineStr">
        <is>
          <t>oro</t>
        </is>
      </c>
      <c r="C86" s="6" t="n">
        <v>102856981</v>
      </c>
      <c r="D86" s="6" t="n">
        <v>11399621</v>
      </c>
      <c r="E86" s="6" t="n">
        <v>0.1108</v>
      </c>
      <c r="F86" s="11">
        <f>IF(C86=0,"",ROUND(D86/C86,4))</f>
        <v/>
      </c>
      <c r="G86" s="11">
        <f>IF(ISNUMBER(F86),ROUND(F86-E86,4),"")</f>
        <v/>
      </c>
    </row>
    <row r="87">
      <c r="A87" s="9" t="n">
        <v>1999</v>
      </c>
      <c r="B87" s="9" t="inlineStr">
        <is>
          <t>oro-plata (manufacturas)</t>
        </is>
      </c>
      <c r="C87" s="9" t="n">
        <v>364566621</v>
      </c>
      <c r="D87" s="9" t="n">
        <v>0</v>
      </c>
      <c r="E87" s="9" t="n">
        <v>0</v>
      </c>
      <c r="F87" s="11">
        <f>IF(C87=0,"",ROUND(D87/C87,4))</f>
        <v/>
      </c>
      <c r="G87" s="11">
        <f>IF(ISNUMBER(F87),ROUND(F87-E87,4),"")</f>
        <v/>
      </c>
    </row>
    <row r="88">
      <c r="A88" s="6" t="n">
        <v>1999</v>
      </c>
      <c r="B88" s="6" t="inlineStr">
        <is>
          <t>plata</t>
        </is>
      </c>
      <c r="C88" s="6" t="n">
        <v>398757456</v>
      </c>
      <c r="D88" s="6" t="n">
        <v>69904</v>
      </c>
      <c r="E88" s="6" t="n">
        <v>0.0002</v>
      </c>
      <c r="F88" s="11">
        <f>IF(C88=0,"",ROUND(D88/C88,4))</f>
        <v/>
      </c>
      <c r="G88" s="11">
        <f>IF(ISNUMBER(F88),ROUND(F88-E88,4),"")</f>
        <v/>
      </c>
    </row>
    <row r="89">
      <c r="A89" s="9" t="n">
        <v>1999</v>
      </c>
      <c r="B89" s="9" t="inlineStr">
        <is>
          <t>plomo</t>
        </is>
      </c>
      <c r="C89" s="9" t="n">
        <v>37985321</v>
      </c>
      <c r="D89" s="9" t="n">
        <v>19056014</v>
      </c>
      <c r="E89" s="9" t="n">
        <v>0.5017</v>
      </c>
      <c r="F89" s="11">
        <f>IF(C89=0,"",ROUND(D89/C89,4))</f>
        <v/>
      </c>
      <c r="G89" s="11">
        <f>IF(ISNUMBER(F89),ROUND(F89-E89,4),"")</f>
        <v/>
      </c>
    </row>
    <row r="90">
      <c r="A90" s="6" t="n">
        <v>1999</v>
      </c>
      <c r="B90" s="6" t="inlineStr">
        <is>
          <t>silice</t>
        </is>
      </c>
      <c r="C90" s="6" t="n">
        <v>6843413</v>
      </c>
      <c r="D90" s="6" t="n">
        <v>895176</v>
      </c>
      <c r="E90" s="6" t="n">
        <v>0.1308</v>
      </c>
      <c r="F90" s="11">
        <f>IF(C90=0,"",ROUND(D90/C90,4))</f>
        <v/>
      </c>
      <c r="G90" s="11">
        <f>IF(ISNUMBER(F90),ROUND(F90-E90,4),"")</f>
        <v/>
      </c>
    </row>
    <row r="91">
      <c r="A91" s="9" t="n">
        <v>1999</v>
      </c>
      <c r="B91" s="9" t="inlineStr">
        <is>
          <t>zinc</t>
        </is>
      </c>
      <c r="C91" s="9" t="n">
        <v>212979028</v>
      </c>
      <c r="D91" s="9" t="n">
        <v>75143568</v>
      </c>
      <c r="E91" s="9" t="n">
        <v>0.3528</v>
      </c>
      <c r="F91" s="11">
        <f>IF(C91=0,"",ROUND(D91/C91,4))</f>
        <v/>
      </c>
      <c r="G91" s="11">
        <f>IF(ISNUMBER(F91),ROUND(F91-E91,4),"")</f>
        <v/>
      </c>
    </row>
    <row r="92">
      <c r="A92" s="6" t="n">
        <v>2000</v>
      </c>
      <c r="B92" s="6" t="inlineStr">
        <is>
          <t>barita</t>
        </is>
      </c>
      <c r="C92" s="6" t="n">
        <v>7261143</v>
      </c>
      <c r="D92" s="6" t="n">
        <v>767826</v>
      </c>
      <c r="E92" s="6" t="n">
        <v>0.1057</v>
      </c>
      <c r="F92" s="11">
        <f>IF(C92=0,"",ROUND(D92/C92,4))</f>
        <v/>
      </c>
      <c r="G92" s="11">
        <f>IF(ISNUMBER(F92),ROUND(F92-E92,4),"")</f>
        <v/>
      </c>
    </row>
    <row r="93">
      <c r="A93" s="9" t="n">
        <v>2000</v>
      </c>
      <c r="B93" s="9" t="inlineStr">
        <is>
          <t>cobre</t>
        </is>
      </c>
      <c r="C93" s="9" t="n">
        <v>793325604</v>
      </c>
      <c r="D93" s="9" t="n">
        <v>115701455</v>
      </c>
      <c r="E93" s="9" t="n">
        <v>0.1458</v>
      </c>
      <c r="F93" s="11">
        <f>IF(C93=0,"",ROUND(D93/C93,4))</f>
        <v/>
      </c>
      <c r="G93" s="11">
        <f>IF(ISNUMBER(F93),ROUND(F93-E93,4),"")</f>
        <v/>
      </c>
    </row>
    <row r="94">
      <c r="A94" s="6" t="n">
        <v>2000</v>
      </c>
      <c r="B94" s="6" t="inlineStr">
        <is>
          <t>fluorita</t>
        </is>
      </c>
      <c r="C94" s="6" t="n">
        <v>141799158</v>
      </c>
      <c r="D94" s="6" t="n">
        <v>29324727</v>
      </c>
      <c r="E94" s="6" t="n">
        <v>0.2068</v>
      </c>
      <c r="F94" s="11">
        <f>IF(C94=0,"",ROUND(D94/C94,4))</f>
        <v/>
      </c>
      <c r="G94" s="11">
        <f>IF(ISNUMBER(F94),ROUND(F94-E94,4),"")</f>
        <v/>
      </c>
    </row>
    <row r="95">
      <c r="A95" s="9" t="n">
        <v>2000</v>
      </c>
      <c r="B95" s="9" t="inlineStr">
        <is>
          <t>grafito</t>
        </is>
      </c>
      <c r="C95" s="9" t="n">
        <v>69121193</v>
      </c>
      <c r="D95" s="9" t="n">
        <v>2392258</v>
      </c>
      <c r="E95" s="9" t="n">
        <v>0.0346</v>
      </c>
      <c r="F95" s="11">
        <f>IF(C95=0,"",ROUND(D95/C95,4))</f>
        <v/>
      </c>
      <c r="G95" s="11">
        <f>IF(ISNUMBER(F95),ROUND(F95-E95,4),"")</f>
        <v/>
      </c>
    </row>
    <row r="96">
      <c r="A96" s="6" t="n">
        <v>2000</v>
      </c>
      <c r="B96" s="6" t="inlineStr">
        <is>
          <t>manganeso</t>
        </is>
      </c>
      <c r="C96" s="6" t="n">
        <v>52815410</v>
      </c>
      <c r="D96" s="6" t="n">
        <v>3726255</v>
      </c>
      <c r="E96" s="6" t="n">
        <v>0.0706</v>
      </c>
      <c r="F96" s="11">
        <f>IF(C96=0,"",ROUND(D96/C96,4))</f>
        <v/>
      </c>
      <c r="G96" s="11">
        <f>IF(ISNUMBER(F96),ROUND(F96-E96,4),"")</f>
        <v/>
      </c>
    </row>
    <row r="97">
      <c r="A97" s="9" t="n">
        <v>2000</v>
      </c>
      <c r="B97" s="9" t="inlineStr">
        <is>
          <t>oro</t>
        </is>
      </c>
      <c r="C97" s="9" t="n">
        <v>83466338</v>
      </c>
      <c r="D97" s="9" t="n">
        <v>5583174</v>
      </c>
      <c r="E97" s="9" t="n">
        <v>0.0669</v>
      </c>
      <c r="F97" s="11">
        <f>IF(C97=0,"",ROUND(D97/C97,4))</f>
        <v/>
      </c>
      <c r="G97" s="11">
        <f>IF(ISNUMBER(F97),ROUND(F97-E97,4),"")</f>
        <v/>
      </c>
    </row>
    <row r="98">
      <c r="A98" s="6" t="n">
        <v>2000</v>
      </c>
      <c r="B98" s="6" t="inlineStr">
        <is>
          <t>oro-plata (manufacturas)</t>
        </is>
      </c>
      <c r="C98" s="6" t="n">
        <v>354905469</v>
      </c>
      <c r="D98" s="6" t="n">
        <v>0</v>
      </c>
      <c r="E98" s="6" t="n">
        <v>0</v>
      </c>
      <c r="F98" s="11">
        <f>IF(C98=0,"",ROUND(D98/C98,4))</f>
        <v/>
      </c>
      <c r="G98" s="11">
        <f>IF(ISNUMBER(F98),ROUND(F98-E98,4),"")</f>
        <v/>
      </c>
    </row>
    <row r="99">
      <c r="A99" s="9" t="n">
        <v>2000</v>
      </c>
      <c r="B99" s="9" t="inlineStr">
        <is>
          <t>plata</t>
        </is>
      </c>
      <c r="C99" s="9" t="n">
        <v>431804661</v>
      </c>
      <c r="D99" s="9" t="n">
        <v>108222</v>
      </c>
      <c r="E99" s="9" t="n">
        <v>0.0003</v>
      </c>
      <c r="F99" s="11">
        <f>IF(C99=0,"",ROUND(D99/C99,4))</f>
        <v/>
      </c>
      <c r="G99" s="11">
        <f>IF(ISNUMBER(F99),ROUND(F99-E99,4),"")</f>
        <v/>
      </c>
    </row>
    <row r="100">
      <c r="A100" s="6" t="n">
        <v>2000</v>
      </c>
      <c r="B100" s="6" t="inlineStr">
        <is>
          <t>plomo</t>
        </is>
      </c>
      <c r="C100" s="6" t="n">
        <v>24846681</v>
      </c>
      <c r="D100" s="6" t="n">
        <v>13009691</v>
      </c>
      <c r="E100" s="6" t="n">
        <v>0.5236</v>
      </c>
      <c r="F100" s="11">
        <f>IF(C100=0,"",ROUND(D100/C100,4))</f>
        <v/>
      </c>
      <c r="G100" s="11">
        <f>IF(ISNUMBER(F100),ROUND(F100-E100,4),"")</f>
        <v/>
      </c>
    </row>
    <row r="101">
      <c r="A101" s="9" t="n">
        <v>2000</v>
      </c>
      <c r="B101" s="9" t="inlineStr">
        <is>
          <t>silice</t>
        </is>
      </c>
      <c r="C101" s="9" t="n">
        <v>7712450</v>
      </c>
      <c r="D101" s="9" t="n">
        <v>641074</v>
      </c>
      <c r="E101" s="9" t="n">
        <v>0.08309999999999999</v>
      </c>
      <c r="F101" s="11">
        <f>IF(C101=0,"",ROUND(D101/C101,4))</f>
        <v/>
      </c>
      <c r="G101" s="11">
        <f>IF(ISNUMBER(F101),ROUND(F101-E101,4),"")</f>
        <v/>
      </c>
    </row>
    <row r="102">
      <c r="A102" s="6" t="n">
        <v>2000</v>
      </c>
      <c r="B102" s="6" t="inlineStr">
        <is>
          <t>zinc</t>
        </is>
      </c>
      <c r="C102" s="6" t="n">
        <v>222071725</v>
      </c>
      <c r="D102" s="6" t="n">
        <v>77057234</v>
      </c>
      <c r="E102" s="6" t="n">
        <v>0.347</v>
      </c>
      <c r="F102" s="11">
        <f>IF(C102=0,"",ROUND(D102/C102,4))</f>
        <v/>
      </c>
      <c r="G102" s="11">
        <f>IF(ISNUMBER(F102),ROUND(F102-E102,4),"")</f>
        <v/>
      </c>
    </row>
    <row r="103">
      <c r="A103" s="9" t="n">
        <v>2001</v>
      </c>
      <c r="B103" s="9" t="inlineStr">
        <is>
          <t>barita</t>
        </is>
      </c>
      <c r="C103" s="9" t="n">
        <v>5235162</v>
      </c>
      <c r="D103" s="9" t="n">
        <v>560838</v>
      </c>
      <c r="E103" s="9" t="n">
        <v>0.1071</v>
      </c>
      <c r="F103" s="11">
        <f>IF(C103=0,"",ROUND(D103/C103,4))</f>
        <v/>
      </c>
      <c r="G103" s="11">
        <f>IF(ISNUMBER(F103),ROUND(F103-E103,4),"")</f>
        <v/>
      </c>
    </row>
    <row r="104">
      <c r="A104" s="6" t="n">
        <v>2001</v>
      </c>
      <c r="B104" s="6" t="inlineStr">
        <is>
          <t>cobre</t>
        </is>
      </c>
      <c r="C104" s="6" t="n">
        <v>706896336</v>
      </c>
      <c r="D104" s="6" t="n">
        <v>39768255</v>
      </c>
      <c r="E104" s="6" t="n">
        <v>0.0563</v>
      </c>
      <c r="F104" s="11">
        <f>IF(C104=0,"",ROUND(D104/C104,4))</f>
        <v/>
      </c>
      <c r="G104" s="11">
        <f>IF(ISNUMBER(F104),ROUND(F104-E104,4),"")</f>
        <v/>
      </c>
    </row>
    <row r="105">
      <c r="A105" s="9" t="n">
        <v>2001</v>
      </c>
      <c r="B105" s="9" t="inlineStr">
        <is>
          <t>fluorita</t>
        </is>
      </c>
      <c r="C105" s="9" t="n">
        <v>128370072</v>
      </c>
      <c r="D105" s="9" t="n">
        <v>29491564</v>
      </c>
      <c r="E105" s="9" t="n">
        <v>0.2297</v>
      </c>
      <c r="F105" s="11">
        <f>IF(C105=0,"",ROUND(D105/C105,4))</f>
        <v/>
      </c>
      <c r="G105" s="11">
        <f>IF(ISNUMBER(F105),ROUND(F105-E105,4),"")</f>
        <v/>
      </c>
    </row>
    <row r="106">
      <c r="A106" s="6" t="n">
        <v>2001</v>
      </c>
      <c r="B106" s="6" t="inlineStr">
        <is>
          <t>grafito</t>
        </is>
      </c>
      <c r="C106" s="6" t="n">
        <v>69283412</v>
      </c>
      <c r="D106" s="6" t="n">
        <v>2331722</v>
      </c>
      <c r="E106" s="6" t="n">
        <v>0.0337</v>
      </c>
      <c r="F106" s="11">
        <f>IF(C106=0,"",ROUND(D106/C106,4))</f>
        <v/>
      </c>
      <c r="G106" s="11">
        <f>IF(ISNUMBER(F106),ROUND(F106-E106,4),"")</f>
        <v/>
      </c>
    </row>
    <row r="107">
      <c r="A107" s="9" t="n">
        <v>2001</v>
      </c>
      <c r="B107" s="9" t="inlineStr">
        <is>
          <t>manganeso</t>
        </is>
      </c>
      <c r="C107" s="9" t="n">
        <v>33770626</v>
      </c>
      <c r="D107" s="9" t="n">
        <v>1983995</v>
      </c>
      <c r="E107" s="9" t="n">
        <v>0.0587</v>
      </c>
      <c r="F107" s="11">
        <f>IF(C107=0,"",ROUND(D107/C107,4))</f>
        <v/>
      </c>
      <c r="G107" s="11">
        <f>IF(ISNUMBER(F107),ROUND(F107-E107,4),"")</f>
        <v/>
      </c>
    </row>
    <row r="108">
      <c r="A108" s="6" t="n">
        <v>2001</v>
      </c>
      <c r="B108" s="6" t="inlineStr">
        <is>
          <t>oro</t>
        </is>
      </c>
      <c r="C108" s="6" t="n">
        <v>54645214</v>
      </c>
      <c r="D108" s="6" t="n">
        <v>0</v>
      </c>
      <c r="E108" s="6" t="n">
        <v>0</v>
      </c>
      <c r="F108" s="11">
        <f>IF(C108=0,"",ROUND(D108/C108,4))</f>
        <v/>
      </c>
      <c r="G108" s="11">
        <f>IF(ISNUMBER(F108),ROUND(F108-E108,4),"")</f>
        <v/>
      </c>
    </row>
    <row r="109">
      <c r="A109" s="9" t="n">
        <v>2001</v>
      </c>
      <c r="B109" s="9" t="inlineStr">
        <is>
          <t>oro-plata (manufacturas)</t>
        </is>
      </c>
      <c r="C109" s="9" t="n">
        <v>324190068</v>
      </c>
      <c r="D109" s="9" t="n">
        <v>0</v>
      </c>
      <c r="E109" s="9" t="n">
        <v>0</v>
      </c>
      <c r="F109" s="11">
        <f>IF(C109=0,"",ROUND(D109/C109,4))</f>
        <v/>
      </c>
      <c r="G109" s="11">
        <f>IF(ISNUMBER(F109),ROUND(F109-E109,4),"")</f>
        <v/>
      </c>
    </row>
    <row r="110">
      <c r="A110" s="6" t="n">
        <v>2001</v>
      </c>
      <c r="B110" s="6" t="inlineStr">
        <is>
          <t>plata</t>
        </is>
      </c>
      <c r="C110" s="6" t="n">
        <v>357431843</v>
      </c>
      <c r="D110" s="6" t="n">
        <v>0</v>
      </c>
      <c r="E110" s="6" t="n">
        <v>0</v>
      </c>
      <c r="F110" s="11">
        <f>IF(C110=0,"",ROUND(D110/C110,4))</f>
        <v/>
      </c>
      <c r="G110" s="11">
        <f>IF(ISNUMBER(F110),ROUND(F110-E110,4),"")</f>
        <v/>
      </c>
    </row>
    <row r="111">
      <c r="A111" s="9" t="n">
        <v>2001</v>
      </c>
      <c r="B111" s="9" t="inlineStr">
        <is>
          <t>plomo</t>
        </is>
      </c>
      <c r="C111" s="9" t="n">
        <v>13715653</v>
      </c>
      <c r="D111" s="9" t="n">
        <v>3044231</v>
      </c>
      <c r="E111" s="9" t="n">
        <v>0.222</v>
      </c>
      <c r="F111" s="11">
        <f>IF(C111=0,"",ROUND(D111/C111,4))</f>
        <v/>
      </c>
      <c r="G111" s="11">
        <f>IF(ISNUMBER(F111),ROUND(F111-E111,4),"")</f>
        <v/>
      </c>
    </row>
    <row r="112">
      <c r="A112" s="6" t="n">
        <v>2001</v>
      </c>
      <c r="B112" s="6" t="inlineStr">
        <is>
          <t>silice</t>
        </is>
      </c>
      <c r="C112" s="6" t="n">
        <v>8143772</v>
      </c>
      <c r="D112" s="6" t="n">
        <v>625211</v>
      </c>
      <c r="E112" s="6" t="n">
        <v>0.07679999999999999</v>
      </c>
      <c r="F112" s="11">
        <f>IF(C112=0,"",ROUND(D112/C112,4))</f>
        <v/>
      </c>
      <c r="G112" s="11">
        <f>IF(ISNUMBER(F112),ROUND(F112-E112,4),"")</f>
        <v/>
      </c>
    </row>
    <row r="113">
      <c r="A113" s="9" t="n">
        <v>2001</v>
      </c>
      <c r="B113" s="9" t="inlineStr">
        <is>
          <t>zinc</t>
        </is>
      </c>
      <c r="C113" s="9" t="n">
        <v>225237479</v>
      </c>
      <c r="D113" s="9" t="n">
        <v>57019713</v>
      </c>
      <c r="E113" s="9" t="n">
        <v>0.2532</v>
      </c>
      <c r="F113" s="11">
        <f>IF(C113=0,"",ROUND(D113/C113,4))</f>
        <v/>
      </c>
      <c r="G113" s="11">
        <f>IF(ISNUMBER(F113),ROUND(F113-E113,4),"")</f>
        <v/>
      </c>
    </row>
    <row r="114">
      <c r="A114" s="6" t="n">
        <v>2002</v>
      </c>
      <c r="B114" s="6" t="inlineStr">
        <is>
          <t>barita</t>
        </is>
      </c>
      <c r="C114" s="6" t="n">
        <v>1397258</v>
      </c>
      <c r="D114" s="6" t="n">
        <v>295067</v>
      </c>
      <c r="E114" s="6" t="n">
        <v>0.2112</v>
      </c>
      <c r="F114" s="11">
        <f>IF(C114=0,"",ROUND(D114/C114,4))</f>
        <v/>
      </c>
      <c r="G114" s="11">
        <f>IF(ISNUMBER(F114),ROUND(F114-E114,4),"")</f>
        <v/>
      </c>
    </row>
    <row r="115">
      <c r="A115" s="9" t="n">
        <v>2002</v>
      </c>
      <c r="B115" s="9" t="inlineStr">
        <is>
          <t>cobre</t>
        </is>
      </c>
      <c r="C115" s="9" t="n">
        <v>474287982</v>
      </c>
      <c r="D115" s="9" t="n">
        <v>48017012</v>
      </c>
      <c r="E115" s="9" t="n">
        <v>0.1012</v>
      </c>
      <c r="F115" s="11">
        <f>IF(C115=0,"",ROUND(D115/C115,4))</f>
        <v/>
      </c>
      <c r="G115" s="11">
        <f>IF(ISNUMBER(F115),ROUND(F115-E115,4),"")</f>
        <v/>
      </c>
    </row>
    <row r="116">
      <c r="A116" s="6" t="n">
        <v>2002</v>
      </c>
      <c r="B116" s="6" t="inlineStr">
        <is>
          <t>fluorita</t>
        </is>
      </c>
      <c r="C116" s="6" t="n">
        <v>130034130</v>
      </c>
      <c r="D116" s="6" t="n">
        <v>29185599</v>
      </c>
      <c r="E116" s="6" t="n">
        <v>0.2244</v>
      </c>
      <c r="F116" s="11">
        <f>IF(C116=0,"",ROUND(D116/C116,4))</f>
        <v/>
      </c>
      <c r="G116" s="11">
        <f>IF(ISNUMBER(F116),ROUND(F116-E116,4),"")</f>
        <v/>
      </c>
    </row>
    <row r="117">
      <c r="A117" s="9" t="n">
        <v>2002</v>
      </c>
      <c r="B117" s="9" t="inlineStr">
        <is>
          <t>grafito</t>
        </is>
      </c>
      <c r="C117" s="9" t="n">
        <v>89060999</v>
      </c>
      <c r="D117" s="9" t="n">
        <v>1540744</v>
      </c>
      <c r="E117" s="9" t="n">
        <v>0.0173</v>
      </c>
      <c r="F117" s="11">
        <f>IF(C117=0,"",ROUND(D117/C117,4))</f>
        <v/>
      </c>
      <c r="G117" s="11">
        <f>IF(ISNUMBER(F117),ROUND(F117-E117,4),"")</f>
        <v/>
      </c>
    </row>
    <row r="118">
      <c r="A118" s="6" t="n">
        <v>2002</v>
      </c>
      <c r="B118" s="6" t="inlineStr">
        <is>
          <t>manganeso</t>
        </is>
      </c>
      <c r="C118" s="6" t="n">
        <v>19025839</v>
      </c>
      <c r="D118" s="6" t="n">
        <v>2499186</v>
      </c>
      <c r="E118" s="6" t="n">
        <v>0.1314</v>
      </c>
      <c r="F118" s="11">
        <f>IF(C118=0,"",ROUND(D118/C118,4))</f>
        <v/>
      </c>
      <c r="G118" s="11">
        <f>IF(ISNUMBER(F118),ROUND(F118-E118,4),"")</f>
        <v/>
      </c>
    </row>
    <row r="119">
      <c r="A119" s="9" t="n">
        <v>2002</v>
      </c>
      <c r="B119" s="9" t="inlineStr">
        <is>
          <t>oro</t>
        </is>
      </c>
      <c r="C119" s="9" t="n">
        <v>80204403</v>
      </c>
      <c r="D119" s="9" t="n">
        <v>0</v>
      </c>
      <c r="E119" s="9" t="n">
        <v>0</v>
      </c>
      <c r="F119" s="11">
        <f>IF(C119=0,"",ROUND(D119/C119,4))</f>
        <v/>
      </c>
      <c r="G119" s="11">
        <f>IF(ISNUMBER(F119),ROUND(F119-E119,4),"")</f>
        <v/>
      </c>
    </row>
    <row r="120">
      <c r="A120" s="6" t="n">
        <v>2002</v>
      </c>
      <c r="B120" s="6" t="inlineStr">
        <is>
          <t>oro-plata (manufacturas)</t>
        </is>
      </c>
      <c r="C120" s="6" t="n">
        <v>337614943</v>
      </c>
      <c r="D120" s="6" t="n">
        <v>0</v>
      </c>
      <c r="E120" s="6" t="n">
        <v>0</v>
      </c>
      <c r="F120" s="11">
        <f>IF(C120=0,"",ROUND(D120/C120,4))</f>
        <v/>
      </c>
      <c r="G120" s="11">
        <f>IF(ISNUMBER(F120),ROUND(F120-E120,4),"")</f>
        <v/>
      </c>
    </row>
    <row r="121">
      <c r="A121" s="9" t="n">
        <v>2002</v>
      </c>
      <c r="B121" s="9" t="inlineStr">
        <is>
          <t>plata</t>
        </is>
      </c>
      <c r="C121" s="9" t="n">
        <v>531997574</v>
      </c>
      <c r="D121" s="9" t="n">
        <v>628644</v>
      </c>
      <c r="E121" s="9" t="n">
        <v>0.0012</v>
      </c>
      <c r="F121" s="11">
        <f>IF(C121=0,"",ROUND(D121/C121,4))</f>
        <v/>
      </c>
      <c r="G121" s="11">
        <f>IF(ISNUMBER(F121),ROUND(F121-E121,4),"")</f>
        <v/>
      </c>
    </row>
    <row r="122">
      <c r="A122" s="6" t="n">
        <v>2002</v>
      </c>
      <c r="B122" s="6" t="inlineStr">
        <is>
          <t>plomo</t>
        </is>
      </c>
      <c r="C122" s="6" t="n">
        <v>6834871</v>
      </c>
      <c r="D122" s="6" t="n">
        <v>690361</v>
      </c>
      <c r="E122" s="6" t="n">
        <v>0.101</v>
      </c>
      <c r="F122" s="11">
        <f>IF(C122=0,"",ROUND(D122/C122,4))</f>
        <v/>
      </c>
      <c r="G122" s="11">
        <f>IF(ISNUMBER(F122),ROUND(F122-E122,4),"")</f>
        <v/>
      </c>
    </row>
    <row r="123">
      <c r="A123" s="9" t="n">
        <v>2002</v>
      </c>
      <c r="B123" s="9" t="inlineStr">
        <is>
          <t>silice</t>
        </is>
      </c>
      <c r="C123" s="9" t="n">
        <v>6023228</v>
      </c>
      <c r="D123" s="9" t="n">
        <v>339074</v>
      </c>
      <c r="E123" s="9" t="n">
        <v>0.0563</v>
      </c>
      <c r="F123" s="11">
        <f>IF(C123=0,"",ROUND(D123/C123,4))</f>
        <v/>
      </c>
      <c r="G123" s="11">
        <f>IF(ISNUMBER(F123),ROUND(F123-E123,4),"")</f>
        <v/>
      </c>
    </row>
    <row r="124">
      <c r="A124" s="6" t="n">
        <v>2002</v>
      </c>
      <c r="B124" s="6" t="inlineStr">
        <is>
          <t>zinc</t>
        </is>
      </c>
      <c r="C124" s="6" t="n">
        <v>215680196</v>
      </c>
      <c r="D124" s="6" t="n">
        <v>54149930</v>
      </c>
      <c r="E124" s="6" t="n">
        <v>0.2511</v>
      </c>
      <c r="F124" s="11">
        <f>IF(C124=0,"",ROUND(D124/C124,4))</f>
        <v/>
      </c>
      <c r="G124" s="11">
        <f>IF(ISNUMBER(F124),ROUND(F124-E124,4),"")</f>
        <v/>
      </c>
    </row>
    <row r="125">
      <c r="A125" s="9" t="n">
        <v>2003</v>
      </c>
      <c r="B125" s="9" t="inlineStr">
        <is>
          <t>barita</t>
        </is>
      </c>
      <c r="C125" s="9" t="n">
        <v>3015329</v>
      </c>
      <c r="D125" s="9" t="n">
        <v>158568</v>
      </c>
      <c r="E125" s="9" t="n">
        <v>0.0526</v>
      </c>
      <c r="F125" s="11">
        <f>IF(C125=0,"",ROUND(D125/C125,4))</f>
        <v/>
      </c>
      <c r="G125" s="11">
        <f>IF(ISNUMBER(F125),ROUND(F125-E125,4),"")</f>
        <v/>
      </c>
    </row>
    <row r="126">
      <c r="A126" s="6" t="n">
        <v>2003</v>
      </c>
      <c r="B126" s="6" t="inlineStr">
        <is>
          <t>cobre</t>
        </is>
      </c>
      <c r="C126" s="6" t="n">
        <v>419999870</v>
      </c>
      <c r="D126" s="6" t="n">
        <v>55865611</v>
      </c>
      <c r="E126" s="6" t="n">
        <v>0.133</v>
      </c>
      <c r="F126" s="11">
        <f>IF(C126=0,"",ROUND(D126/C126,4))</f>
        <v/>
      </c>
      <c r="G126" s="11">
        <f>IF(ISNUMBER(F126),ROUND(F126-E126,4),"")</f>
        <v/>
      </c>
    </row>
    <row r="127">
      <c r="A127" s="9" t="n">
        <v>2003</v>
      </c>
      <c r="B127" s="9" t="inlineStr">
        <is>
          <t>fluorita</t>
        </is>
      </c>
      <c r="C127" s="9" t="n">
        <v>133786380</v>
      </c>
      <c r="D127" s="9" t="n">
        <v>39306023</v>
      </c>
      <c r="E127" s="9" t="n">
        <v>0.2938</v>
      </c>
      <c r="F127" s="11">
        <f>IF(C127=0,"",ROUND(D127/C127,4))</f>
        <v/>
      </c>
      <c r="G127" s="11">
        <f>IF(ISNUMBER(F127),ROUND(F127-E127,4),"")</f>
        <v/>
      </c>
    </row>
    <row r="128">
      <c r="A128" s="6" t="n">
        <v>2003</v>
      </c>
      <c r="B128" s="6" t="inlineStr">
        <is>
          <t>grafito</t>
        </is>
      </c>
      <c r="C128" s="6" t="n">
        <v>120441305</v>
      </c>
      <c r="D128" s="6" t="n">
        <v>1493698</v>
      </c>
      <c r="E128" s="6" t="n">
        <v>0.0124</v>
      </c>
      <c r="F128" s="11">
        <f>IF(C128=0,"",ROUND(D128/C128,4))</f>
        <v/>
      </c>
      <c r="G128" s="11">
        <f>IF(ISNUMBER(F128),ROUND(F128-E128,4),"")</f>
        <v/>
      </c>
    </row>
    <row r="129">
      <c r="A129" s="9" t="n">
        <v>2003</v>
      </c>
      <c r="B129" s="9" t="inlineStr">
        <is>
          <t>manganeso</t>
        </is>
      </c>
      <c r="C129" s="9" t="n">
        <v>26469855</v>
      </c>
      <c r="D129" s="9" t="n">
        <v>2311065</v>
      </c>
      <c r="E129" s="9" t="n">
        <v>0.0873</v>
      </c>
      <c r="F129" s="11">
        <f>IF(C129=0,"",ROUND(D129/C129,4))</f>
        <v/>
      </c>
      <c r="G129" s="11">
        <f>IF(ISNUMBER(F129),ROUND(F129-E129,4),"")</f>
        <v/>
      </c>
    </row>
    <row r="130">
      <c r="A130" s="6" t="n">
        <v>2003</v>
      </c>
      <c r="B130" s="6" t="inlineStr">
        <is>
          <t>oro</t>
        </is>
      </c>
      <c r="C130" s="6" t="n">
        <v>156753172</v>
      </c>
      <c r="D130" s="6" t="n">
        <v>0</v>
      </c>
      <c r="E130" s="6" t="n">
        <v>0</v>
      </c>
      <c r="F130" s="11">
        <f>IF(C130=0,"",ROUND(D130/C130,4))</f>
        <v/>
      </c>
      <c r="G130" s="11">
        <f>IF(ISNUMBER(F130),ROUND(F130-E130,4),"")</f>
        <v/>
      </c>
    </row>
    <row r="131">
      <c r="A131" s="9" t="n">
        <v>2003</v>
      </c>
      <c r="B131" s="9" t="inlineStr">
        <is>
          <t>oro-plata (manufacturas)</t>
        </is>
      </c>
      <c r="C131" s="9" t="n">
        <v>363424846</v>
      </c>
      <c r="D131" s="9" t="n">
        <v>0</v>
      </c>
      <c r="E131" s="9" t="n">
        <v>0</v>
      </c>
      <c r="F131" s="11">
        <f>IF(C131=0,"",ROUND(D131/C131,4))</f>
        <v/>
      </c>
      <c r="G131" s="11">
        <f>IF(ISNUMBER(F131),ROUND(F131-E131,4),"")</f>
        <v/>
      </c>
    </row>
    <row r="132">
      <c r="A132" s="6" t="n">
        <v>2003</v>
      </c>
      <c r="B132" s="6" t="inlineStr">
        <is>
          <t>plata</t>
        </is>
      </c>
      <c r="C132" s="6" t="n">
        <v>512417661</v>
      </c>
      <c r="D132" s="6" t="n">
        <v>879148</v>
      </c>
      <c r="E132" s="6" t="n">
        <v>0.0017</v>
      </c>
      <c r="F132" s="11">
        <f>IF(C132=0,"",ROUND(D132/C132,4))</f>
        <v/>
      </c>
      <c r="G132" s="11">
        <f>IF(ISNUMBER(F132),ROUND(F132-E132,4),"")</f>
        <v/>
      </c>
    </row>
    <row r="133">
      <c r="A133" s="9" t="n">
        <v>2003</v>
      </c>
      <c r="B133" s="9" t="inlineStr">
        <is>
          <t>plomo</t>
        </is>
      </c>
      <c r="C133" s="9" t="n">
        <v>19097146</v>
      </c>
      <c r="D133" s="9" t="n">
        <v>11557733</v>
      </c>
      <c r="E133" s="9" t="n">
        <v>0.6052</v>
      </c>
      <c r="F133" s="11">
        <f>IF(C133=0,"",ROUND(D133/C133,4))</f>
        <v/>
      </c>
      <c r="G133" s="11">
        <f>IF(ISNUMBER(F133),ROUND(F133-E133,4),"")</f>
        <v/>
      </c>
    </row>
    <row r="134">
      <c r="A134" s="6" t="n">
        <v>2003</v>
      </c>
      <c r="B134" s="6" t="inlineStr">
        <is>
          <t>silice</t>
        </is>
      </c>
      <c r="C134" s="6" t="n">
        <v>5438782</v>
      </c>
      <c r="D134" s="6" t="n">
        <v>339166</v>
      </c>
      <c r="E134" s="6" t="n">
        <v>0.0624</v>
      </c>
      <c r="F134" s="11">
        <f>IF(C134=0,"",ROUND(D134/C134,4))</f>
        <v/>
      </c>
      <c r="G134" s="11">
        <f>IF(ISNUMBER(F134),ROUND(F134-E134,4),"")</f>
        <v/>
      </c>
    </row>
    <row r="135">
      <c r="A135" s="9" t="n">
        <v>2003</v>
      </c>
      <c r="B135" s="9" t="inlineStr">
        <is>
          <t>zinc</t>
        </is>
      </c>
      <c r="C135" s="9" t="n">
        <v>234636036</v>
      </c>
      <c r="D135" s="9" t="n">
        <v>54195655</v>
      </c>
      <c r="E135" s="9" t="n">
        <v>0.231</v>
      </c>
      <c r="F135" s="11">
        <f>IF(C135=0,"",ROUND(D135/C135,4))</f>
        <v/>
      </c>
      <c r="G135" s="11">
        <f>IF(ISNUMBER(F135),ROUND(F135-E135,4),"")</f>
        <v/>
      </c>
    </row>
    <row r="136">
      <c r="A136" s="6" t="n">
        <v>2004</v>
      </c>
      <c r="B136" s="6" t="inlineStr">
        <is>
          <t>barita</t>
        </is>
      </c>
      <c r="C136" s="6" t="n">
        <v>2252499</v>
      </c>
      <c r="D136" s="6" t="n">
        <v>329427</v>
      </c>
      <c r="E136" s="6" t="n">
        <v>0.1462</v>
      </c>
      <c r="F136" s="11">
        <f>IF(C136=0,"",ROUND(D136/C136,4))</f>
        <v/>
      </c>
      <c r="G136" s="11">
        <f>IF(ISNUMBER(F136),ROUND(F136-E136,4),"")</f>
        <v/>
      </c>
    </row>
    <row r="137">
      <c r="A137" s="9" t="n">
        <v>2004</v>
      </c>
      <c r="B137" s="9" t="inlineStr">
        <is>
          <t>cobre</t>
        </is>
      </c>
      <c r="C137" s="9" t="n">
        <v>729648054</v>
      </c>
      <c r="D137" s="9" t="n">
        <v>142696018</v>
      </c>
      <c r="E137" s="9" t="n">
        <v>0.1956</v>
      </c>
      <c r="F137" s="11">
        <f>IF(C137=0,"",ROUND(D137/C137,4))</f>
        <v/>
      </c>
      <c r="G137" s="11">
        <f>IF(ISNUMBER(F137),ROUND(F137-E137,4),"")</f>
        <v/>
      </c>
    </row>
    <row r="138">
      <c r="A138" s="6" t="n">
        <v>2004</v>
      </c>
      <c r="B138" s="6" t="inlineStr">
        <is>
          <t>fluorita</t>
        </is>
      </c>
      <c r="C138" s="6" t="n">
        <v>136356629</v>
      </c>
      <c r="D138" s="6" t="n">
        <v>49277614</v>
      </c>
      <c r="E138" s="6" t="n">
        <v>0.3614</v>
      </c>
      <c r="F138" s="11">
        <f>IF(C138=0,"",ROUND(D138/C138,4))</f>
        <v/>
      </c>
      <c r="G138" s="11">
        <f>IF(ISNUMBER(F138),ROUND(F138-E138,4),"")</f>
        <v/>
      </c>
    </row>
    <row r="139">
      <c r="A139" s="9" t="n">
        <v>2004</v>
      </c>
      <c r="B139" s="9" t="inlineStr">
        <is>
          <t>grafito</t>
        </is>
      </c>
      <c r="C139" s="9" t="n">
        <v>96839144</v>
      </c>
      <c r="D139" s="9" t="n">
        <v>2862457</v>
      </c>
      <c r="E139" s="9" t="n">
        <v>0.0296</v>
      </c>
      <c r="F139" s="11">
        <f>IF(C139=0,"",ROUND(D139/C139,4))</f>
        <v/>
      </c>
      <c r="G139" s="11">
        <f>IF(ISNUMBER(F139),ROUND(F139-E139,4),"")</f>
        <v/>
      </c>
    </row>
    <row r="140">
      <c r="A140" s="6" t="n">
        <v>2004</v>
      </c>
      <c r="B140" s="6" t="inlineStr">
        <is>
          <t>manganeso</t>
        </is>
      </c>
      <c r="C140" s="6" t="n">
        <v>34786101</v>
      </c>
      <c r="D140" s="6" t="n">
        <v>2135077</v>
      </c>
      <c r="E140" s="6" t="n">
        <v>0.0614</v>
      </c>
      <c r="F140" s="11">
        <f>IF(C140=0,"",ROUND(D140/C140,4))</f>
        <v/>
      </c>
      <c r="G140" s="11">
        <f>IF(ISNUMBER(F140),ROUND(F140-E140,4),"")</f>
        <v/>
      </c>
    </row>
    <row r="141">
      <c r="A141" s="9" t="n">
        <v>2004</v>
      </c>
      <c r="B141" s="9" t="inlineStr">
        <is>
          <t>oro</t>
        </is>
      </c>
      <c r="C141" s="9" t="n">
        <v>154210869</v>
      </c>
      <c r="D141" s="9" t="n">
        <v>18333</v>
      </c>
      <c r="E141" s="9" t="n">
        <v>0.0001</v>
      </c>
      <c r="F141" s="11">
        <f>IF(C141=0,"",ROUND(D141/C141,4))</f>
        <v/>
      </c>
      <c r="G141" s="11">
        <f>IF(ISNUMBER(F141),ROUND(F141-E141,4),"")</f>
        <v/>
      </c>
    </row>
    <row r="142">
      <c r="A142" s="6" t="n">
        <v>2004</v>
      </c>
      <c r="B142" s="6" t="inlineStr">
        <is>
          <t>oro-plata (manufacturas)</t>
        </is>
      </c>
      <c r="C142" s="6" t="n">
        <v>545999372</v>
      </c>
      <c r="D142" s="6" t="n">
        <v>0</v>
      </c>
      <c r="E142" s="6" t="n">
        <v>0</v>
      </c>
      <c r="F142" s="11">
        <f>IF(C142=0,"",ROUND(D142/C142,4))</f>
        <v/>
      </c>
      <c r="G142" s="11">
        <f>IF(ISNUMBER(F142),ROUND(F142-E142,4),"")</f>
        <v/>
      </c>
    </row>
    <row r="143">
      <c r="A143" s="9" t="n">
        <v>2004</v>
      </c>
      <c r="B143" s="9" t="inlineStr">
        <is>
          <t>plata</t>
        </is>
      </c>
      <c r="C143" s="9" t="n">
        <v>681282124</v>
      </c>
      <c r="D143" s="9" t="n">
        <v>858138</v>
      </c>
      <c r="E143" s="9" t="n">
        <v>0.0013</v>
      </c>
      <c r="F143" s="11">
        <f>IF(C143=0,"",ROUND(D143/C143,4))</f>
        <v/>
      </c>
      <c r="G143" s="11">
        <f>IF(ISNUMBER(F143),ROUND(F143-E143,4),"")</f>
        <v/>
      </c>
    </row>
    <row r="144">
      <c r="A144" s="6" t="n">
        <v>2004</v>
      </c>
      <c r="B144" s="6" t="inlineStr">
        <is>
          <t>plomo</t>
        </is>
      </c>
      <c r="C144" s="6" t="n">
        <v>23862543</v>
      </c>
      <c r="D144" s="6" t="n">
        <v>15726602</v>
      </c>
      <c r="E144" s="6" t="n">
        <v>0.659</v>
      </c>
      <c r="F144" s="11">
        <f>IF(C144=0,"",ROUND(D144/C144,4))</f>
        <v/>
      </c>
      <c r="G144" s="11">
        <f>IF(ISNUMBER(F144),ROUND(F144-E144,4),"")</f>
        <v/>
      </c>
    </row>
    <row r="145">
      <c r="A145" s="9" t="n">
        <v>2004</v>
      </c>
      <c r="B145" s="9" t="inlineStr">
        <is>
          <t>silice</t>
        </is>
      </c>
      <c r="C145" s="9" t="n">
        <v>9770881</v>
      </c>
      <c r="D145" s="9" t="n">
        <v>1346939</v>
      </c>
      <c r="E145" s="9" t="n">
        <v>0.1379</v>
      </c>
      <c r="F145" s="11">
        <f>IF(C145=0,"",ROUND(D145/C145,4))</f>
        <v/>
      </c>
      <c r="G145" s="11">
        <f>IF(ISNUMBER(F145),ROUND(F145-E145,4),"")</f>
        <v/>
      </c>
    </row>
    <row r="146">
      <c r="A146" s="6" t="n">
        <v>2004</v>
      </c>
      <c r="B146" s="6" t="inlineStr">
        <is>
          <t>zinc</t>
        </is>
      </c>
      <c r="C146" s="6" t="n">
        <v>281127471</v>
      </c>
      <c r="D146" s="6" t="n">
        <v>53150900</v>
      </c>
      <c r="E146" s="6" t="n">
        <v>0.1891</v>
      </c>
      <c r="F146" s="11">
        <f>IF(C146=0,"",ROUND(D146/C146,4))</f>
        <v/>
      </c>
      <c r="G146" s="11">
        <f>IF(ISNUMBER(F146),ROUND(F146-E146,4),"")</f>
        <v/>
      </c>
    </row>
    <row r="147">
      <c r="A147" s="9" t="n">
        <v>2005</v>
      </c>
      <c r="B147" s="9" t="inlineStr">
        <is>
          <t>barita</t>
        </is>
      </c>
      <c r="C147" s="9" t="n">
        <v>1600552</v>
      </c>
      <c r="D147" s="9" t="n">
        <v>1260125</v>
      </c>
      <c r="E147" s="9" t="n">
        <v>0.7873</v>
      </c>
      <c r="F147" s="11">
        <f>IF(C147=0,"",ROUND(D147/C147,4))</f>
        <v/>
      </c>
      <c r="G147" s="11">
        <f>IF(ISNUMBER(F147),ROUND(F147-E147,4),"")</f>
        <v/>
      </c>
    </row>
    <row r="148">
      <c r="A148" s="6" t="n">
        <v>2005</v>
      </c>
      <c r="B148" s="6" t="inlineStr">
        <is>
          <t>cobre</t>
        </is>
      </c>
      <c r="C148" s="6" t="n">
        <v>988942906</v>
      </c>
      <c r="D148" s="6" t="n">
        <v>89827731</v>
      </c>
      <c r="E148" s="6" t="n">
        <v>0.09080000000000001</v>
      </c>
      <c r="F148" s="11">
        <f>IF(C148=0,"",ROUND(D148/C148,4))</f>
        <v/>
      </c>
      <c r="G148" s="11">
        <f>IF(ISNUMBER(F148),ROUND(F148-E148,4),"")</f>
        <v/>
      </c>
    </row>
    <row r="149">
      <c r="A149" s="9" t="n">
        <v>2005</v>
      </c>
      <c r="B149" s="9" t="inlineStr">
        <is>
          <t>fluorita</t>
        </is>
      </c>
      <c r="C149" s="9" t="n">
        <v>157033495</v>
      </c>
      <c r="D149" s="9" t="n">
        <v>54291105</v>
      </c>
      <c r="E149" s="9" t="n">
        <v>0.3457</v>
      </c>
      <c r="F149" s="11">
        <f>IF(C149=0,"",ROUND(D149/C149,4))</f>
        <v/>
      </c>
      <c r="G149" s="11">
        <f>IF(ISNUMBER(F149),ROUND(F149-E149,4),"")</f>
        <v/>
      </c>
    </row>
    <row r="150">
      <c r="A150" s="6" t="n">
        <v>2005</v>
      </c>
      <c r="B150" s="6" t="inlineStr">
        <is>
          <t>grafito</t>
        </is>
      </c>
      <c r="C150" s="6" t="n">
        <v>85497427</v>
      </c>
      <c r="D150" s="6" t="n">
        <v>2735828</v>
      </c>
      <c r="E150" s="6" t="n">
        <v>0.032</v>
      </c>
      <c r="F150" s="11">
        <f>IF(C150=0,"",ROUND(D150/C150,4))</f>
        <v/>
      </c>
      <c r="G150" s="11">
        <f>IF(ISNUMBER(F150),ROUND(F150-E150,4),"")</f>
        <v/>
      </c>
    </row>
    <row r="151">
      <c r="A151" s="9" t="n">
        <v>2005</v>
      </c>
      <c r="B151" s="9" t="inlineStr">
        <is>
          <t>manganeso</t>
        </is>
      </c>
      <c r="C151" s="9" t="n">
        <v>59836498</v>
      </c>
      <c r="D151" s="9" t="n">
        <v>2686754</v>
      </c>
      <c r="E151" s="9" t="n">
        <v>0.0449</v>
      </c>
      <c r="F151" s="11">
        <f>IF(C151=0,"",ROUND(D151/C151,4))</f>
        <v/>
      </c>
      <c r="G151" s="11">
        <f>IF(ISNUMBER(F151),ROUND(F151-E151,4),"")</f>
        <v/>
      </c>
    </row>
    <row r="152">
      <c r="A152" s="6" t="n">
        <v>2005</v>
      </c>
      <c r="B152" s="6" t="inlineStr">
        <is>
          <t>oro</t>
        </is>
      </c>
      <c r="C152" s="6" t="n">
        <v>305420820</v>
      </c>
      <c r="D152" s="6" t="n">
        <v>9872</v>
      </c>
      <c r="E152" s="6" t="n">
        <v>0</v>
      </c>
      <c r="F152" s="11">
        <f>IF(C152=0,"",ROUND(D152/C152,4))</f>
        <v/>
      </c>
      <c r="G152" s="11">
        <f>IF(ISNUMBER(F152),ROUND(F152-E152,4),"")</f>
        <v/>
      </c>
    </row>
    <row r="153">
      <c r="A153" s="9" t="n">
        <v>2005</v>
      </c>
      <c r="B153" s="9" t="inlineStr">
        <is>
          <t>oro-plata (manufacturas)</t>
        </is>
      </c>
      <c r="C153" s="9" t="n">
        <v>588220322</v>
      </c>
      <c r="D153" s="9" t="n">
        <v>0</v>
      </c>
      <c r="E153" s="9" t="n">
        <v>0</v>
      </c>
      <c r="F153" s="11">
        <f>IF(C153=0,"",ROUND(D153/C153,4))</f>
        <v/>
      </c>
      <c r="G153" s="11">
        <f>IF(ISNUMBER(F153),ROUND(F153-E153,4),"")</f>
        <v/>
      </c>
    </row>
    <row r="154">
      <c r="A154" s="6" t="n">
        <v>2005</v>
      </c>
      <c r="B154" s="6" t="inlineStr">
        <is>
          <t>plata</t>
        </is>
      </c>
      <c r="C154" s="6" t="n">
        <v>712395430</v>
      </c>
      <c r="D154" s="6" t="n">
        <v>651918</v>
      </c>
      <c r="E154" s="6" t="n">
        <v>0.0009</v>
      </c>
      <c r="F154" s="11">
        <f>IF(C154=0,"",ROUND(D154/C154,4))</f>
        <v/>
      </c>
      <c r="G154" s="11">
        <f>IF(ISNUMBER(F154),ROUND(F154-E154,4),"")</f>
        <v/>
      </c>
    </row>
    <row r="155">
      <c r="A155" s="9" t="n">
        <v>2005</v>
      </c>
      <c r="B155" s="9" t="inlineStr">
        <is>
          <t>plomo</t>
        </is>
      </c>
      <c r="C155" s="9" t="n">
        <v>20777684</v>
      </c>
      <c r="D155" s="9" t="n">
        <v>2012224</v>
      </c>
      <c r="E155" s="9" t="n">
        <v>0.0968</v>
      </c>
      <c r="F155" s="11">
        <f>IF(C155=0,"",ROUND(D155/C155,4))</f>
        <v/>
      </c>
      <c r="G155" s="11">
        <f>IF(ISNUMBER(F155),ROUND(F155-E155,4),"")</f>
        <v/>
      </c>
    </row>
    <row r="156">
      <c r="A156" s="6" t="n">
        <v>2005</v>
      </c>
      <c r="B156" s="6" t="inlineStr">
        <is>
          <t>silice</t>
        </is>
      </c>
      <c r="C156" s="6" t="n">
        <v>9763372</v>
      </c>
      <c r="D156" s="6" t="n">
        <v>1273196</v>
      </c>
      <c r="E156" s="6" t="n">
        <v>0.1304</v>
      </c>
      <c r="F156" s="11">
        <f>IF(C156=0,"",ROUND(D156/C156,4))</f>
        <v/>
      </c>
      <c r="G156" s="11">
        <f>IF(ISNUMBER(F156),ROUND(F156-E156,4),"")</f>
        <v/>
      </c>
    </row>
    <row r="157">
      <c r="A157" s="9" t="n">
        <v>2005</v>
      </c>
      <c r="B157" s="9" t="inlineStr">
        <is>
          <t>zinc</t>
        </is>
      </c>
      <c r="C157" s="9" t="n">
        <v>405997136</v>
      </c>
      <c r="D157" s="9" t="n">
        <v>104375797</v>
      </c>
      <c r="E157" s="9" t="n">
        <v>0.2571</v>
      </c>
      <c r="F157" s="11">
        <f>IF(C157=0,"",ROUND(D157/C157,4))</f>
        <v/>
      </c>
      <c r="G157" s="11">
        <f>IF(ISNUMBER(F157),ROUND(F157-E157,4),"")</f>
        <v/>
      </c>
    </row>
    <row r="158">
      <c r="A158" s="6" t="n">
        <v>2006</v>
      </c>
      <c r="B158" s="6" t="inlineStr">
        <is>
          <t>barita</t>
        </is>
      </c>
      <c r="C158" s="6" t="n">
        <v>1879643</v>
      </c>
      <c r="D158" s="6" t="n">
        <v>1879184</v>
      </c>
      <c r="E158" s="6" t="n">
        <v>0.9998</v>
      </c>
      <c r="F158" s="11">
        <f>IF(C158=0,"",ROUND(D158/C158,4))</f>
        <v/>
      </c>
      <c r="G158" s="11">
        <f>IF(ISNUMBER(F158),ROUND(F158-E158,4),"")</f>
        <v/>
      </c>
    </row>
    <row r="159">
      <c r="A159" s="9" t="n">
        <v>2006</v>
      </c>
      <c r="B159" s="9" t="inlineStr">
        <is>
          <t>cobre</t>
        </is>
      </c>
      <c r="C159" s="9" t="n">
        <v>1587872648</v>
      </c>
      <c r="D159" s="9" t="n">
        <v>146021267</v>
      </c>
      <c r="E159" s="9" t="n">
        <v>0.092</v>
      </c>
      <c r="F159" s="11">
        <f>IF(C159=0,"",ROUND(D159/C159,4))</f>
        <v/>
      </c>
      <c r="G159" s="11">
        <f>IF(ISNUMBER(F159),ROUND(F159-E159,4),"")</f>
        <v/>
      </c>
    </row>
    <row r="160">
      <c r="A160" s="6" t="n">
        <v>2006</v>
      </c>
      <c r="B160" s="6" t="inlineStr">
        <is>
          <t>fluorita</t>
        </is>
      </c>
      <c r="C160" s="6" t="n">
        <v>179554536</v>
      </c>
      <c r="D160" s="6" t="n">
        <v>58580333</v>
      </c>
      <c r="E160" s="6" t="n">
        <v>0.3263</v>
      </c>
      <c r="F160" s="11">
        <f>IF(C160=0,"",ROUND(D160/C160,4))</f>
        <v/>
      </c>
      <c r="G160" s="11">
        <f>IF(ISNUMBER(F160),ROUND(F160-E160,4),"")</f>
        <v/>
      </c>
    </row>
    <row r="161">
      <c r="A161" s="9" t="n">
        <v>2006</v>
      </c>
      <c r="B161" s="9" t="inlineStr">
        <is>
          <t>grafito</t>
        </is>
      </c>
      <c r="C161" s="9" t="n">
        <v>113138566</v>
      </c>
      <c r="D161" s="9" t="n">
        <v>4131235</v>
      </c>
      <c r="E161" s="9" t="n">
        <v>0.0365</v>
      </c>
      <c r="F161" s="11">
        <f>IF(C161=0,"",ROUND(D161/C161,4))</f>
        <v/>
      </c>
      <c r="G161" s="11">
        <f>IF(ISNUMBER(F161),ROUND(F161-E161,4),"")</f>
        <v/>
      </c>
    </row>
    <row r="162">
      <c r="A162" s="6" t="n">
        <v>2006</v>
      </c>
      <c r="B162" s="6" t="inlineStr">
        <is>
          <t>manganeso</t>
        </is>
      </c>
      <c r="C162" s="6" t="n">
        <v>44056416</v>
      </c>
      <c r="D162" s="6" t="n">
        <v>2469130</v>
      </c>
      <c r="E162" s="6" t="n">
        <v>0.056</v>
      </c>
      <c r="F162" s="11">
        <f>IF(C162=0,"",ROUND(D162/C162,4))</f>
        <v/>
      </c>
      <c r="G162" s="11">
        <f>IF(ISNUMBER(F162),ROUND(F162-E162,4),"")</f>
        <v/>
      </c>
    </row>
    <row r="163">
      <c r="A163" s="9" t="n">
        <v>2006</v>
      </c>
      <c r="B163" s="9" t="inlineStr">
        <is>
          <t>oro</t>
        </is>
      </c>
      <c r="C163" s="9" t="n">
        <v>1037584610</v>
      </c>
      <c r="D163" s="9" t="n">
        <v>0</v>
      </c>
      <c r="E163" s="9" t="n">
        <v>0</v>
      </c>
      <c r="F163" s="11">
        <f>IF(C163=0,"",ROUND(D163/C163,4))</f>
        <v/>
      </c>
      <c r="G163" s="11">
        <f>IF(ISNUMBER(F163),ROUND(F163-E163,4),"")</f>
        <v/>
      </c>
    </row>
    <row r="164">
      <c r="A164" s="6" t="n">
        <v>2006</v>
      </c>
      <c r="B164" s="6" t="inlineStr">
        <is>
          <t>oro-plata (manufacturas)</t>
        </is>
      </c>
      <c r="C164" s="6" t="n">
        <v>587666245</v>
      </c>
      <c r="D164" s="6" t="n">
        <v>0</v>
      </c>
      <c r="E164" s="6" t="n">
        <v>0</v>
      </c>
      <c r="F164" s="11">
        <f>IF(C164=0,"",ROUND(D164/C164,4))</f>
        <v/>
      </c>
      <c r="G164" s="11">
        <f>IF(ISNUMBER(F164),ROUND(F164-E164,4),"")</f>
        <v/>
      </c>
    </row>
    <row r="165">
      <c r="A165" s="9" t="n">
        <v>2006</v>
      </c>
      <c r="B165" s="9" t="inlineStr">
        <is>
          <t>plata</t>
        </is>
      </c>
      <c r="C165" s="9" t="n">
        <v>1224990227</v>
      </c>
      <c r="D165" s="9" t="n">
        <v>1354484</v>
      </c>
      <c r="E165" s="9" t="n">
        <v>0.0011</v>
      </c>
      <c r="F165" s="11">
        <f>IF(C165=0,"",ROUND(D165/C165,4))</f>
        <v/>
      </c>
      <c r="G165" s="11">
        <f>IF(ISNUMBER(F165),ROUND(F165-E165,4),"")</f>
        <v/>
      </c>
    </row>
    <row r="166">
      <c r="A166" s="6" t="n">
        <v>2006</v>
      </c>
      <c r="B166" s="6" t="inlineStr">
        <is>
          <t>plomo</t>
        </is>
      </c>
      <c r="C166" s="6" t="n">
        <v>38872161</v>
      </c>
      <c r="D166" s="6" t="n">
        <v>10780188</v>
      </c>
      <c r="E166" s="6" t="n">
        <v>0.2773</v>
      </c>
      <c r="F166" s="11">
        <f>IF(C166=0,"",ROUND(D166/C166,4))</f>
        <v/>
      </c>
      <c r="G166" s="11">
        <f>IF(ISNUMBER(F166),ROUND(F166-E166,4),"")</f>
        <v/>
      </c>
    </row>
    <row r="167">
      <c r="A167" s="9" t="n">
        <v>2006</v>
      </c>
      <c r="B167" s="9" t="inlineStr">
        <is>
          <t>silice</t>
        </is>
      </c>
      <c r="C167" s="9" t="n">
        <v>19130837</v>
      </c>
      <c r="D167" s="9" t="n">
        <v>7263670</v>
      </c>
      <c r="E167" s="9" t="n">
        <v>0.3797</v>
      </c>
      <c r="F167" s="11">
        <f>IF(C167=0,"",ROUND(D167/C167,4))</f>
        <v/>
      </c>
      <c r="G167" s="11">
        <f>IF(ISNUMBER(F167),ROUND(F167-E167,4),"")</f>
        <v/>
      </c>
    </row>
    <row r="168">
      <c r="A168" s="6" t="n">
        <v>2006</v>
      </c>
      <c r="B168" s="6" t="inlineStr">
        <is>
          <t>zinc</t>
        </is>
      </c>
      <c r="C168" s="6" t="n">
        <v>858663662</v>
      </c>
      <c r="D168" s="6" t="n">
        <v>305744554</v>
      </c>
      <c r="E168" s="6" t="n">
        <v>0.3561</v>
      </c>
      <c r="F168" s="11">
        <f>IF(C168=0,"",ROUND(D168/C168,4))</f>
        <v/>
      </c>
      <c r="G168" s="11">
        <f>IF(ISNUMBER(F168),ROUND(F168-E168,4),"")</f>
        <v/>
      </c>
    </row>
    <row r="169">
      <c r="A169" s="9" t="n">
        <v>2007</v>
      </c>
      <c r="B169" s="9" t="inlineStr">
        <is>
          <t>barita</t>
        </is>
      </c>
      <c r="C169" s="9" t="n">
        <v>1350339</v>
      </c>
      <c r="D169" s="9" t="n">
        <v>1316217</v>
      </c>
      <c r="E169" s="9" t="n">
        <v>0.9747</v>
      </c>
      <c r="F169" s="11">
        <f>IF(C169=0,"",ROUND(D169/C169,4))</f>
        <v/>
      </c>
      <c r="G169" s="11">
        <f>IF(ISNUMBER(F169),ROUND(F169-E169,4),"")</f>
        <v/>
      </c>
    </row>
    <row r="170">
      <c r="A170" s="6" t="n">
        <v>2007</v>
      </c>
      <c r="B170" s="6" t="inlineStr">
        <is>
          <t>cobre</t>
        </is>
      </c>
      <c r="C170" s="6" t="n">
        <v>1973613686</v>
      </c>
      <c r="D170" s="6" t="n">
        <v>267223083</v>
      </c>
      <c r="E170" s="6" t="n">
        <v>0.1354</v>
      </c>
      <c r="F170" s="11">
        <f>IF(C170=0,"",ROUND(D170/C170,4))</f>
        <v/>
      </c>
      <c r="G170" s="11">
        <f>IF(ISNUMBER(F170),ROUND(F170-E170,4),"")</f>
        <v/>
      </c>
    </row>
    <row r="171">
      <c r="A171" s="9" t="n">
        <v>2007</v>
      </c>
      <c r="B171" s="9" t="inlineStr">
        <is>
          <t>fluorita</t>
        </is>
      </c>
      <c r="C171" s="9" t="n">
        <v>206574472</v>
      </c>
      <c r="D171" s="9" t="n">
        <v>79398700</v>
      </c>
      <c r="E171" s="9" t="n">
        <v>0.3844</v>
      </c>
      <c r="F171" s="11">
        <f>IF(C171=0,"",ROUND(D171/C171,4))</f>
        <v/>
      </c>
      <c r="G171" s="11">
        <f>IF(ISNUMBER(F171),ROUND(F171-E171,4),"")</f>
        <v/>
      </c>
    </row>
    <row r="172">
      <c r="A172" s="6" t="n">
        <v>2007</v>
      </c>
      <c r="B172" s="6" t="inlineStr">
        <is>
          <t>grafito</t>
        </is>
      </c>
      <c r="C172" s="6" t="n">
        <v>121567135</v>
      </c>
      <c r="D172" s="6" t="n">
        <v>3148939</v>
      </c>
      <c r="E172" s="6" t="n">
        <v>0.0259</v>
      </c>
      <c r="F172" s="11">
        <f>IF(C172=0,"",ROUND(D172/C172,4))</f>
        <v/>
      </c>
      <c r="G172" s="11">
        <f>IF(ISNUMBER(F172),ROUND(F172-E172,4),"")</f>
        <v/>
      </c>
    </row>
    <row r="173">
      <c r="A173" s="9" t="n">
        <v>2007</v>
      </c>
      <c r="B173" s="9" t="inlineStr">
        <is>
          <t>manganeso</t>
        </is>
      </c>
      <c r="C173" s="9" t="n">
        <v>55561199</v>
      </c>
      <c r="D173" s="9" t="n">
        <v>8986533</v>
      </c>
      <c r="E173" s="9" t="n">
        <v>0.1617</v>
      </c>
      <c r="F173" s="11">
        <f>IF(C173=0,"",ROUND(D173/C173,4))</f>
        <v/>
      </c>
      <c r="G173" s="11">
        <f>IF(ISNUMBER(F173),ROUND(F173-E173,4),"")</f>
        <v/>
      </c>
    </row>
    <row r="174">
      <c r="A174" s="6" t="n">
        <v>2007</v>
      </c>
      <c r="B174" s="6" t="inlineStr">
        <is>
          <t>oro</t>
        </is>
      </c>
      <c r="C174" s="6" t="n">
        <v>1581401676</v>
      </c>
      <c r="D174" s="6" t="n">
        <v>13935741</v>
      </c>
      <c r="E174" s="6" t="n">
        <v>0.008800000000000001</v>
      </c>
      <c r="F174" s="11">
        <f>IF(C174=0,"",ROUND(D174/C174,4))</f>
        <v/>
      </c>
      <c r="G174" s="11">
        <f>IF(ISNUMBER(F174),ROUND(F174-E174,4),"")</f>
        <v/>
      </c>
    </row>
    <row r="175">
      <c r="A175" s="9" t="n">
        <v>2007</v>
      </c>
      <c r="B175" s="9" t="inlineStr">
        <is>
          <t>oro-plata (manufacturas)</t>
        </is>
      </c>
      <c r="C175" s="9" t="n">
        <v>582007725</v>
      </c>
      <c r="D175" s="9" t="n">
        <v>0</v>
      </c>
      <c r="E175" s="9" t="n">
        <v>0</v>
      </c>
      <c r="F175" s="11">
        <f>IF(C175=0,"",ROUND(D175/C175,4))</f>
        <v/>
      </c>
      <c r="G175" s="11">
        <f>IF(ISNUMBER(F175),ROUND(F175-E175,4),"")</f>
        <v/>
      </c>
    </row>
    <row r="176">
      <c r="A176" s="6" t="n">
        <v>2007</v>
      </c>
      <c r="B176" s="6" t="inlineStr">
        <is>
          <t>plata</t>
        </is>
      </c>
      <c r="C176" s="6" t="n">
        <v>1420282834</v>
      </c>
      <c r="D176" s="6" t="n">
        <v>2065035</v>
      </c>
      <c r="E176" s="6" t="n">
        <v>0.0015</v>
      </c>
      <c r="F176" s="11">
        <f>IF(C176=0,"",ROUND(D176/C176,4))</f>
        <v/>
      </c>
      <c r="G176" s="11">
        <f>IF(ISNUMBER(F176),ROUND(F176-E176,4),"")</f>
        <v/>
      </c>
    </row>
    <row r="177">
      <c r="A177" s="9" t="n">
        <v>2007</v>
      </c>
      <c r="B177" s="9" t="inlineStr">
        <is>
          <t>plomo</t>
        </is>
      </c>
      <c r="C177" s="9" t="n">
        <v>160884426</v>
      </c>
      <c r="D177" s="9" t="n">
        <v>43483993</v>
      </c>
      <c r="E177" s="9" t="n">
        <v>0.2703</v>
      </c>
      <c r="F177" s="11">
        <f>IF(C177=0,"",ROUND(D177/C177,4))</f>
        <v/>
      </c>
      <c r="G177" s="11">
        <f>IF(ISNUMBER(F177),ROUND(F177-E177,4),"")</f>
        <v/>
      </c>
    </row>
    <row r="178">
      <c r="A178" s="6" t="n">
        <v>2007</v>
      </c>
      <c r="B178" s="6" t="inlineStr">
        <is>
          <t>silice</t>
        </is>
      </c>
      <c r="C178" s="6" t="n">
        <v>13680921</v>
      </c>
      <c r="D178" s="6" t="n">
        <v>1563805</v>
      </c>
      <c r="E178" s="6" t="n">
        <v>0.1143</v>
      </c>
      <c r="F178" s="11">
        <f>IF(C178=0,"",ROUND(D178/C178,4))</f>
        <v/>
      </c>
      <c r="G178" s="11">
        <f>IF(ISNUMBER(F178),ROUND(F178-E178,4),"")</f>
        <v/>
      </c>
    </row>
    <row r="179">
      <c r="A179" s="9" t="n">
        <v>2007</v>
      </c>
      <c r="B179" s="9" t="inlineStr">
        <is>
          <t>zinc</t>
        </is>
      </c>
      <c r="C179" s="9" t="n">
        <v>996231317</v>
      </c>
      <c r="D179" s="9" t="n">
        <v>236420656</v>
      </c>
      <c r="E179" s="9" t="n">
        <v>0.2373</v>
      </c>
      <c r="F179" s="11">
        <f>IF(C179=0,"",ROUND(D179/C179,4))</f>
        <v/>
      </c>
      <c r="G179" s="11">
        <f>IF(ISNUMBER(F179),ROUND(F179-E179,4),"")</f>
        <v/>
      </c>
    </row>
    <row r="180">
      <c r="A180" s="6" t="n">
        <v>2008</v>
      </c>
      <c r="B180" s="6" t="inlineStr">
        <is>
          <t>barita</t>
        </is>
      </c>
      <c r="C180" s="6" t="n">
        <v>3252793</v>
      </c>
      <c r="D180" s="6" t="n">
        <v>3232802</v>
      </c>
      <c r="E180" s="6" t="n">
        <v>0.9939</v>
      </c>
      <c r="F180" s="11">
        <f>IF(C180=0,"",ROUND(D180/C180,4))</f>
        <v/>
      </c>
      <c r="G180" s="11">
        <f>IF(ISNUMBER(F180),ROUND(F180-E180,4),"")</f>
        <v/>
      </c>
    </row>
    <row r="181">
      <c r="A181" s="9" t="n">
        <v>2008</v>
      </c>
      <c r="B181" s="9" t="inlineStr">
        <is>
          <t>cobre</t>
        </is>
      </c>
      <c r="C181" s="9" t="n">
        <v>1759266293</v>
      </c>
      <c r="D181" s="9" t="n">
        <v>327348222</v>
      </c>
      <c r="E181" s="9" t="n">
        <v>0.1861</v>
      </c>
      <c r="F181" s="11">
        <f>IF(C181=0,"",ROUND(D181/C181,4))</f>
        <v/>
      </c>
      <c r="G181" s="11">
        <f>IF(ISNUMBER(F181),ROUND(F181-E181,4),"")</f>
        <v/>
      </c>
    </row>
    <row r="182">
      <c r="A182" s="6" t="n">
        <v>2008</v>
      </c>
      <c r="B182" s="6" t="inlineStr">
        <is>
          <t>fluorita</t>
        </is>
      </c>
      <c r="C182" s="6" t="n">
        <v>216848139</v>
      </c>
      <c r="D182" s="6" t="n">
        <v>96728605</v>
      </c>
      <c r="E182" s="6" t="n">
        <v>0.4461</v>
      </c>
      <c r="F182" s="11">
        <f>IF(C182=0,"",ROUND(D182/C182,4))</f>
        <v/>
      </c>
      <c r="G182" s="11">
        <f>IF(ISNUMBER(F182),ROUND(F182-E182,4),"")</f>
        <v/>
      </c>
    </row>
    <row r="183">
      <c r="A183" s="9" t="n">
        <v>2008</v>
      </c>
      <c r="B183" s="9" t="inlineStr">
        <is>
          <t>grafito</t>
        </is>
      </c>
      <c r="C183" s="9" t="n">
        <v>145429064</v>
      </c>
      <c r="D183" s="9" t="n">
        <v>3017760</v>
      </c>
      <c r="E183" s="9" t="n">
        <v>0.0208</v>
      </c>
      <c r="F183" s="11">
        <f>IF(C183=0,"",ROUND(D183/C183,4))</f>
        <v/>
      </c>
      <c r="G183" s="11">
        <f>IF(ISNUMBER(F183),ROUND(F183-E183,4),"")</f>
        <v/>
      </c>
    </row>
    <row r="184">
      <c r="A184" s="6" t="n">
        <v>2008</v>
      </c>
      <c r="B184" s="6" t="inlineStr">
        <is>
          <t>manganeso</t>
        </is>
      </c>
      <c r="C184" s="6" t="n">
        <v>56455714</v>
      </c>
      <c r="D184" s="6" t="n">
        <v>9138991</v>
      </c>
      <c r="E184" s="6" t="n">
        <v>0.1619</v>
      </c>
      <c r="F184" s="11">
        <f>IF(C184=0,"",ROUND(D184/C184,4))</f>
        <v/>
      </c>
      <c r="G184" s="11">
        <f>IF(ISNUMBER(F184),ROUND(F184-E184,4),"")</f>
        <v/>
      </c>
    </row>
    <row r="185">
      <c r="A185" s="9" t="n">
        <v>2008</v>
      </c>
      <c r="B185" s="9" t="inlineStr">
        <is>
          <t>oro</t>
        </is>
      </c>
      <c r="C185" s="9" t="n">
        <v>2678231730</v>
      </c>
      <c r="D185" s="9" t="n">
        <v>16765160</v>
      </c>
      <c r="E185" s="9" t="n">
        <v>0.0063</v>
      </c>
      <c r="F185" s="11">
        <f>IF(C185=0,"",ROUND(D185/C185,4))</f>
        <v/>
      </c>
      <c r="G185" s="11">
        <f>IF(ISNUMBER(F185),ROUND(F185-E185,4),"")</f>
        <v/>
      </c>
    </row>
    <row r="186">
      <c r="A186" s="6" t="n">
        <v>2008</v>
      </c>
      <c r="B186" s="6" t="inlineStr">
        <is>
          <t>oro-plata (manufacturas)</t>
        </is>
      </c>
      <c r="C186" s="6" t="n">
        <v>519809584</v>
      </c>
      <c r="D186" s="6" t="n">
        <v>0</v>
      </c>
      <c r="E186" s="6" t="n">
        <v>0</v>
      </c>
      <c r="F186" s="11">
        <f>IF(C186=0,"",ROUND(D186/C186,4))</f>
        <v/>
      </c>
      <c r="G186" s="11">
        <f>IF(ISNUMBER(F186),ROUND(F186-E186,4),"")</f>
        <v/>
      </c>
    </row>
    <row r="187">
      <c r="A187" s="9" t="n">
        <v>2008</v>
      </c>
      <c r="B187" s="9" t="inlineStr">
        <is>
          <t>plata</t>
        </is>
      </c>
      <c r="C187" s="9" t="n">
        <v>1753328723</v>
      </c>
      <c r="D187" s="9" t="n">
        <v>16080340</v>
      </c>
      <c r="E187" s="9" t="n">
        <v>0.0092</v>
      </c>
      <c r="F187" s="11">
        <f>IF(C187=0,"",ROUND(D187/C187,4))</f>
        <v/>
      </c>
      <c r="G187" s="11">
        <f>IF(ISNUMBER(F187),ROUND(F187-E187,4),"")</f>
        <v/>
      </c>
    </row>
    <row r="188">
      <c r="A188" s="6" t="n">
        <v>2008</v>
      </c>
      <c r="B188" s="6" t="inlineStr">
        <is>
          <t>plomo</t>
        </is>
      </c>
      <c r="C188" s="6" t="n">
        <v>253111238</v>
      </c>
      <c r="D188" s="6" t="n">
        <v>62018437</v>
      </c>
      <c r="E188" s="6" t="n">
        <v>0.245</v>
      </c>
      <c r="F188" s="11">
        <f>IF(C188=0,"",ROUND(D188/C188,4))</f>
        <v/>
      </c>
      <c r="G188" s="11">
        <f>IF(ISNUMBER(F188),ROUND(F188-E188,4),"")</f>
        <v/>
      </c>
    </row>
    <row r="189">
      <c r="A189" s="9" t="n">
        <v>2008</v>
      </c>
      <c r="B189" s="9" t="inlineStr">
        <is>
          <t>silice</t>
        </is>
      </c>
      <c r="C189" s="9" t="n">
        <v>16172102</v>
      </c>
      <c r="D189" s="9" t="n">
        <v>1272115</v>
      </c>
      <c r="E189" s="9" t="n">
        <v>0.07870000000000001</v>
      </c>
      <c r="F189" s="11">
        <f>IF(C189=0,"",ROUND(D189/C189,4))</f>
        <v/>
      </c>
      <c r="G189" s="11">
        <f>IF(ISNUMBER(F189),ROUND(F189-E189,4),"")</f>
        <v/>
      </c>
    </row>
    <row r="190">
      <c r="A190" s="6" t="n">
        <v>2008</v>
      </c>
      <c r="B190" s="6" t="inlineStr">
        <is>
          <t>zinc</t>
        </is>
      </c>
      <c r="C190" s="6" t="n">
        <v>550333180</v>
      </c>
      <c r="D190" s="6" t="n">
        <v>105236361</v>
      </c>
      <c r="E190" s="6" t="n">
        <v>0.1912</v>
      </c>
      <c r="F190" s="11">
        <f>IF(C190=0,"",ROUND(D190/C190,4))</f>
        <v/>
      </c>
      <c r="G190" s="11">
        <f>IF(ISNUMBER(F190),ROUND(F190-E190,4),"")</f>
        <v/>
      </c>
    </row>
    <row r="191">
      <c r="A191" s="9" t="n">
        <v>2009</v>
      </c>
      <c r="B191" s="9" t="inlineStr">
        <is>
          <t>barita</t>
        </is>
      </c>
      <c r="C191" s="9" t="n">
        <v>1263443</v>
      </c>
      <c r="D191" s="9" t="n">
        <v>1255779</v>
      </c>
      <c r="E191" s="9" t="n">
        <v>0.9939</v>
      </c>
      <c r="F191" s="11">
        <f>IF(C191=0,"",ROUND(D191/C191,4))</f>
        <v/>
      </c>
      <c r="G191" s="11">
        <f>IF(ISNUMBER(F191),ROUND(F191-E191,4),"")</f>
        <v/>
      </c>
    </row>
    <row r="192">
      <c r="A192" s="6" t="n">
        <v>2009</v>
      </c>
      <c r="B192" s="6" t="inlineStr">
        <is>
          <t>cobre</t>
        </is>
      </c>
      <c r="C192" s="6" t="n">
        <v>1224063428</v>
      </c>
      <c r="D192" s="6" t="n">
        <v>288865844</v>
      </c>
      <c r="E192" s="6" t="n">
        <v>0.236</v>
      </c>
      <c r="F192" s="11">
        <f>IF(C192=0,"",ROUND(D192/C192,4))</f>
        <v/>
      </c>
      <c r="G192" s="11">
        <f>IF(ISNUMBER(F192),ROUND(F192-E192,4),"")</f>
        <v/>
      </c>
    </row>
    <row r="193">
      <c r="A193" s="9" t="n">
        <v>2009</v>
      </c>
      <c r="B193" s="9" t="inlineStr">
        <is>
          <t>fluorita</t>
        </is>
      </c>
      <c r="C193" s="9" t="n">
        <v>213094259</v>
      </c>
      <c r="D193" s="9" t="n">
        <v>91735772</v>
      </c>
      <c r="E193" s="9" t="n">
        <v>0.4305</v>
      </c>
      <c r="F193" s="11">
        <f>IF(C193=0,"",ROUND(D193/C193,4))</f>
        <v/>
      </c>
      <c r="G193" s="11">
        <f>IF(ISNUMBER(F193),ROUND(F193-E193,4),"")</f>
        <v/>
      </c>
    </row>
    <row r="194">
      <c r="A194" s="6" t="n">
        <v>2009</v>
      </c>
      <c r="B194" s="6" t="inlineStr">
        <is>
          <t>grafito</t>
        </is>
      </c>
      <c r="C194" s="6" t="n">
        <v>61350557</v>
      </c>
      <c r="D194" s="6" t="n">
        <v>2441001</v>
      </c>
      <c r="E194" s="6" t="n">
        <v>0.0398</v>
      </c>
      <c r="F194" s="11">
        <f>IF(C194=0,"",ROUND(D194/C194,4))</f>
        <v/>
      </c>
      <c r="G194" s="11">
        <f>IF(ISNUMBER(F194),ROUND(F194-E194,4),"")</f>
        <v/>
      </c>
    </row>
    <row r="195">
      <c r="A195" s="9" t="n">
        <v>2009</v>
      </c>
      <c r="B195" s="9" t="inlineStr">
        <is>
          <t>manganeso</t>
        </is>
      </c>
      <c r="C195" s="9" t="n">
        <v>49875680</v>
      </c>
      <c r="D195" s="9" t="n">
        <v>8789243</v>
      </c>
      <c r="E195" s="9" t="n">
        <v>0.1762</v>
      </c>
      <c r="F195" s="11">
        <f>IF(C195=0,"",ROUND(D195/C195,4))</f>
        <v/>
      </c>
      <c r="G195" s="11">
        <f>IF(ISNUMBER(F195),ROUND(F195-E195,4),"")</f>
        <v/>
      </c>
    </row>
    <row r="196">
      <c r="A196" s="6" t="n">
        <v>2009</v>
      </c>
      <c r="B196" s="6" t="inlineStr">
        <is>
          <t>oro</t>
        </is>
      </c>
      <c r="C196" s="6" t="n">
        <v>4053893562</v>
      </c>
      <c r="D196" s="6" t="n">
        <v>50219852</v>
      </c>
      <c r="E196" s="6" t="n">
        <v>0.0124</v>
      </c>
      <c r="F196" s="11">
        <f>IF(C196=0,"",ROUND(D196/C196,4))</f>
        <v/>
      </c>
      <c r="G196" s="11">
        <f>IF(ISNUMBER(F196),ROUND(F196-E196,4),"")</f>
        <v/>
      </c>
    </row>
    <row r="197">
      <c r="A197" s="9" t="n">
        <v>2009</v>
      </c>
      <c r="B197" s="9" t="inlineStr">
        <is>
          <t>oro-plata (manufacturas)</t>
        </is>
      </c>
      <c r="C197" s="9" t="n">
        <v>519393726</v>
      </c>
      <c r="D197" s="9" t="n">
        <v>0</v>
      </c>
      <c r="E197" s="9" t="n">
        <v>0</v>
      </c>
      <c r="F197" s="11">
        <f>IF(C197=0,"",ROUND(D197/C197,4))</f>
        <v/>
      </c>
      <c r="G197" s="11">
        <f>IF(ISNUMBER(F197),ROUND(F197-E197,4),"")</f>
        <v/>
      </c>
    </row>
    <row r="198">
      <c r="A198" s="6" t="n">
        <v>2009</v>
      </c>
      <c r="B198" s="6" t="inlineStr">
        <is>
          <t>plata</t>
        </is>
      </c>
      <c r="C198" s="6" t="n">
        <v>1439913697</v>
      </c>
      <c r="D198" s="6" t="n">
        <v>30246554</v>
      </c>
      <c r="E198" s="6" t="n">
        <v>0.021</v>
      </c>
      <c r="F198" s="11">
        <f>IF(C198=0,"",ROUND(D198/C198,4))</f>
        <v/>
      </c>
      <c r="G198" s="11">
        <f>IF(ISNUMBER(F198),ROUND(F198-E198,4),"")</f>
        <v/>
      </c>
    </row>
    <row r="199">
      <c r="A199" s="9" t="n">
        <v>2009</v>
      </c>
      <c r="B199" s="9" t="inlineStr">
        <is>
          <t>plomo</t>
        </is>
      </c>
      <c r="C199" s="9" t="n">
        <v>440820477</v>
      </c>
      <c r="D199" s="9" t="n">
        <v>160425797</v>
      </c>
      <c r="E199" s="9" t="n">
        <v>0.3639</v>
      </c>
      <c r="F199" s="11">
        <f>IF(C199=0,"",ROUND(D199/C199,4))</f>
        <v/>
      </c>
      <c r="G199" s="11">
        <f>IF(ISNUMBER(F199),ROUND(F199-E199,4),"")</f>
        <v/>
      </c>
    </row>
    <row r="200">
      <c r="A200" s="6" t="n">
        <v>2009</v>
      </c>
      <c r="B200" s="6" t="inlineStr">
        <is>
          <t>silice</t>
        </is>
      </c>
      <c r="C200" s="6" t="n">
        <v>4999403</v>
      </c>
      <c r="D200" s="6" t="n">
        <v>1000043</v>
      </c>
      <c r="E200" s="6" t="n">
        <v>0.2</v>
      </c>
      <c r="F200" s="11">
        <f>IF(C200=0,"",ROUND(D200/C200,4))</f>
        <v/>
      </c>
      <c r="G200" s="11">
        <f>IF(ISNUMBER(F200),ROUND(F200-E200,4),"")</f>
        <v/>
      </c>
    </row>
    <row r="201">
      <c r="A201" s="9" t="n">
        <v>2009</v>
      </c>
      <c r="B201" s="9" t="inlineStr">
        <is>
          <t>zinc</t>
        </is>
      </c>
      <c r="C201" s="9" t="n">
        <v>533348013</v>
      </c>
      <c r="D201" s="9" t="n">
        <v>136594996</v>
      </c>
      <c r="E201" s="9" t="n">
        <v>0.2561</v>
      </c>
      <c r="F201" s="11">
        <f>IF(C201=0,"",ROUND(D201/C201,4))</f>
        <v/>
      </c>
      <c r="G201" s="11">
        <f>IF(ISNUMBER(F201),ROUND(F201-E201,4),"")</f>
        <v/>
      </c>
    </row>
    <row r="202">
      <c r="A202" s="6" t="n">
        <v>2010</v>
      </c>
      <c r="B202" s="6" t="inlineStr">
        <is>
          <t>barita</t>
        </is>
      </c>
      <c r="C202" s="6" t="n">
        <v>1886288</v>
      </c>
      <c r="D202" s="6" t="n">
        <v>1827686</v>
      </c>
      <c r="E202" s="6" t="n">
        <v>0.9689</v>
      </c>
      <c r="F202" s="11">
        <f>IF(C202=0,"",ROUND(D202/C202,4))</f>
        <v/>
      </c>
      <c r="G202" s="11">
        <f>IF(ISNUMBER(F202),ROUND(F202-E202,4),"")</f>
        <v/>
      </c>
    </row>
    <row r="203">
      <c r="A203" s="9" t="n">
        <v>2010</v>
      </c>
      <c r="B203" s="9" t="inlineStr">
        <is>
          <t>cobre</t>
        </is>
      </c>
      <c r="C203" s="9" t="n">
        <v>2051309710</v>
      </c>
      <c r="D203" s="9" t="n">
        <v>684848560</v>
      </c>
      <c r="E203" s="9" t="n">
        <v>0.3339</v>
      </c>
      <c r="F203" s="11">
        <f>IF(C203=0,"",ROUND(D203/C203,4))</f>
        <v/>
      </c>
      <c r="G203" s="11">
        <f>IF(ISNUMBER(F203),ROUND(F203-E203,4),"")</f>
        <v/>
      </c>
    </row>
    <row r="204">
      <c r="A204" s="6" t="n">
        <v>2010</v>
      </c>
      <c r="B204" s="6" t="inlineStr">
        <is>
          <t>fluorita</t>
        </is>
      </c>
      <c r="C204" s="6" t="n">
        <v>301582790</v>
      </c>
      <c r="D204" s="6" t="n">
        <v>117263814</v>
      </c>
      <c r="E204" s="6" t="n">
        <v>0.3888</v>
      </c>
      <c r="F204" s="11">
        <f>IF(C204=0,"",ROUND(D204/C204,4))</f>
        <v/>
      </c>
      <c r="G204" s="11">
        <f>IF(ISNUMBER(F204),ROUND(F204-E204,4),"")</f>
        <v/>
      </c>
    </row>
    <row r="205">
      <c r="A205" s="9" t="n">
        <v>2010</v>
      </c>
      <c r="B205" s="9" t="inlineStr">
        <is>
          <t>grafito</t>
        </is>
      </c>
      <c r="C205" s="9" t="n">
        <v>147878155</v>
      </c>
      <c r="D205" s="9" t="n">
        <v>2947104</v>
      </c>
      <c r="E205" s="9" t="n">
        <v>0.0199</v>
      </c>
      <c r="F205" s="11">
        <f>IF(C205=0,"",ROUND(D205/C205,4))</f>
        <v/>
      </c>
      <c r="G205" s="11">
        <f>IF(ISNUMBER(F205),ROUND(F205-E205,4),"")</f>
        <v/>
      </c>
    </row>
    <row r="206">
      <c r="A206" s="6" t="n">
        <v>2010</v>
      </c>
      <c r="B206" s="6" t="inlineStr">
        <is>
          <t>manganeso</t>
        </is>
      </c>
      <c r="C206" s="6" t="n">
        <v>130170543</v>
      </c>
      <c r="D206" s="6" t="n">
        <v>12943004</v>
      </c>
      <c r="E206" s="6" t="n">
        <v>0.0994</v>
      </c>
      <c r="F206" s="11">
        <f>IF(C206=0,"",ROUND(D206/C206,4))</f>
        <v/>
      </c>
      <c r="G206" s="11">
        <f>IF(ISNUMBER(F206),ROUND(F206-E206,4),"")</f>
        <v/>
      </c>
    </row>
    <row r="207">
      <c r="A207" s="9" t="n">
        <v>2010</v>
      </c>
      <c r="B207" s="9" t="inlineStr">
        <is>
          <t>oro</t>
        </is>
      </c>
      <c r="C207" s="9" t="n">
        <v>5771840105</v>
      </c>
      <c r="D207" s="9" t="n">
        <v>18554929</v>
      </c>
      <c r="E207" s="9" t="n">
        <v>0.0032</v>
      </c>
      <c r="F207" s="11">
        <f>IF(C207=0,"",ROUND(D207/C207,4))</f>
        <v/>
      </c>
      <c r="G207" s="11">
        <f>IF(ISNUMBER(F207),ROUND(F207-E207,4),"")</f>
        <v/>
      </c>
    </row>
    <row r="208">
      <c r="A208" s="6" t="n">
        <v>2010</v>
      </c>
      <c r="B208" s="6" t="inlineStr">
        <is>
          <t>oro-plata (manufacturas)</t>
        </is>
      </c>
      <c r="C208" s="6" t="n">
        <v>626850851</v>
      </c>
      <c r="D208" s="6" t="n">
        <v>0</v>
      </c>
      <c r="E208" s="6" t="n">
        <v>0</v>
      </c>
      <c r="F208" s="11">
        <f>IF(C208=0,"",ROUND(D208/C208,4))</f>
        <v/>
      </c>
      <c r="G208" s="11">
        <f>IF(ISNUMBER(F208),ROUND(F208-E208,4),"")</f>
        <v/>
      </c>
    </row>
    <row r="209">
      <c r="A209" s="9" t="n">
        <v>2010</v>
      </c>
      <c r="B209" s="9" t="inlineStr">
        <is>
          <t>plata</t>
        </is>
      </c>
      <c r="C209" s="9" t="n">
        <v>2600664292</v>
      </c>
      <c r="D209" s="9" t="n">
        <v>57836501</v>
      </c>
      <c r="E209" s="9" t="n">
        <v>0.0222</v>
      </c>
      <c r="F209" s="11">
        <f>IF(C209=0,"",ROUND(D209/C209,4))</f>
        <v/>
      </c>
      <c r="G209" s="11">
        <f>IF(ISNUMBER(F209),ROUND(F209-E209,4),"")</f>
        <v/>
      </c>
    </row>
    <row r="210">
      <c r="A210" s="6" t="n">
        <v>2010</v>
      </c>
      <c r="B210" s="6" t="inlineStr">
        <is>
          <t>plomo</t>
        </is>
      </c>
      <c r="C210" s="6" t="n">
        <v>499863530</v>
      </c>
      <c r="D210" s="6" t="n">
        <v>252462298</v>
      </c>
      <c r="E210" s="6" t="n">
        <v>0.5051</v>
      </c>
      <c r="F210" s="11">
        <f>IF(C210=0,"",ROUND(D210/C210,4))</f>
        <v/>
      </c>
      <c r="G210" s="11">
        <f>IF(ISNUMBER(F210),ROUND(F210-E210,4),"")</f>
        <v/>
      </c>
    </row>
    <row r="211">
      <c r="A211" s="9" t="n">
        <v>2010</v>
      </c>
      <c r="B211" s="9" t="inlineStr">
        <is>
          <t>silice</t>
        </is>
      </c>
      <c r="C211" s="9" t="n">
        <v>4514055</v>
      </c>
      <c r="D211" s="9" t="n">
        <v>1454082</v>
      </c>
      <c r="E211" s="9" t="n">
        <v>0.3221</v>
      </c>
      <c r="F211" s="11">
        <f>IF(C211=0,"",ROUND(D211/C211,4))</f>
        <v/>
      </c>
      <c r="G211" s="11">
        <f>IF(ISNUMBER(F211),ROUND(F211-E211,4),"")</f>
        <v/>
      </c>
    </row>
    <row r="212">
      <c r="A212" s="6" t="n">
        <v>2010</v>
      </c>
      <c r="B212" s="6" t="inlineStr">
        <is>
          <t>zinc</t>
        </is>
      </c>
      <c r="C212" s="6" t="n">
        <v>806406194</v>
      </c>
      <c r="D212" s="6" t="n">
        <v>328503291</v>
      </c>
      <c r="E212" s="6" t="n">
        <v>0.4074</v>
      </c>
      <c r="F212" s="11">
        <f>IF(C212=0,"",ROUND(D212/C212,4))</f>
        <v/>
      </c>
      <c r="G212" s="11">
        <f>IF(ISNUMBER(F212),ROUND(F212-E212,4),"")</f>
        <v/>
      </c>
    </row>
    <row r="213">
      <c r="A213" s="9" t="n">
        <v>2011</v>
      </c>
      <c r="B213" s="9" t="inlineStr">
        <is>
          <t>barita</t>
        </is>
      </c>
      <c r="C213" s="9" t="n">
        <v>4380052</v>
      </c>
      <c r="D213" s="9" t="n">
        <v>4366662</v>
      </c>
      <c r="E213" s="9" t="n">
        <v>0.9969</v>
      </c>
      <c r="F213" s="11">
        <f>IF(C213=0,"",ROUND(D213/C213,4))</f>
        <v/>
      </c>
      <c r="G213" s="11">
        <f>IF(ISNUMBER(F213),ROUND(F213-E213,4),"")</f>
        <v/>
      </c>
    </row>
    <row r="214">
      <c r="A214" s="6" t="n">
        <v>2011</v>
      </c>
      <c r="B214" s="6" t="inlineStr">
        <is>
          <t>cobre</t>
        </is>
      </c>
      <c r="C214" s="6" t="n">
        <v>3403930894</v>
      </c>
      <c r="D214" s="6" t="n">
        <v>1170994128</v>
      </c>
      <c r="E214" s="6" t="n">
        <v>0.344</v>
      </c>
      <c r="F214" s="11">
        <f>IF(C214=0,"",ROUND(D214/C214,4))</f>
        <v/>
      </c>
      <c r="G214" s="11">
        <f>IF(ISNUMBER(F214),ROUND(F214-E214,4),"")</f>
        <v/>
      </c>
    </row>
    <row r="215">
      <c r="A215" s="9" t="n">
        <v>2011</v>
      </c>
      <c r="B215" s="9" t="inlineStr">
        <is>
          <t>fluorita</t>
        </is>
      </c>
      <c r="C215" s="9" t="n">
        <v>329682083</v>
      </c>
      <c r="D215" s="9" t="n">
        <v>152988640</v>
      </c>
      <c r="E215" s="9" t="n">
        <v>0.464</v>
      </c>
      <c r="F215" s="11">
        <f>IF(C215=0,"",ROUND(D215/C215,4))</f>
        <v/>
      </c>
      <c r="G215" s="11">
        <f>IF(ISNUMBER(F215),ROUND(F215-E215,4),"")</f>
        <v/>
      </c>
    </row>
    <row r="216">
      <c r="A216" s="6" t="n">
        <v>2011</v>
      </c>
      <c r="B216" s="6" t="inlineStr">
        <is>
          <t>grafito</t>
        </is>
      </c>
      <c r="C216" s="6" t="n">
        <v>141353897</v>
      </c>
      <c r="D216" s="6" t="n">
        <v>5648984</v>
      </c>
      <c r="E216" s="6" t="n">
        <v>0.04</v>
      </c>
      <c r="F216" s="11">
        <f>IF(C216=0,"",ROUND(D216/C216,4))</f>
        <v/>
      </c>
      <c r="G216" s="11">
        <f>IF(ISNUMBER(F216),ROUND(F216-E216,4),"")</f>
        <v/>
      </c>
    </row>
    <row r="217">
      <c r="A217" s="9" t="n">
        <v>2011</v>
      </c>
      <c r="B217" s="9" t="inlineStr">
        <is>
          <t>manganeso</t>
        </is>
      </c>
      <c r="C217" s="9" t="n">
        <v>106042577</v>
      </c>
      <c r="D217" s="9" t="n">
        <v>3948600</v>
      </c>
      <c r="E217" s="9" t="n">
        <v>0.0372</v>
      </c>
      <c r="F217" s="11">
        <f>IF(C217=0,"",ROUND(D217/C217,4))</f>
        <v/>
      </c>
      <c r="G217" s="11">
        <f>IF(ISNUMBER(F217),ROUND(F217-E217,4),"")</f>
        <v/>
      </c>
    </row>
    <row r="218">
      <c r="A218" s="6" t="n">
        <v>2011</v>
      </c>
      <c r="B218" s="6" t="inlineStr">
        <is>
          <t>oro</t>
        </is>
      </c>
      <c r="C218" s="6" t="n">
        <v>7872646868</v>
      </c>
      <c r="D218" s="6" t="n">
        <v>151638195</v>
      </c>
      <c r="E218" s="6" t="n">
        <v>0.0193</v>
      </c>
      <c r="F218" s="11">
        <f>IF(C218=0,"",ROUND(D218/C218,4))</f>
        <v/>
      </c>
      <c r="G218" s="11">
        <f>IF(ISNUMBER(F218),ROUND(F218-E218,4),"")</f>
        <v/>
      </c>
    </row>
    <row r="219">
      <c r="A219" s="9" t="n">
        <v>2011</v>
      </c>
      <c r="B219" s="9" t="inlineStr">
        <is>
          <t>oro-plata (manufacturas)</t>
        </is>
      </c>
      <c r="C219" s="9" t="n">
        <v>614406830</v>
      </c>
      <c r="D219" s="9" t="n">
        <v>0</v>
      </c>
      <c r="E219" s="9" t="n">
        <v>0</v>
      </c>
      <c r="F219" s="11">
        <f>IF(C219=0,"",ROUND(D219/C219,4))</f>
        <v/>
      </c>
      <c r="G219" s="11">
        <f>IF(ISNUMBER(F219),ROUND(F219-E219,4),"")</f>
        <v/>
      </c>
    </row>
    <row r="220">
      <c r="A220" s="6" t="n">
        <v>2011</v>
      </c>
      <c r="B220" s="6" t="inlineStr">
        <is>
          <t>plata</t>
        </is>
      </c>
      <c r="C220" s="6" t="n">
        <v>4624568425</v>
      </c>
      <c r="D220" s="6" t="n">
        <v>109669779</v>
      </c>
      <c r="E220" s="6" t="n">
        <v>0.0237</v>
      </c>
      <c r="F220" s="11">
        <f>IF(C220=0,"",ROUND(D220/C220,4))</f>
        <v/>
      </c>
      <c r="G220" s="11">
        <f>IF(ISNUMBER(F220),ROUND(F220-E220,4),"")</f>
        <v/>
      </c>
    </row>
    <row r="221">
      <c r="A221" s="9" t="n">
        <v>2011</v>
      </c>
      <c r="B221" s="9" t="inlineStr">
        <is>
          <t>plomo</t>
        </is>
      </c>
      <c r="C221" s="9" t="n">
        <v>1253420308</v>
      </c>
      <c r="D221" s="9" t="n">
        <v>927940559</v>
      </c>
      <c r="E221" s="9" t="n">
        <v>0.7403</v>
      </c>
      <c r="F221" s="11">
        <f>IF(C221=0,"",ROUND(D221/C221,4))</f>
        <v/>
      </c>
      <c r="G221" s="11">
        <f>IF(ISNUMBER(F221),ROUND(F221-E221,4),"")</f>
        <v/>
      </c>
    </row>
    <row r="222">
      <c r="A222" s="6" t="n">
        <v>2011</v>
      </c>
      <c r="B222" s="6" t="inlineStr">
        <is>
          <t>silice</t>
        </is>
      </c>
      <c r="C222" s="6" t="n">
        <v>6514980</v>
      </c>
      <c r="D222" s="6" t="n">
        <v>1665762</v>
      </c>
      <c r="E222" s="6" t="n">
        <v>0.2557</v>
      </c>
      <c r="F222" s="11">
        <f>IF(C222=0,"",ROUND(D222/C222,4))</f>
        <v/>
      </c>
      <c r="G222" s="11">
        <f>IF(ISNUMBER(F222),ROUND(F222-E222,4),"")</f>
        <v/>
      </c>
    </row>
    <row r="223">
      <c r="A223" s="9" t="n">
        <v>2011</v>
      </c>
      <c r="B223" s="9" t="inlineStr">
        <is>
          <t>zinc</t>
        </is>
      </c>
      <c r="C223" s="9" t="n">
        <v>933073672</v>
      </c>
      <c r="D223" s="9" t="n">
        <v>441759771</v>
      </c>
      <c r="E223" s="9" t="n">
        <v>0.4734</v>
      </c>
      <c r="F223" s="11">
        <f>IF(C223=0,"",ROUND(D223/C223,4))</f>
        <v/>
      </c>
      <c r="G223" s="11">
        <f>IF(ISNUMBER(F223),ROUND(F223-E223,4),"")</f>
        <v/>
      </c>
    </row>
    <row r="224">
      <c r="A224" s="6" t="n">
        <v>2012</v>
      </c>
      <c r="B224" s="6" t="inlineStr">
        <is>
          <t>barita</t>
        </is>
      </c>
      <c r="C224" s="6" t="n">
        <v>12563332</v>
      </c>
      <c r="D224" s="6" t="n">
        <v>12563124</v>
      </c>
      <c r="E224" s="6" t="n">
        <v>1</v>
      </c>
      <c r="F224" s="11">
        <f>IF(C224=0,"",ROUND(D224/C224,4))</f>
        <v/>
      </c>
      <c r="G224" s="11">
        <f>IF(ISNUMBER(F224),ROUND(F224-E224,4),"")</f>
        <v/>
      </c>
    </row>
    <row r="225">
      <c r="A225" s="9" t="n">
        <v>2012</v>
      </c>
      <c r="B225" s="9" t="inlineStr">
        <is>
          <t>cobre</t>
        </is>
      </c>
      <c r="C225" s="9" t="n">
        <v>3245082999</v>
      </c>
      <c r="D225" s="9" t="n">
        <v>1362964233</v>
      </c>
      <c r="E225" s="9" t="n">
        <v>0.42</v>
      </c>
      <c r="F225" s="11">
        <f>IF(C225=0,"",ROUND(D225/C225,4))</f>
        <v/>
      </c>
      <c r="G225" s="11">
        <f>IF(ISNUMBER(F225),ROUND(F225-E225,4),"")</f>
        <v/>
      </c>
    </row>
    <row r="226">
      <c r="A226" s="6" t="n">
        <v>2012</v>
      </c>
      <c r="B226" s="6" t="inlineStr">
        <is>
          <t>fluorita</t>
        </is>
      </c>
      <c r="C226" s="6" t="n">
        <v>452097378</v>
      </c>
      <c r="D226" s="6" t="n">
        <v>207835946</v>
      </c>
      <c r="E226" s="6" t="n">
        <v>0.4597</v>
      </c>
      <c r="F226" s="11">
        <f>IF(C226=0,"",ROUND(D226/C226,4))</f>
        <v/>
      </c>
      <c r="G226" s="11">
        <f>IF(ISNUMBER(F226),ROUND(F226-E226,4),"")</f>
        <v/>
      </c>
    </row>
    <row r="227">
      <c r="A227" s="9" t="n">
        <v>2012</v>
      </c>
      <c r="B227" s="9" t="inlineStr">
        <is>
          <t>grafito</t>
        </is>
      </c>
      <c r="C227" s="9" t="n">
        <v>150094754</v>
      </c>
      <c r="D227" s="9" t="n">
        <v>7342268</v>
      </c>
      <c r="E227" s="9" t="n">
        <v>0.0489</v>
      </c>
      <c r="F227" s="11">
        <f>IF(C227=0,"",ROUND(D227/C227,4))</f>
        <v/>
      </c>
      <c r="G227" s="11">
        <f>IF(ISNUMBER(F227),ROUND(F227-E227,4),"")</f>
        <v/>
      </c>
    </row>
    <row r="228">
      <c r="A228" s="6" t="n">
        <v>2012</v>
      </c>
      <c r="B228" s="6" t="inlineStr">
        <is>
          <t>manganeso</t>
        </is>
      </c>
      <c r="C228" s="6" t="n">
        <v>89506270</v>
      </c>
      <c r="D228" s="6" t="n">
        <v>3592455</v>
      </c>
      <c r="E228" s="6" t="n">
        <v>0.0401</v>
      </c>
      <c r="F228" s="11">
        <f>IF(C228=0,"",ROUND(D228/C228,4))</f>
        <v/>
      </c>
      <c r="G228" s="11">
        <f>IF(ISNUMBER(F228),ROUND(F228-E228,4),"")</f>
        <v/>
      </c>
    </row>
    <row r="229">
      <c r="A229" s="9" t="n">
        <v>2012</v>
      </c>
      <c r="B229" s="9" t="inlineStr">
        <is>
          <t>oro</t>
        </is>
      </c>
      <c r="C229" s="9" t="n">
        <v>8144952949</v>
      </c>
      <c r="D229" s="9" t="n">
        <v>170876680</v>
      </c>
      <c r="E229" s="9" t="n">
        <v>0.021</v>
      </c>
      <c r="F229" s="11">
        <f>IF(C229=0,"",ROUND(D229/C229,4))</f>
        <v/>
      </c>
      <c r="G229" s="11">
        <f>IF(ISNUMBER(F229),ROUND(F229-E229,4),"")</f>
        <v/>
      </c>
    </row>
    <row r="230">
      <c r="A230" s="6" t="n">
        <v>2012</v>
      </c>
      <c r="B230" s="6" t="inlineStr">
        <is>
          <t>oro-plata (manufacturas)</t>
        </is>
      </c>
      <c r="C230" s="6" t="n">
        <v>528572883</v>
      </c>
      <c r="D230" s="6" t="n">
        <v>0</v>
      </c>
      <c r="E230" s="6" t="n">
        <v>0</v>
      </c>
      <c r="F230" s="11">
        <f>IF(C230=0,"",ROUND(D230/C230,4))</f>
        <v/>
      </c>
      <c r="G230" s="11">
        <f>IF(ISNUMBER(F230),ROUND(F230-E230,4),"")</f>
        <v/>
      </c>
    </row>
    <row r="231">
      <c r="A231" s="9" t="n">
        <v>2012</v>
      </c>
      <c r="B231" s="9" t="inlineStr">
        <is>
          <t>plata</t>
        </is>
      </c>
      <c r="C231" s="9" t="n">
        <v>4305680953</v>
      </c>
      <c r="D231" s="9" t="n">
        <v>36011593</v>
      </c>
      <c r="E231" s="9" t="n">
        <v>0.008399999999999999</v>
      </c>
      <c r="F231" s="11">
        <f>IF(C231=0,"",ROUND(D231/C231,4))</f>
        <v/>
      </c>
      <c r="G231" s="11">
        <f>IF(ISNUMBER(F231),ROUND(F231-E231,4),"")</f>
        <v/>
      </c>
    </row>
    <row r="232">
      <c r="A232" s="6" t="n">
        <v>2012</v>
      </c>
      <c r="B232" s="6" t="inlineStr">
        <is>
          <t>plomo</t>
        </is>
      </c>
      <c r="C232" s="6" t="n">
        <v>1782682533</v>
      </c>
      <c r="D232" s="6" t="n">
        <v>1556786147</v>
      </c>
      <c r="E232" s="6" t="n">
        <v>0.8733</v>
      </c>
      <c r="F232" s="11">
        <f>IF(C232=0,"",ROUND(D232/C232,4))</f>
        <v/>
      </c>
      <c r="G232" s="11">
        <f>IF(ISNUMBER(F232),ROUND(F232-E232,4),"")</f>
        <v/>
      </c>
    </row>
    <row r="233">
      <c r="A233" s="9" t="n">
        <v>2012</v>
      </c>
      <c r="B233" s="9" t="inlineStr">
        <is>
          <t>silice</t>
        </is>
      </c>
      <c r="C233" s="9" t="n">
        <v>5698015</v>
      </c>
      <c r="D233" s="9" t="n">
        <v>1047996</v>
      </c>
      <c r="E233" s="9" t="n">
        <v>0.1839</v>
      </c>
      <c r="F233" s="11">
        <f>IF(C233=0,"",ROUND(D233/C233,4))</f>
        <v/>
      </c>
      <c r="G233" s="11">
        <f>IF(ISNUMBER(F233),ROUND(F233-E233,4),"")</f>
        <v/>
      </c>
    </row>
    <row r="234">
      <c r="A234" s="6" t="n">
        <v>2012</v>
      </c>
      <c r="B234" s="6" t="inlineStr">
        <is>
          <t>zinc</t>
        </is>
      </c>
      <c r="C234" s="6" t="n">
        <v>915715803</v>
      </c>
      <c r="D234" s="6" t="n">
        <v>499961383</v>
      </c>
      <c r="E234" s="6" t="n">
        <v>0.546</v>
      </c>
      <c r="F234" s="11">
        <f>IF(C234=0,"",ROUND(D234/C234,4))</f>
        <v/>
      </c>
      <c r="G234" s="11">
        <f>IF(ISNUMBER(F234),ROUND(F234-E234,4),"")</f>
        <v/>
      </c>
    </row>
    <row r="235">
      <c r="A235" s="9" t="n">
        <v>2013</v>
      </c>
      <c r="B235" s="9" t="inlineStr">
        <is>
          <t>barita</t>
        </is>
      </c>
      <c r="C235" s="9" t="n">
        <v>28869148</v>
      </c>
      <c r="D235" s="9" t="n">
        <v>28863901</v>
      </c>
      <c r="E235" s="9" t="n">
        <v>0.9998</v>
      </c>
      <c r="F235" s="11">
        <f>IF(C235=0,"",ROUND(D235/C235,4))</f>
        <v/>
      </c>
      <c r="G235" s="11">
        <f>IF(ISNUMBER(F235),ROUND(F235-E235,4),"")</f>
        <v/>
      </c>
    </row>
    <row r="236">
      <c r="A236" s="6" t="n">
        <v>2013</v>
      </c>
      <c r="B236" s="6" t="inlineStr">
        <is>
          <t>cobre</t>
        </is>
      </c>
      <c r="C236" s="6" t="n">
        <v>2870297196</v>
      </c>
      <c r="D236" s="6" t="n">
        <v>1486416565</v>
      </c>
      <c r="E236" s="6" t="n">
        <v>0.5179</v>
      </c>
      <c r="F236" s="11">
        <f>IF(C236=0,"",ROUND(D236/C236,4))</f>
        <v/>
      </c>
      <c r="G236" s="11">
        <f>IF(ISNUMBER(F236),ROUND(F236-E236,4),"")</f>
        <v/>
      </c>
    </row>
    <row r="237">
      <c r="A237" s="9" t="n">
        <v>2013</v>
      </c>
      <c r="B237" s="9" t="inlineStr">
        <is>
          <t>fluorita</t>
        </is>
      </c>
      <c r="C237" s="9" t="n">
        <v>376263760</v>
      </c>
      <c r="D237" s="9" t="n">
        <v>164211292</v>
      </c>
      <c r="E237" s="9" t="n">
        <v>0.4364</v>
      </c>
      <c r="F237" s="11">
        <f>IF(C237=0,"",ROUND(D237/C237,4))</f>
        <v/>
      </c>
      <c r="G237" s="11">
        <f>IF(ISNUMBER(F237),ROUND(F237-E237,4),"")</f>
        <v/>
      </c>
    </row>
    <row r="238">
      <c r="A238" s="6" t="n">
        <v>2013</v>
      </c>
      <c r="B238" s="6" t="inlineStr">
        <is>
          <t>grafito</t>
        </is>
      </c>
      <c r="C238" s="6" t="n">
        <v>145736699</v>
      </c>
      <c r="D238" s="6" t="n">
        <v>7102214</v>
      </c>
      <c r="E238" s="6" t="n">
        <v>0.0487</v>
      </c>
      <c r="F238" s="11">
        <f>IF(C238=0,"",ROUND(D238/C238,4))</f>
        <v/>
      </c>
      <c r="G238" s="11">
        <f>IF(ISNUMBER(F238),ROUND(F238-E238,4),"")</f>
        <v/>
      </c>
    </row>
    <row r="239">
      <c r="A239" s="9" t="n">
        <v>2013</v>
      </c>
      <c r="B239" s="9" t="inlineStr">
        <is>
          <t>manganeso</t>
        </is>
      </c>
      <c r="C239" s="9" t="n">
        <v>65174283</v>
      </c>
      <c r="D239" s="9" t="n">
        <v>11065299</v>
      </c>
      <c r="E239" s="9" t="n">
        <v>0.1698</v>
      </c>
      <c r="F239" s="11">
        <f>IF(C239=0,"",ROUND(D239/C239,4))</f>
        <v/>
      </c>
      <c r="G239" s="11">
        <f>IF(ISNUMBER(F239),ROUND(F239-E239,4),"")</f>
        <v/>
      </c>
    </row>
    <row r="240">
      <c r="A240" s="6" t="n">
        <v>2013</v>
      </c>
      <c r="B240" s="6" t="inlineStr">
        <is>
          <t>oro</t>
        </is>
      </c>
      <c r="C240" s="6" t="n">
        <v>6044972725</v>
      </c>
      <c r="D240" s="6" t="n">
        <v>228701307</v>
      </c>
      <c r="E240" s="6" t="n">
        <v>0.0378</v>
      </c>
      <c r="F240" s="11">
        <f>IF(C240=0,"",ROUND(D240/C240,4))</f>
        <v/>
      </c>
      <c r="G240" s="11">
        <f>IF(ISNUMBER(F240),ROUND(F240-E240,4),"")</f>
        <v/>
      </c>
    </row>
    <row r="241">
      <c r="A241" s="9" t="n">
        <v>2013</v>
      </c>
      <c r="B241" s="9" t="inlineStr">
        <is>
          <t>oro-plata (manufacturas)</t>
        </is>
      </c>
      <c r="C241" s="9" t="n">
        <v>510580647</v>
      </c>
      <c r="D241" s="9" t="n">
        <v>0</v>
      </c>
      <c r="E241" s="9" t="n">
        <v>0</v>
      </c>
      <c r="F241" s="11">
        <f>IF(C241=0,"",ROUND(D241/C241,4))</f>
        <v/>
      </c>
      <c r="G241" s="11">
        <f>IF(ISNUMBER(F241),ROUND(F241-E241,4),"")</f>
        <v/>
      </c>
    </row>
    <row r="242">
      <c r="A242" s="6" t="n">
        <v>2013</v>
      </c>
      <c r="B242" s="6" t="inlineStr">
        <is>
          <t>plata</t>
        </is>
      </c>
      <c r="C242" s="6" t="n">
        <v>3123413723</v>
      </c>
      <c r="D242" s="6" t="n">
        <v>2274437</v>
      </c>
      <c r="E242" s="6" t="n">
        <v>0.0007</v>
      </c>
      <c r="F242" s="11">
        <f>IF(C242=0,"",ROUND(D242/C242,4))</f>
        <v/>
      </c>
      <c r="G242" s="11">
        <f>IF(ISNUMBER(F242),ROUND(F242-E242,4),"")</f>
        <v/>
      </c>
    </row>
    <row r="243">
      <c r="A243" s="9" t="n">
        <v>2013</v>
      </c>
      <c r="B243" s="9" t="inlineStr">
        <is>
          <t>plomo</t>
        </is>
      </c>
      <c r="C243" s="9" t="n">
        <v>1363964835</v>
      </c>
      <c r="D243" s="9" t="n">
        <v>1119233415</v>
      </c>
      <c r="E243" s="9" t="n">
        <v>0.8206</v>
      </c>
      <c r="F243" s="11">
        <f>IF(C243=0,"",ROUND(D243/C243,4))</f>
        <v/>
      </c>
      <c r="G243" s="11">
        <f>IF(ISNUMBER(F243),ROUND(F243-E243,4),"")</f>
        <v/>
      </c>
    </row>
    <row r="244">
      <c r="A244" s="6" t="n">
        <v>2013</v>
      </c>
      <c r="B244" s="6" t="inlineStr">
        <is>
          <t>silice</t>
        </is>
      </c>
      <c r="C244" s="6" t="n">
        <v>7998309</v>
      </c>
      <c r="D244" s="6" t="n">
        <v>2163162</v>
      </c>
      <c r="E244" s="6" t="n">
        <v>0.2705</v>
      </c>
      <c r="F244" s="11">
        <f>IF(C244=0,"",ROUND(D244/C244,4))</f>
        <v/>
      </c>
      <c r="G244" s="11">
        <f>IF(ISNUMBER(F244),ROUND(F244-E244,4),"")</f>
        <v/>
      </c>
    </row>
    <row r="245">
      <c r="A245" s="9" t="n">
        <v>2013</v>
      </c>
      <c r="B245" s="9" t="inlineStr">
        <is>
          <t>zinc</t>
        </is>
      </c>
      <c r="C245" s="9" t="n">
        <v>811657605</v>
      </c>
      <c r="D245" s="9" t="n">
        <v>409476638</v>
      </c>
      <c r="E245" s="9" t="n">
        <v>0.5044999999999999</v>
      </c>
      <c r="F245" s="11">
        <f>IF(C245=0,"",ROUND(D245/C245,4))</f>
        <v/>
      </c>
      <c r="G245" s="11">
        <f>IF(ISNUMBER(F245),ROUND(F245-E245,4),"")</f>
        <v/>
      </c>
    </row>
    <row r="246">
      <c r="A246" s="6" t="n">
        <v>2014</v>
      </c>
      <c r="B246" s="6" t="inlineStr">
        <is>
          <t>cobre</t>
        </is>
      </c>
      <c r="C246" s="6" t="n">
        <v>2625722593</v>
      </c>
      <c r="D246" s="6" t="n">
        <v>1170641398</v>
      </c>
      <c r="E246" s="6" t="n">
        <v>0.4458</v>
      </c>
      <c r="F246" s="11">
        <f>IF(C246=0,"",ROUND(D246/C246,4))</f>
        <v/>
      </c>
      <c r="G246" s="11">
        <f>IF(ISNUMBER(F246),ROUND(F246-E246,4),"")</f>
        <v/>
      </c>
    </row>
    <row r="247">
      <c r="A247" s="9" t="n">
        <v>2014</v>
      </c>
      <c r="B247" s="9" t="inlineStr">
        <is>
          <t>fluorita</t>
        </is>
      </c>
      <c r="C247" s="9" t="n">
        <v>256192763</v>
      </c>
      <c r="D247" s="9" t="n">
        <v>69212880</v>
      </c>
      <c r="E247" s="9" t="n">
        <v>0.2702</v>
      </c>
      <c r="F247" s="11">
        <f>IF(C247=0,"",ROUND(D247/C247,4))</f>
        <v/>
      </c>
      <c r="G247" s="11">
        <f>IF(ISNUMBER(F247),ROUND(F247-E247,4),"")</f>
        <v/>
      </c>
    </row>
    <row r="248">
      <c r="A248" s="6" t="n">
        <v>2014</v>
      </c>
      <c r="B248" s="6" t="inlineStr">
        <is>
          <t>grafito</t>
        </is>
      </c>
      <c r="C248" s="6" t="n">
        <v>165519415</v>
      </c>
      <c r="D248" s="6" t="n">
        <v>7256629</v>
      </c>
      <c r="E248" s="6" t="n">
        <v>0.0438</v>
      </c>
      <c r="F248" s="11">
        <f>IF(C248=0,"",ROUND(D248/C248,4))</f>
        <v/>
      </c>
      <c r="G248" s="11">
        <f>IF(ISNUMBER(F248),ROUND(F248-E248,4),"")</f>
        <v/>
      </c>
    </row>
    <row r="249">
      <c r="A249" s="9" t="n">
        <v>2014</v>
      </c>
      <c r="B249" s="9" t="inlineStr">
        <is>
          <t>manganeso</t>
        </is>
      </c>
      <c r="C249" s="9" t="n">
        <v>1260867</v>
      </c>
      <c r="D249" s="9" t="n">
        <v>81079</v>
      </c>
      <c r="E249" s="9" t="n">
        <v>0.0643</v>
      </c>
      <c r="F249" s="11">
        <f>IF(C249=0,"",ROUND(D249/C249,4))</f>
        <v/>
      </c>
      <c r="G249" s="11">
        <f>IF(ISNUMBER(F249),ROUND(F249-E249,4),"")</f>
        <v/>
      </c>
    </row>
    <row r="250">
      <c r="A250" s="6" t="n">
        <v>2014</v>
      </c>
      <c r="B250" s="6" t="inlineStr">
        <is>
          <t>oro</t>
        </is>
      </c>
      <c r="C250" s="6" t="n">
        <v>3562664186</v>
      </c>
      <c r="D250" s="6" t="n">
        <v>123028351</v>
      </c>
      <c r="E250" s="6" t="n">
        <v>0.0345</v>
      </c>
      <c r="F250" s="11">
        <f>IF(C250=0,"",ROUND(D250/C250,4))</f>
        <v/>
      </c>
      <c r="G250" s="11">
        <f>IF(ISNUMBER(F250),ROUND(F250-E250,4),"")</f>
        <v/>
      </c>
    </row>
    <row r="251">
      <c r="A251" s="9" t="n">
        <v>2014</v>
      </c>
      <c r="B251" s="9" t="inlineStr">
        <is>
          <t>oro-plata (manufacturas)</t>
        </is>
      </c>
      <c r="C251" s="9" t="n">
        <v>583564487</v>
      </c>
      <c r="D251" s="9" t="n">
        <v>0</v>
      </c>
      <c r="E251" s="9" t="n">
        <v>0</v>
      </c>
      <c r="F251" s="11">
        <f>IF(C251=0,"",ROUND(D251/C251,4))</f>
        <v/>
      </c>
      <c r="G251" s="11">
        <f>IF(ISNUMBER(F251),ROUND(F251-E251,4),"")</f>
        <v/>
      </c>
    </row>
    <row r="252">
      <c r="A252" s="6" t="n">
        <v>2014</v>
      </c>
      <c r="B252" s="6" t="inlineStr">
        <is>
          <t>plata</t>
        </is>
      </c>
      <c r="C252" s="6" t="n">
        <v>2222235895</v>
      </c>
      <c r="D252" s="6" t="n">
        <v>935178</v>
      </c>
      <c r="E252" s="6" t="n">
        <v>0.0004</v>
      </c>
      <c r="F252" s="11">
        <f>IF(C252=0,"",ROUND(D252/C252,4))</f>
        <v/>
      </c>
      <c r="G252" s="11">
        <f>IF(ISNUMBER(F252),ROUND(F252-E252,4),"")</f>
        <v/>
      </c>
    </row>
    <row r="253">
      <c r="A253" s="9" t="n">
        <v>2014</v>
      </c>
      <c r="B253" s="9" t="inlineStr">
        <is>
          <t>plomo</t>
        </is>
      </c>
      <c r="C253" s="9" t="n">
        <v>1312108542</v>
      </c>
      <c r="D253" s="9" t="n">
        <v>1162916141</v>
      </c>
      <c r="E253" s="9" t="n">
        <v>0.8863</v>
      </c>
      <c r="F253" s="11">
        <f>IF(C253=0,"",ROUND(D253/C253,4))</f>
        <v/>
      </c>
      <c r="G253" s="11">
        <f>IF(ISNUMBER(F253),ROUND(F253-E253,4),"")</f>
        <v/>
      </c>
    </row>
    <row r="254">
      <c r="A254" s="6" t="n">
        <v>2014</v>
      </c>
      <c r="B254" s="6" t="inlineStr">
        <is>
          <t>silice</t>
        </is>
      </c>
      <c r="C254" s="6" t="n">
        <v>6312524</v>
      </c>
      <c r="D254" s="6" t="n">
        <v>1977476</v>
      </c>
      <c r="E254" s="6" t="n">
        <v>0.3133</v>
      </c>
      <c r="F254" s="11">
        <f>IF(C254=0,"",ROUND(D254/C254,4))</f>
        <v/>
      </c>
      <c r="G254" s="11">
        <f>IF(ISNUMBER(F254),ROUND(F254-E254,4),"")</f>
        <v/>
      </c>
    </row>
    <row r="255">
      <c r="A255" s="9" t="n">
        <v>2014</v>
      </c>
      <c r="B255" s="9" t="inlineStr">
        <is>
          <t>zinc</t>
        </is>
      </c>
      <c r="C255" s="9" t="n">
        <v>579285095</v>
      </c>
      <c r="D255" s="9" t="n">
        <v>309233960</v>
      </c>
      <c r="E255" s="9" t="n">
        <v>0.5338000000000001</v>
      </c>
      <c r="F255" s="11">
        <f>IF(C255=0,"",ROUND(D255/C255,4))</f>
        <v/>
      </c>
      <c r="G255" s="11">
        <f>IF(ISNUMBER(F255),ROUND(F255-E255,4),"")</f>
        <v/>
      </c>
    </row>
    <row r="256">
      <c r="A256" s="6" t="n">
        <v>2015</v>
      </c>
      <c r="B256" s="6" t="inlineStr">
        <is>
          <t>barita</t>
        </is>
      </c>
      <c r="C256" s="6" t="n">
        <v>1595323</v>
      </c>
      <c r="D256" s="6" t="n">
        <v>1595323</v>
      </c>
      <c r="E256" s="6" t="n">
        <v>1</v>
      </c>
      <c r="F256" s="11">
        <f>IF(C256=0,"",ROUND(D256/C256,4))</f>
        <v/>
      </c>
      <c r="G256" s="11">
        <f>IF(ISNUMBER(F256),ROUND(F256-E256,4),"")</f>
        <v/>
      </c>
    </row>
    <row r="257">
      <c r="A257" s="9" t="n">
        <v>2015</v>
      </c>
      <c r="B257" s="9" t="inlineStr">
        <is>
          <t>cobre</t>
        </is>
      </c>
      <c r="C257" s="9" t="n">
        <v>2220094898</v>
      </c>
      <c r="D257" s="9" t="n">
        <v>933983883</v>
      </c>
      <c r="E257" s="9" t="n">
        <v>0.4207</v>
      </c>
      <c r="F257" s="11">
        <f>IF(C257=0,"",ROUND(D257/C257,4))</f>
        <v/>
      </c>
      <c r="G257" s="11">
        <f>IF(ISNUMBER(F257),ROUND(F257-E257,4),"")</f>
        <v/>
      </c>
    </row>
    <row r="258">
      <c r="A258" s="6" t="n">
        <v>2015</v>
      </c>
      <c r="B258" s="6" t="inlineStr">
        <is>
          <t>fluorita</t>
        </is>
      </c>
      <c r="C258" s="6" t="n">
        <v>242027013</v>
      </c>
      <c r="D258" s="6" t="n">
        <v>59599502</v>
      </c>
      <c r="E258" s="6" t="n">
        <v>0.2463</v>
      </c>
      <c r="F258" s="11">
        <f>IF(C258=0,"",ROUND(D258/C258,4))</f>
        <v/>
      </c>
      <c r="G258" s="11">
        <f>IF(ISNUMBER(F258),ROUND(F258-E258,4),"")</f>
        <v/>
      </c>
    </row>
    <row r="259">
      <c r="A259" s="9" t="n">
        <v>2015</v>
      </c>
      <c r="B259" s="9" t="inlineStr">
        <is>
          <t>grafito</t>
        </is>
      </c>
      <c r="C259" s="9" t="n">
        <v>106941249</v>
      </c>
      <c r="D259" s="9" t="n">
        <v>102168</v>
      </c>
      <c r="E259" s="9" t="n">
        <v>0.001</v>
      </c>
      <c r="F259" s="11">
        <f>IF(C259=0,"",ROUND(D259/C259,4))</f>
        <v/>
      </c>
      <c r="G259" s="11">
        <f>IF(ISNUMBER(F259),ROUND(F259-E259,4),"")</f>
        <v/>
      </c>
    </row>
    <row r="260">
      <c r="A260" s="6" t="n">
        <v>2015</v>
      </c>
      <c r="B260" s="6" t="inlineStr">
        <is>
          <t>manganeso</t>
        </is>
      </c>
      <c r="C260" s="6" t="n">
        <v>10887008</v>
      </c>
      <c r="D260" s="6" t="n">
        <v>0</v>
      </c>
      <c r="E260" s="6" t="n">
        <v>0</v>
      </c>
      <c r="F260" s="11">
        <f>IF(C260=0,"",ROUND(D260/C260,4))</f>
        <v/>
      </c>
      <c r="G260" s="11">
        <f>IF(ISNUMBER(F260),ROUND(F260-E260,4),"")</f>
        <v/>
      </c>
    </row>
    <row r="261">
      <c r="A261" s="9" t="n">
        <v>2015</v>
      </c>
      <c r="B261" s="9" t="inlineStr">
        <is>
          <t>oro</t>
        </is>
      </c>
      <c r="C261" s="9" t="n">
        <v>3144364478</v>
      </c>
      <c r="D261" s="9" t="n">
        <v>271995011</v>
      </c>
      <c r="E261" s="9" t="n">
        <v>0.08649999999999999</v>
      </c>
      <c r="F261" s="11">
        <f>IF(C261=0,"",ROUND(D261/C261,4))</f>
        <v/>
      </c>
      <c r="G261" s="11">
        <f>IF(ISNUMBER(F261),ROUND(F261-E261,4),"")</f>
        <v/>
      </c>
    </row>
    <row r="262">
      <c r="A262" s="6" t="n">
        <v>2015</v>
      </c>
      <c r="B262" s="6" t="inlineStr">
        <is>
          <t>oro-plata (manufacturas)</t>
        </is>
      </c>
      <c r="C262" s="6" t="n">
        <v>602373143</v>
      </c>
      <c r="D262" s="6" t="n">
        <v>0</v>
      </c>
      <c r="E262" s="6" t="n">
        <v>0</v>
      </c>
      <c r="F262" s="11">
        <f>IF(C262=0,"",ROUND(D262/C262,4))</f>
        <v/>
      </c>
      <c r="G262" s="11">
        <f>IF(ISNUMBER(F262),ROUND(F262-E262,4),"")</f>
        <v/>
      </c>
    </row>
    <row r="263">
      <c r="A263" s="9" t="n">
        <v>2015</v>
      </c>
      <c r="B263" s="9" t="inlineStr">
        <is>
          <t>plata</t>
        </is>
      </c>
      <c r="C263" s="9" t="n">
        <v>1858634682</v>
      </c>
      <c r="D263" s="9" t="n">
        <v>4428927</v>
      </c>
      <c r="E263" s="9" t="n">
        <v>0.0024</v>
      </c>
      <c r="F263" s="11">
        <f>IF(C263=0,"",ROUND(D263/C263,4))</f>
        <v/>
      </c>
      <c r="G263" s="11">
        <f>IF(ISNUMBER(F263),ROUND(F263-E263,4),"")</f>
        <v/>
      </c>
    </row>
    <row r="264">
      <c r="A264" s="6" t="n">
        <v>2015</v>
      </c>
      <c r="B264" s="6" t="inlineStr">
        <is>
          <t>plomo</t>
        </is>
      </c>
      <c r="C264" s="6" t="n">
        <v>1061517367</v>
      </c>
      <c r="D264" s="6" t="n">
        <v>893177730</v>
      </c>
      <c r="E264" s="6" t="n">
        <v>0.8414</v>
      </c>
      <c r="F264" s="11">
        <f>IF(C264=0,"",ROUND(D264/C264,4))</f>
        <v/>
      </c>
      <c r="G264" s="11">
        <f>IF(ISNUMBER(F264),ROUND(F264-E264,4),"")</f>
        <v/>
      </c>
    </row>
    <row r="265">
      <c r="A265" s="9" t="n">
        <v>2015</v>
      </c>
      <c r="B265" s="9" t="inlineStr">
        <is>
          <t>silice</t>
        </is>
      </c>
      <c r="C265" s="9" t="n">
        <v>7788406</v>
      </c>
      <c r="D265" s="9" t="n">
        <v>2315668</v>
      </c>
      <c r="E265" s="9" t="n">
        <v>0.2973</v>
      </c>
      <c r="F265" s="11">
        <f>IF(C265=0,"",ROUND(D265/C265,4))</f>
        <v/>
      </c>
      <c r="G265" s="11">
        <f>IF(ISNUMBER(F265),ROUND(F265-E265,4),"")</f>
        <v/>
      </c>
    </row>
    <row r="266">
      <c r="A266" s="6" t="n">
        <v>2015</v>
      </c>
      <c r="B266" s="6" t="inlineStr">
        <is>
          <t>zinc</t>
        </is>
      </c>
      <c r="C266" s="6" t="n">
        <v>646857950</v>
      </c>
      <c r="D266" s="6" t="n">
        <v>365685096</v>
      </c>
      <c r="E266" s="6" t="n">
        <v>0.5653</v>
      </c>
      <c r="F266" s="11">
        <f>IF(C266=0,"",ROUND(D266/C266,4))</f>
        <v/>
      </c>
      <c r="G266" s="11">
        <f>IF(ISNUMBER(F266),ROUND(F266-E266,4),"")</f>
        <v/>
      </c>
    </row>
    <row r="267">
      <c r="A267" s="9" t="n">
        <v>2016</v>
      </c>
      <c r="B267" s="9" t="inlineStr">
        <is>
          <t>barita</t>
        </is>
      </c>
      <c r="C267" s="9" t="n">
        <v>0</v>
      </c>
      <c r="D267" s="9" t="n">
        <v>0</v>
      </c>
      <c r="E267" s="9" t="n"/>
      <c r="F267" s="11">
        <f>IF(C267=0,"",ROUND(D267/C267,4))</f>
        <v/>
      </c>
      <c r="G267" s="11">
        <f>IF(ISNUMBER(F267),ROUND(F267-E267,4),"")</f>
        <v/>
      </c>
    </row>
    <row r="268">
      <c r="A268" s="6" t="n">
        <v>2016</v>
      </c>
      <c r="B268" s="6" t="inlineStr">
        <is>
          <t>cobre</t>
        </is>
      </c>
      <c r="C268" s="6" t="n">
        <v>2670487835</v>
      </c>
      <c r="D268" s="6" t="n">
        <v>1323559500</v>
      </c>
      <c r="E268" s="6" t="n">
        <v>0.4956</v>
      </c>
      <c r="F268" s="11">
        <f>IF(C268=0,"",ROUND(D268/C268,4))</f>
        <v/>
      </c>
      <c r="G268" s="11">
        <f>IF(ISNUMBER(F268),ROUND(F268-E268,4),"")</f>
        <v/>
      </c>
    </row>
    <row r="269">
      <c r="A269" s="9" t="n">
        <v>2016</v>
      </c>
      <c r="B269" s="9" t="inlineStr">
        <is>
          <t>fluorita</t>
        </is>
      </c>
      <c r="C269" s="9" t="n">
        <v>233300042</v>
      </c>
      <c r="D269" s="9" t="n">
        <v>62572145</v>
      </c>
      <c r="E269" s="9" t="n">
        <v>0.2682</v>
      </c>
      <c r="F269" s="11">
        <f>IF(C269=0,"",ROUND(D269/C269,4))</f>
        <v/>
      </c>
      <c r="G269" s="11">
        <f>IF(ISNUMBER(F269),ROUND(F269-E269,4),"")</f>
        <v/>
      </c>
    </row>
    <row r="270">
      <c r="A270" s="6" t="n">
        <v>2016</v>
      </c>
      <c r="B270" s="6" t="inlineStr">
        <is>
          <t>grafito</t>
        </is>
      </c>
      <c r="C270" s="6" t="n">
        <v>94732986</v>
      </c>
      <c r="D270" s="6" t="n">
        <v>3889142</v>
      </c>
      <c r="E270" s="6" t="n">
        <v>0.0411</v>
      </c>
      <c r="F270" s="11">
        <f>IF(C270=0,"",ROUND(D270/C270,4))</f>
        <v/>
      </c>
      <c r="G270" s="11">
        <f>IF(ISNUMBER(F270),ROUND(F270-E270,4),"")</f>
        <v/>
      </c>
    </row>
    <row r="271">
      <c r="A271" s="9" t="n">
        <v>2016</v>
      </c>
      <c r="B271" s="9" t="inlineStr">
        <is>
          <t>manganeso</t>
        </is>
      </c>
      <c r="C271" s="9" t="n">
        <v>34454134</v>
      </c>
      <c r="D271" s="9" t="n">
        <v>0</v>
      </c>
      <c r="E271" s="9" t="n">
        <v>0</v>
      </c>
      <c r="F271" s="11">
        <f>IF(C271=0,"",ROUND(D271/C271,4))</f>
        <v/>
      </c>
      <c r="G271" s="11">
        <f>IF(ISNUMBER(F271),ROUND(F271-E271,4),"")</f>
        <v/>
      </c>
    </row>
    <row r="272">
      <c r="A272" s="6" t="n">
        <v>2016</v>
      </c>
      <c r="B272" s="6" t="inlineStr">
        <is>
          <t>oro</t>
        </is>
      </c>
      <c r="C272" s="6" t="n">
        <v>3487693143</v>
      </c>
      <c r="D272" s="6" t="n">
        <v>248450033</v>
      </c>
      <c r="E272" s="6" t="n">
        <v>0.0712</v>
      </c>
      <c r="F272" s="11">
        <f>IF(C272=0,"",ROUND(D272/C272,4))</f>
        <v/>
      </c>
      <c r="G272" s="11">
        <f>IF(ISNUMBER(F272),ROUND(F272-E272,4),"")</f>
        <v/>
      </c>
    </row>
    <row r="273">
      <c r="A273" s="9" t="n">
        <v>2016</v>
      </c>
      <c r="B273" s="9" t="inlineStr">
        <is>
          <t>oro-plata (manufacturas)</t>
        </is>
      </c>
      <c r="C273" s="9" t="n">
        <v>431545958</v>
      </c>
      <c r="D273" s="9" t="n">
        <v>0</v>
      </c>
      <c r="E273" s="9" t="n">
        <v>0</v>
      </c>
      <c r="F273" s="11">
        <f>IF(C273=0,"",ROUND(D273/C273,4))</f>
        <v/>
      </c>
      <c r="G273" s="11">
        <f>IF(ISNUMBER(F273),ROUND(F273-E273,4),"")</f>
        <v/>
      </c>
    </row>
    <row r="274">
      <c r="A274" s="6" t="n">
        <v>2016</v>
      </c>
      <c r="B274" s="6" t="inlineStr">
        <is>
          <t>plata</t>
        </is>
      </c>
      <c r="C274" s="6" t="n">
        <v>1906842918</v>
      </c>
      <c r="D274" s="6" t="n">
        <v>25474960</v>
      </c>
      <c r="E274" s="6" t="n">
        <v>0.0134</v>
      </c>
      <c r="F274" s="11">
        <f>IF(C274=0,"",ROUND(D274/C274,4))</f>
        <v/>
      </c>
      <c r="G274" s="11">
        <f>IF(ISNUMBER(F274),ROUND(F274-E274,4),"")</f>
        <v/>
      </c>
    </row>
    <row r="275">
      <c r="A275" s="9" t="n">
        <v>2016</v>
      </c>
      <c r="B275" s="9" t="inlineStr">
        <is>
          <t>plomo</t>
        </is>
      </c>
      <c r="C275" s="9" t="n">
        <v>904677379</v>
      </c>
      <c r="D275" s="9" t="n">
        <v>780501188</v>
      </c>
      <c r="E275" s="9" t="n">
        <v>0.8627</v>
      </c>
      <c r="F275" s="11">
        <f>IF(C275=0,"",ROUND(D275/C275,4))</f>
        <v/>
      </c>
      <c r="G275" s="11">
        <f>IF(ISNUMBER(F275),ROUND(F275-E275,4),"")</f>
        <v/>
      </c>
    </row>
    <row r="276">
      <c r="A276" s="6" t="n">
        <v>2016</v>
      </c>
      <c r="B276" s="6" t="inlineStr">
        <is>
          <t>silice</t>
        </is>
      </c>
      <c r="C276" s="6" t="n">
        <v>7030524</v>
      </c>
      <c r="D276" s="6" t="n">
        <v>1864350</v>
      </c>
      <c r="E276" s="6" t="n">
        <v>0.2652</v>
      </c>
      <c r="F276" s="11">
        <f>IF(C276=0,"",ROUND(D276/C276,4))</f>
        <v/>
      </c>
      <c r="G276" s="11">
        <f>IF(ISNUMBER(F276),ROUND(F276-E276,4),"")</f>
        <v/>
      </c>
    </row>
    <row r="277">
      <c r="A277" s="9" t="n">
        <v>2016</v>
      </c>
      <c r="B277" s="9" t="inlineStr">
        <is>
          <t>zinc</t>
        </is>
      </c>
      <c r="C277" s="9" t="n">
        <v>780170054</v>
      </c>
      <c r="D277" s="9" t="n">
        <v>564250705</v>
      </c>
      <c r="E277" s="9" t="n">
        <v>0.7232</v>
      </c>
      <c r="F277" s="11">
        <f>IF(C277=0,"",ROUND(D277/C277,4))</f>
        <v/>
      </c>
      <c r="G277" s="11">
        <f>IF(ISNUMBER(F277),ROUND(F277-E277,4),"")</f>
        <v/>
      </c>
    </row>
    <row r="278">
      <c r="A278" s="6" t="n">
        <v>2017</v>
      </c>
      <c r="B278" s="6" t="inlineStr">
        <is>
          <t>barita</t>
        </is>
      </c>
      <c r="C278" s="6" t="n">
        <v>27260</v>
      </c>
      <c r="D278" s="6" t="n">
        <v>0</v>
      </c>
      <c r="E278" s="6" t="n">
        <v>0</v>
      </c>
      <c r="F278" s="11">
        <f>IF(C278=0,"",ROUND(D278/C278,4))</f>
        <v/>
      </c>
      <c r="G278" s="11">
        <f>IF(ISNUMBER(F278),ROUND(F278-E278,4),"")</f>
        <v/>
      </c>
    </row>
    <row r="279">
      <c r="A279" s="9" t="n">
        <v>2017</v>
      </c>
      <c r="B279" s="9" t="inlineStr">
        <is>
          <t>cobre</t>
        </is>
      </c>
      <c r="C279" s="9" t="n">
        <v>2978452379</v>
      </c>
      <c r="D279" s="9" t="n">
        <v>1568943333</v>
      </c>
      <c r="E279" s="9" t="n">
        <v>0.5268</v>
      </c>
      <c r="F279" s="11">
        <f>IF(C279=0,"",ROUND(D279/C279,4))</f>
        <v/>
      </c>
      <c r="G279" s="11">
        <f>IF(ISNUMBER(F279),ROUND(F279-E279,4),"")</f>
        <v/>
      </c>
    </row>
    <row r="280">
      <c r="A280" s="6" t="n">
        <v>2017</v>
      </c>
      <c r="B280" s="6" t="inlineStr">
        <is>
          <t>fluorita</t>
        </is>
      </c>
      <c r="C280" s="6" t="n">
        <v>230776774</v>
      </c>
      <c r="D280" s="6" t="n">
        <v>71003890</v>
      </c>
      <c r="E280" s="6" t="n">
        <v>0.3077</v>
      </c>
      <c r="F280" s="11">
        <f>IF(C280=0,"",ROUND(D280/C280,4))</f>
        <v/>
      </c>
      <c r="G280" s="11">
        <f>IF(ISNUMBER(F280),ROUND(F280-E280,4),"")</f>
        <v/>
      </c>
    </row>
    <row r="281">
      <c r="A281" s="9" t="n">
        <v>2017</v>
      </c>
      <c r="B281" s="9" t="inlineStr">
        <is>
          <t>grafito</t>
        </is>
      </c>
      <c r="C281" s="9" t="n">
        <v>95580419</v>
      </c>
      <c r="D281" s="9" t="n">
        <v>5527568</v>
      </c>
      <c r="E281" s="9" t="n">
        <v>0.0578</v>
      </c>
      <c r="F281" s="11">
        <f>IF(C281=0,"",ROUND(D281/C281,4))</f>
        <v/>
      </c>
      <c r="G281" s="11">
        <f>IF(ISNUMBER(F281),ROUND(F281-E281,4),"")</f>
        <v/>
      </c>
    </row>
    <row r="282">
      <c r="A282" s="6" t="n">
        <v>2017</v>
      </c>
      <c r="B282" s="6" t="inlineStr">
        <is>
          <t>manganeso</t>
        </is>
      </c>
      <c r="C282" s="6" t="n">
        <v>44965766</v>
      </c>
      <c r="D282" s="6" t="n">
        <v>0</v>
      </c>
      <c r="E282" s="6" t="n">
        <v>0</v>
      </c>
      <c r="F282" s="11">
        <f>IF(C282=0,"",ROUND(D282/C282,4))</f>
        <v/>
      </c>
      <c r="G282" s="11">
        <f>IF(ISNUMBER(F282),ROUND(F282-E282,4),"")</f>
        <v/>
      </c>
    </row>
    <row r="283">
      <c r="A283" s="9" t="n">
        <v>2017</v>
      </c>
      <c r="B283" s="9" t="inlineStr">
        <is>
          <t>oro</t>
        </is>
      </c>
      <c r="C283" s="9" t="n">
        <v>3546096377</v>
      </c>
      <c r="D283" s="9" t="n">
        <v>324859161</v>
      </c>
      <c r="E283" s="9" t="n">
        <v>0.0916</v>
      </c>
      <c r="F283" s="11">
        <f>IF(C283=0,"",ROUND(D283/C283,4))</f>
        <v/>
      </c>
      <c r="G283" s="11">
        <f>IF(ISNUMBER(F283),ROUND(F283-E283,4),"")</f>
        <v/>
      </c>
    </row>
    <row r="284">
      <c r="A284" s="6" t="n">
        <v>2017</v>
      </c>
      <c r="B284" s="6" t="inlineStr">
        <is>
          <t>oro-plata (manufacturas)</t>
        </is>
      </c>
      <c r="C284" s="6" t="n">
        <v>302267048</v>
      </c>
      <c r="D284" s="6" t="n">
        <v>0</v>
      </c>
      <c r="E284" s="6" t="n">
        <v>0</v>
      </c>
      <c r="F284" s="11">
        <f>IF(C284=0,"",ROUND(D284/C284,4))</f>
        <v/>
      </c>
      <c r="G284" s="11">
        <f>IF(ISNUMBER(F284),ROUND(F284-E284,4),"")</f>
        <v/>
      </c>
    </row>
    <row r="285">
      <c r="A285" s="9" t="n">
        <v>2017</v>
      </c>
      <c r="B285" s="9" t="inlineStr">
        <is>
          <t>plata</t>
        </is>
      </c>
      <c r="C285" s="9" t="n">
        <v>1855835345</v>
      </c>
      <c r="D285" s="9" t="n">
        <v>35742289</v>
      </c>
      <c r="E285" s="9" t="n">
        <v>0.0193</v>
      </c>
      <c r="F285" s="11">
        <f>IF(C285=0,"",ROUND(D285/C285,4))</f>
        <v/>
      </c>
      <c r="G285" s="11">
        <f>IF(ISNUMBER(F285),ROUND(F285-E285,4),"")</f>
        <v/>
      </c>
    </row>
    <row r="286">
      <c r="A286" s="6" t="n">
        <v>2017</v>
      </c>
      <c r="B286" s="6" t="inlineStr">
        <is>
          <t>plomo</t>
        </is>
      </c>
      <c r="C286" s="6" t="n">
        <v>1170086720</v>
      </c>
      <c r="D286" s="6" t="n">
        <v>978705634</v>
      </c>
      <c r="E286" s="6" t="n">
        <v>0.8364</v>
      </c>
      <c r="F286" s="11">
        <f>IF(C286=0,"",ROUND(D286/C286,4))</f>
        <v/>
      </c>
      <c r="G286" s="11">
        <f>IF(ISNUMBER(F286),ROUND(F286-E286,4),"")</f>
        <v/>
      </c>
    </row>
    <row r="287">
      <c r="A287" s="9" t="n">
        <v>2017</v>
      </c>
      <c r="B287" s="9" t="inlineStr">
        <is>
          <t>silice</t>
        </is>
      </c>
      <c r="C287" s="9" t="n">
        <v>7037943</v>
      </c>
      <c r="D287" s="9" t="n">
        <v>1916205</v>
      </c>
      <c r="E287" s="9" t="n">
        <v>0.2723</v>
      </c>
      <c r="F287" s="11">
        <f>IF(C287=0,"",ROUND(D287/C287,4))</f>
        <v/>
      </c>
      <c r="G287" s="11">
        <f>IF(ISNUMBER(F287),ROUND(F287-E287,4),"")</f>
        <v/>
      </c>
    </row>
    <row r="288">
      <c r="A288" s="6" t="n">
        <v>2017</v>
      </c>
      <c r="B288" s="6" t="inlineStr">
        <is>
          <t>zinc</t>
        </is>
      </c>
      <c r="C288" s="6" t="n">
        <v>948934970</v>
      </c>
      <c r="D288" s="6" t="n">
        <v>640110077</v>
      </c>
      <c r="E288" s="6" t="n">
        <v>0.6746</v>
      </c>
      <c r="F288" s="11">
        <f>IF(C288=0,"",ROUND(D288/C288,4))</f>
        <v/>
      </c>
      <c r="G288" s="11">
        <f>IF(ISNUMBER(F288),ROUND(F288-E288,4),"")</f>
        <v/>
      </c>
    </row>
    <row r="289">
      <c r="A289" s="9" t="n">
        <v>2018</v>
      </c>
      <c r="B289" s="9" t="inlineStr">
        <is>
          <t>barita</t>
        </is>
      </c>
      <c r="C289" s="9" t="n">
        <v>0</v>
      </c>
      <c r="D289" s="9" t="n">
        <v>0</v>
      </c>
      <c r="E289" s="9" t="n"/>
      <c r="F289" s="11">
        <f>IF(C289=0,"",ROUND(D289/C289,4))</f>
        <v/>
      </c>
      <c r="G289" s="11">
        <f>IF(ISNUMBER(F289),ROUND(F289-E289,4),"")</f>
        <v/>
      </c>
    </row>
    <row r="290">
      <c r="A290" s="6" t="n">
        <v>2018</v>
      </c>
      <c r="B290" s="6" t="inlineStr">
        <is>
          <t>cobre</t>
        </is>
      </c>
      <c r="C290" s="6" t="n">
        <v>3793769125</v>
      </c>
      <c r="D290" s="6" t="n">
        <v>2318095785</v>
      </c>
      <c r="E290" s="6" t="n">
        <v>0.611</v>
      </c>
      <c r="F290" s="11">
        <f>IF(C290=0,"",ROUND(D290/C290,4))</f>
        <v/>
      </c>
      <c r="G290" s="11">
        <f>IF(ISNUMBER(F290),ROUND(F290-E290,4),"")</f>
        <v/>
      </c>
    </row>
    <row r="291">
      <c r="A291" s="9" t="n">
        <v>2018</v>
      </c>
      <c r="B291" s="9" t="inlineStr">
        <is>
          <t>fluorita</t>
        </is>
      </c>
      <c r="C291" s="9" t="n">
        <v>235504574</v>
      </c>
      <c r="D291" s="9" t="n">
        <v>73420659</v>
      </c>
      <c r="E291" s="9" t="n">
        <v>0.3118</v>
      </c>
      <c r="F291" s="11">
        <f>IF(C291=0,"",ROUND(D291/C291,4))</f>
        <v/>
      </c>
      <c r="G291" s="11">
        <f>IF(ISNUMBER(F291),ROUND(F291-E291,4),"")</f>
        <v/>
      </c>
    </row>
    <row r="292">
      <c r="A292" s="6" t="n">
        <v>2018</v>
      </c>
      <c r="B292" s="6" t="inlineStr">
        <is>
          <t>grafito</t>
        </is>
      </c>
      <c r="C292" s="6" t="n">
        <v>193908081</v>
      </c>
      <c r="D292" s="6" t="n">
        <v>5558473</v>
      </c>
      <c r="E292" s="6" t="n">
        <v>0.0287</v>
      </c>
      <c r="F292" s="11">
        <f>IF(C292=0,"",ROUND(D292/C292,4))</f>
        <v/>
      </c>
      <c r="G292" s="11">
        <f>IF(ISNUMBER(F292),ROUND(F292-E292,4),"")</f>
        <v/>
      </c>
    </row>
    <row r="293">
      <c r="A293" s="9" t="n">
        <v>2018</v>
      </c>
      <c r="B293" s="9" t="inlineStr">
        <is>
          <t>manganeso</t>
        </is>
      </c>
      <c r="C293" s="9" t="n">
        <v>42123346</v>
      </c>
      <c r="D293" s="9" t="n">
        <v>0</v>
      </c>
      <c r="E293" s="9" t="n">
        <v>0</v>
      </c>
      <c r="F293" s="11">
        <f>IF(C293=0,"",ROUND(D293/C293,4))</f>
        <v/>
      </c>
      <c r="G293" s="11">
        <f>IF(ISNUMBER(F293),ROUND(F293-E293,4),"")</f>
        <v/>
      </c>
    </row>
    <row r="294">
      <c r="A294" s="6" t="n">
        <v>2018</v>
      </c>
      <c r="B294" s="6" t="inlineStr">
        <is>
          <t>oro</t>
        </is>
      </c>
      <c r="C294" s="6" t="n">
        <v>3382362728</v>
      </c>
      <c r="D294" s="6" t="n">
        <v>181351369</v>
      </c>
      <c r="E294" s="6" t="n">
        <v>0.0536</v>
      </c>
      <c r="F294" s="11">
        <f>IF(C294=0,"",ROUND(D294/C294,4))</f>
        <v/>
      </c>
      <c r="G294" s="11">
        <f>IF(ISNUMBER(F294),ROUND(F294-E294,4),"")</f>
        <v/>
      </c>
    </row>
    <row r="295">
      <c r="A295" s="9" t="n">
        <v>2018</v>
      </c>
      <c r="B295" s="9" t="inlineStr">
        <is>
          <t>oro-plata (manufacturas)</t>
        </is>
      </c>
      <c r="C295" s="9" t="n">
        <v>353650296</v>
      </c>
      <c r="D295" s="9" t="n">
        <v>0</v>
      </c>
      <c r="E295" s="9" t="n">
        <v>0</v>
      </c>
      <c r="F295" s="11">
        <f>IF(C295=0,"",ROUND(D295/C295,4))</f>
        <v/>
      </c>
      <c r="G295" s="11">
        <f>IF(ISNUMBER(F295),ROUND(F295-E295,4),"")</f>
        <v/>
      </c>
    </row>
    <row r="296">
      <c r="A296" s="6" t="n">
        <v>2018</v>
      </c>
      <c r="B296" s="6" t="inlineStr">
        <is>
          <t>plata</t>
        </is>
      </c>
      <c r="C296" s="6" t="n">
        <v>1708727482</v>
      </c>
      <c r="D296" s="6" t="n">
        <v>36656445</v>
      </c>
      <c r="E296" s="6" t="n">
        <v>0.0215</v>
      </c>
      <c r="F296" s="11">
        <f>IF(C296=0,"",ROUND(D296/C296,4))</f>
        <v/>
      </c>
      <c r="G296" s="11">
        <f>IF(ISNUMBER(F296),ROUND(F296-E296,4),"")</f>
        <v/>
      </c>
    </row>
    <row r="297">
      <c r="A297" s="9" t="n">
        <v>2018</v>
      </c>
      <c r="B297" s="9" t="inlineStr">
        <is>
          <t>plomo</t>
        </is>
      </c>
      <c r="C297" s="9" t="n">
        <v>984746524</v>
      </c>
      <c r="D297" s="9" t="n">
        <v>770645599</v>
      </c>
      <c r="E297" s="9" t="n">
        <v>0.7826</v>
      </c>
      <c r="F297" s="11">
        <f>IF(C297=0,"",ROUND(D297/C297,4))</f>
        <v/>
      </c>
      <c r="G297" s="11">
        <f>IF(ISNUMBER(F297),ROUND(F297-E297,4),"")</f>
        <v/>
      </c>
    </row>
    <row r="298">
      <c r="A298" s="6" t="n">
        <v>2018</v>
      </c>
      <c r="B298" s="6" t="inlineStr">
        <is>
          <t>silice</t>
        </is>
      </c>
      <c r="C298" s="6" t="n">
        <v>8701400</v>
      </c>
      <c r="D298" s="6" t="n">
        <v>1977646</v>
      </c>
      <c r="E298" s="6" t="n">
        <v>0.2273</v>
      </c>
      <c r="F298" s="11">
        <f>IF(C298=0,"",ROUND(D298/C298,4))</f>
        <v/>
      </c>
      <c r="G298" s="11">
        <f>IF(ISNUMBER(F298),ROUND(F298-E298,4),"")</f>
        <v/>
      </c>
    </row>
    <row r="299">
      <c r="A299" s="9" t="n">
        <v>2018</v>
      </c>
      <c r="B299" s="9" t="inlineStr">
        <is>
          <t>zinc</t>
        </is>
      </c>
      <c r="C299" s="9" t="n">
        <v>1235254525</v>
      </c>
      <c r="D299" s="9" t="n">
        <v>795496776</v>
      </c>
      <c r="E299" s="9" t="n">
        <v>0.644</v>
      </c>
      <c r="F299" s="11">
        <f>IF(C299=0,"",ROUND(D299/C299,4))</f>
        <v/>
      </c>
      <c r="G299" s="11">
        <f>IF(ISNUMBER(F299),ROUND(F299-E299,4),"")</f>
        <v/>
      </c>
    </row>
    <row r="300">
      <c r="A300" s="6" t="n">
        <v>2019</v>
      </c>
      <c r="B300" s="6" t="inlineStr">
        <is>
          <t>barita</t>
        </is>
      </c>
      <c r="C300" s="6" t="n">
        <v>0</v>
      </c>
      <c r="D300" s="6" t="n">
        <v>0</v>
      </c>
      <c r="E300" s="6" t="n"/>
      <c r="F300" s="11">
        <f>IF(C300=0,"",ROUND(D300/C300,4))</f>
        <v/>
      </c>
      <c r="G300" s="11">
        <f>IF(ISNUMBER(F300),ROUND(F300-E300,4),"")</f>
        <v/>
      </c>
    </row>
    <row r="301">
      <c r="A301" s="9" t="n">
        <v>2019</v>
      </c>
      <c r="B301" s="9" t="inlineStr">
        <is>
          <t>cobre</t>
        </is>
      </c>
      <c r="C301" s="9" t="n">
        <v>3686036107</v>
      </c>
      <c r="D301" s="9" t="n">
        <v>2339268612</v>
      </c>
      <c r="E301" s="9" t="n">
        <v>0.6346000000000001</v>
      </c>
      <c r="F301" s="11">
        <f>IF(C301=0,"",ROUND(D301/C301,4))</f>
        <v/>
      </c>
      <c r="G301" s="11">
        <f>IF(ISNUMBER(F301),ROUND(F301-E301,4),"")</f>
        <v/>
      </c>
    </row>
    <row r="302">
      <c r="A302" s="6" t="n">
        <v>2019</v>
      </c>
      <c r="B302" s="6" t="inlineStr">
        <is>
          <t>fluorita</t>
        </is>
      </c>
      <c r="C302" s="6" t="n">
        <v>287110902</v>
      </c>
      <c r="D302" s="6" t="n">
        <v>107197953</v>
      </c>
      <c r="E302" s="6" t="n">
        <v>0.3734</v>
      </c>
      <c r="F302" s="11">
        <f>IF(C302=0,"",ROUND(D302/C302,4))</f>
        <v/>
      </c>
      <c r="G302" s="11">
        <f>IF(ISNUMBER(F302),ROUND(F302-E302,4),"")</f>
        <v/>
      </c>
    </row>
    <row r="303">
      <c r="A303" s="9" t="n">
        <v>2019</v>
      </c>
      <c r="B303" s="9" t="inlineStr">
        <is>
          <t>grafito</t>
        </is>
      </c>
      <c r="C303" s="9" t="n">
        <v>223269302</v>
      </c>
      <c r="D303" s="9" t="n">
        <v>0</v>
      </c>
      <c r="E303" s="9" t="n">
        <v>0</v>
      </c>
      <c r="F303" s="11">
        <f>IF(C303=0,"",ROUND(D303/C303,4))</f>
        <v/>
      </c>
      <c r="G303" s="11">
        <f>IF(ISNUMBER(F303),ROUND(F303-E303,4),"")</f>
        <v/>
      </c>
    </row>
    <row r="304">
      <c r="A304" s="6" t="n">
        <v>2019</v>
      </c>
      <c r="B304" s="6" t="inlineStr">
        <is>
          <t>manganeso</t>
        </is>
      </c>
      <c r="C304" s="6" t="n">
        <v>45973453</v>
      </c>
      <c r="D304" s="6" t="n">
        <v>0</v>
      </c>
      <c r="E304" s="6" t="n">
        <v>0</v>
      </c>
      <c r="F304" s="11">
        <f>IF(C304=0,"",ROUND(D304/C304,4))</f>
        <v/>
      </c>
      <c r="G304" s="11">
        <f>IF(ISNUMBER(F304),ROUND(F304-E304,4),"")</f>
        <v/>
      </c>
    </row>
    <row r="305">
      <c r="A305" s="9" t="n">
        <v>2019</v>
      </c>
      <c r="B305" s="9" t="inlineStr">
        <is>
          <t>oro</t>
        </is>
      </c>
      <c r="C305" s="9" t="n">
        <v>3485870435</v>
      </c>
      <c r="D305" s="9" t="n">
        <v>217719396</v>
      </c>
      <c r="E305" s="9" t="n">
        <v>0.0625</v>
      </c>
      <c r="F305" s="11">
        <f>IF(C305=0,"",ROUND(D305/C305,4))</f>
        <v/>
      </c>
      <c r="G305" s="11">
        <f>IF(ISNUMBER(F305),ROUND(F305-E305,4),"")</f>
        <v/>
      </c>
    </row>
    <row r="306">
      <c r="A306" s="6" t="n">
        <v>2019</v>
      </c>
      <c r="B306" s="6" t="inlineStr">
        <is>
          <t>oro-plata (manufacturas)</t>
        </is>
      </c>
      <c r="C306" s="6" t="n">
        <v>311536967</v>
      </c>
      <c r="D306" s="6" t="n">
        <v>0</v>
      </c>
      <c r="E306" s="6" t="n">
        <v>0</v>
      </c>
      <c r="F306" s="11">
        <f>IF(C306=0,"",ROUND(D306/C306,4))</f>
        <v/>
      </c>
      <c r="G306" s="11">
        <f>IF(ISNUMBER(F306),ROUND(F306-E306,4),"")</f>
        <v/>
      </c>
    </row>
    <row r="307">
      <c r="A307" s="9" t="n">
        <v>2019</v>
      </c>
      <c r="B307" s="9" t="inlineStr">
        <is>
          <t>plata</t>
        </is>
      </c>
      <c r="C307" s="9" t="n">
        <v>1913567877</v>
      </c>
      <c r="D307" s="9" t="n">
        <v>31927356</v>
      </c>
      <c r="E307" s="9" t="n">
        <v>0.0167</v>
      </c>
      <c r="F307" s="11">
        <f>IF(C307=0,"",ROUND(D307/C307,4))</f>
        <v/>
      </c>
      <c r="G307" s="11">
        <f>IF(ISNUMBER(F307),ROUND(F307-E307,4),"")</f>
        <v/>
      </c>
    </row>
    <row r="308">
      <c r="A308" s="6" t="n">
        <v>2019</v>
      </c>
      <c r="B308" s="6" t="inlineStr">
        <is>
          <t>plomo</t>
        </is>
      </c>
      <c r="C308" s="6" t="n">
        <v>931389128</v>
      </c>
      <c r="D308" s="6" t="n">
        <v>739121732</v>
      </c>
      <c r="E308" s="6" t="n">
        <v>0.7936</v>
      </c>
      <c r="F308" s="11">
        <f>IF(C308=0,"",ROUND(D308/C308,4))</f>
        <v/>
      </c>
      <c r="G308" s="11">
        <f>IF(ISNUMBER(F308),ROUND(F308-E308,4),"")</f>
        <v/>
      </c>
    </row>
    <row r="309">
      <c r="A309" s="9" t="n">
        <v>2019</v>
      </c>
      <c r="B309" s="9" t="inlineStr">
        <is>
          <t>silice</t>
        </is>
      </c>
      <c r="C309" s="9" t="n">
        <v>9380304</v>
      </c>
      <c r="D309" s="9" t="n">
        <v>1588593</v>
      </c>
      <c r="E309" s="9" t="n">
        <v>0.1694</v>
      </c>
      <c r="F309" s="11">
        <f>IF(C309=0,"",ROUND(D309/C309,4))</f>
        <v/>
      </c>
      <c r="G309" s="11">
        <f>IF(ISNUMBER(F309),ROUND(F309-E309,4),"")</f>
        <v/>
      </c>
    </row>
    <row r="310">
      <c r="A310" s="6" t="n">
        <v>2019</v>
      </c>
      <c r="B310" s="6" t="inlineStr">
        <is>
          <t>zinc</t>
        </is>
      </c>
      <c r="C310" s="6" t="n">
        <v>1045767424</v>
      </c>
      <c r="D310" s="6" t="n">
        <v>655723459</v>
      </c>
      <c r="E310" s="6" t="n">
        <v>0.627</v>
      </c>
      <c r="F310" s="11">
        <f>IF(C310=0,"",ROUND(D310/C310,4))</f>
        <v/>
      </c>
      <c r="G310" s="11">
        <f>IF(ISNUMBER(F310),ROUND(F310-E310,4),"")</f>
        <v/>
      </c>
    </row>
    <row r="311">
      <c r="A311" s="9" t="n">
        <v>2020</v>
      </c>
      <c r="B311" s="9" t="inlineStr">
        <is>
          <t>barita</t>
        </is>
      </c>
      <c r="C311" s="9" t="n">
        <v>0</v>
      </c>
      <c r="D311" s="9" t="n">
        <v>0</v>
      </c>
      <c r="E311" s="9" t="n"/>
      <c r="F311" s="11">
        <f>IF(C311=0,"",ROUND(D311/C311,4))</f>
        <v/>
      </c>
      <c r="G311" s="11">
        <f>IF(ISNUMBER(F311),ROUND(F311-E311,4),"")</f>
        <v/>
      </c>
    </row>
    <row r="312">
      <c r="A312" s="6" t="n">
        <v>2020</v>
      </c>
      <c r="B312" s="6" t="inlineStr">
        <is>
          <t>cobre</t>
        </is>
      </c>
      <c r="C312" s="6" t="n">
        <v>4207498332</v>
      </c>
      <c r="D312" s="6" t="n">
        <v>2878626776</v>
      </c>
      <c r="E312" s="6" t="n">
        <v>0.6842</v>
      </c>
      <c r="F312" s="11">
        <f>IF(C312=0,"",ROUND(D312/C312,4))</f>
        <v/>
      </c>
      <c r="G312" s="11">
        <f>IF(ISNUMBER(F312),ROUND(F312-E312,4),"")</f>
        <v/>
      </c>
    </row>
    <row r="313">
      <c r="A313" s="9" t="n">
        <v>2020</v>
      </c>
      <c r="B313" s="9" t="inlineStr">
        <is>
          <t>fluorita</t>
        </is>
      </c>
      <c r="C313" s="9" t="n">
        <v>221874264</v>
      </c>
      <c r="D313" s="9" t="n">
        <v>77026577</v>
      </c>
      <c r="E313" s="9" t="n">
        <v>0.3472</v>
      </c>
      <c r="F313" s="11">
        <f>IF(C313=0,"",ROUND(D313/C313,4))</f>
        <v/>
      </c>
      <c r="G313" s="11">
        <f>IF(ISNUMBER(F313),ROUND(F313-E313,4),"")</f>
        <v/>
      </c>
    </row>
    <row r="314">
      <c r="A314" s="6" t="n">
        <v>2020</v>
      </c>
      <c r="B314" s="6" t="inlineStr">
        <is>
          <t>grafito</t>
        </is>
      </c>
      <c r="C314" s="6" t="n">
        <v>153575037</v>
      </c>
      <c r="D314" s="6" t="n">
        <v>0</v>
      </c>
      <c r="E314" s="6" t="n">
        <v>0</v>
      </c>
      <c r="F314" s="11">
        <f>IF(C314=0,"",ROUND(D314/C314,4))</f>
        <v/>
      </c>
      <c r="G314" s="11">
        <f>IF(ISNUMBER(F314),ROUND(F314-E314,4),"")</f>
        <v/>
      </c>
    </row>
    <row r="315">
      <c r="A315" s="9" t="n">
        <v>2020</v>
      </c>
      <c r="B315" s="9" t="inlineStr">
        <is>
          <t>manganeso</t>
        </is>
      </c>
      <c r="C315" s="9" t="n">
        <v>20023807</v>
      </c>
      <c r="D315" s="9" t="n">
        <v>0</v>
      </c>
      <c r="E315" s="9" t="n">
        <v>0</v>
      </c>
      <c r="F315" s="11">
        <f>IF(C315=0,"",ROUND(D315/C315,4))</f>
        <v/>
      </c>
      <c r="G315" s="11">
        <f>IF(ISNUMBER(F315),ROUND(F315-E315,4),"")</f>
        <v/>
      </c>
    </row>
    <row r="316">
      <c r="A316" s="6" t="n">
        <v>2020</v>
      </c>
      <c r="B316" s="6" t="inlineStr">
        <is>
          <t>oro</t>
        </is>
      </c>
      <c r="C316" s="6" t="n">
        <v>3810267884</v>
      </c>
      <c r="D316" s="6" t="n">
        <v>321417297</v>
      </c>
      <c r="E316" s="6" t="n">
        <v>0.0844</v>
      </c>
      <c r="F316" s="11">
        <f>IF(C316=0,"",ROUND(D316/C316,4))</f>
        <v/>
      </c>
      <c r="G316" s="11">
        <f>IF(ISNUMBER(F316),ROUND(F316-E316,4),"")</f>
        <v/>
      </c>
    </row>
    <row r="317">
      <c r="A317" s="9" t="n">
        <v>2020</v>
      </c>
      <c r="B317" s="9" t="inlineStr">
        <is>
          <t>oro-plata (manufacturas)</t>
        </is>
      </c>
      <c r="C317" s="9" t="n">
        <v>262580578</v>
      </c>
      <c r="D317" s="9" t="n">
        <v>0</v>
      </c>
      <c r="E317" s="9" t="n">
        <v>0</v>
      </c>
      <c r="F317" s="11">
        <f>IF(C317=0,"",ROUND(D317/C317,4))</f>
        <v/>
      </c>
      <c r="G317" s="11">
        <f>IF(ISNUMBER(F317),ROUND(F317-E317,4),"")</f>
        <v/>
      </c>
    </row>
    <row r="318">
      <c r="A318" s="6" t="n">
        <v>2020</v>
      </c>
      <c r="B318" s="6" t="inlineStr">
        <is>
          <t>plata</t>
        </is>
      </c>
      <c r="C318" s="6" t="n">
        <v>2302879794</v>
      </c>
      <c r="D318" s="6" t="n">
        <v>146951579</v>
      </c>
      <c r="E318" s="6" t="n">
        <v>0.0638</v>
      </c>
      <c r="F318" s="11">
        <f>IF(C318=0,"",ROUND(D318/C318,4))</f>
        <v/>
      </c>
      <c r="G318" s="11">
        <f>IF(ISNUMBER(F318),ROUND(F318-E318,4),"")</f>
        <v/>
      </c>
    </row>
    <row r="319">
      <c r="A319" s="9" t="n">
        <v>2020</v>
      </c>
      <c r="B319" s="9" t="inlineStr">
        <is>
          <t>plomo</t>
        </is>
      </c>
      <c r="C319" s="9" t="n">
        <v>1641373694</v>
      </c>
      <c r="D319" s="9" t="n">
        <v>1482644734</v>
      </c>
      <c r="E319" s="9" t="n">
        <v>0.9033</v>
      </c>
      <c r="F319" s="11">
        <f>IF(C319=0,"",ROUND(D319/C319,4))</f>
        <v/>
      </c>
      <c r="G319" s="11">
        <f>IF(ISNUMBER(F319),ROUND(F319-E319,4),"")</f>
        <v/>
      </c>
    </row>
    <row r="320">
      <c r="A320" s="6" t="n">
        <v>2020</v>
      </c>
      <c r="B320" s="6" t="inlineStr">
        <is>
          <t>silice</t>
        </is>
      </c>
      <c r="C320" s="6" t="n">
        <v>8791940</v>
      </c>
      <c r="D320" s="6" t="n">
        <v>1391684</v>
      </c>
      <c r="E320" s="6" t="n">
        <v>0.1583</v>
      </c>
      <c r="F320" s="11">
        <f>IF(C320=0,"",ROUND(D320/C320,4))</f>
        <v/>
      </c>
      <c r="G320" s="11">
        <f>IF(ISNUMBER(F320),ROUND(F320-E320,4),"")</f>
        <v/>
      </c>
    </row>
    <row r="321">
      <c r="A321" s="9" t="n">
        <v>2020</v>
      </c>
      <c r="B321" s="9" t="inlineStr">
        <is>
          <t>zinc</t>
        </is>
      </c>
      <c r="C321" s="9" t="n">
        <v>994375109</v>
      </c>
      <c r="D321" s="9" t="n">
        <v>646136225</v>
      </c>
      <c r="E321" s="9" t="n">
        <v>0.6498</v>
      </c>
      <c r="F321" s="11">
        <f>IF(C321=0,"",ROUND(D321/C321,4))</f>
        <v/>
      </c>
      <c r="G321" s="11">
        <f>IF(ISNUMBER(F321),ROUND(F321-E321,4),"")</f>
        <v/>
      </c>
    </row>
    <row r="322">
      <c r="A322" s="6" t="n">
        <v>2021</v>
      </c>
      <c r="B322" s="6" t="inlineStr">
        <is>
          <t>barita</t>
        </is>
      </c>
      <c r="C322" s="6" t="n">
        <v>19124233</v>
      </c>
      <c r="D322" s="6" t="n">
        <v>19124233</v>
      </c>
      <c r="E322" s="6" t="n">
        <v>1</v>
      </c>
      <c r="F322" s="11">
        <f>IF(C322=0,"",ROUND(D322/C322,4))</f>
        <v/>
      </c>
      <c r="G322" s="11">
        <f>IF(ISNUMBER(F322),ROUND(F322-E322,4),"")</f>
        <v/>
      </c>
    </row>
    <row r="323">
      <c r="A323" s="9" t="n">
        <v>2021</v>
      </c>
      <c r="B323" s="9" t="inlineStr">
        <is>
          <t>cobre</t>
        </is>
      </c>
      <c r="C323" s="9" t="n">
        <v>4985400522</v>
      </c>
      <c r="D323" s="9" t="n">
        <v>3420948513</v>
      </c>
      <c r="E323" s="9" t="n">
        <v>0.6862</v>
      </c>
      <c r="F323" s="11">
        <f>IF(C323=0,"",ROUND(D323/C323,4))</f>
        <v/>
      </c>
      <c r="G323" s="11">
        <f>IF(ISNUMBER(F323),ROUND(F323-E323,4),"")</f>
        <v/>
      </c>
    </row>
    <row r="324">
      <c r="A324" s="6" t="n">
        <v>2021</v>
      </c>
      <c r="B324" s="6" t="inlineStr">
        <is>
          <t>fluorita</t>
        </is>
      </c>
      <c r="C324" s="6" t="n">
        <v>110441561</v>
      </c>
      <c r="D324" s="6" t="n">
        <v>91633901</v>
      </c>
      <c r="E324" s="6" t="n">
        <v>0.8297</v>
      </c>
      <c r="F324" s="11">
        <f>IF(C324=0,"",ROUND(D324/C324,4))</f>
        <v/>
      </c>
      <c r="G324" s="11">
        <f>IF(ISNUMBER(F324),ROUND(F324-E324,4),"")</f>
        <v/>
      </c>
    </row>
    <row r="325">
      <c r="A325" s="9" t="n">
        <v>2021</v>
      </c>
      <c r="B325" s="9" t="inlineStr">
        <is>
          <t>grafito</t>
        </is>
      </c>
      <c r="C325" s="9" t="n">
        <v>159147700</v>
      </c>
      <c r="D325" s="9" t="n">
        <v>2113261</v>
      </c>
      <c r="E325" s="9" t="n">
        <v>0.0133</v>
      </c>
      <c r="F325" s="11">
        <f>IF(C325=0,"",ROUND(D325/C325,4))</f>
        <v/>
      </c>
      <c r="G325" s="11">
        <f>IF(ISNUMBER(F325),ROUND(F325-E325,4),"")</f>
        <v/>
      </c>
    </row>
    <row r="326">
      <c r="A326" s="6" t="n">
        <v>2021</v>
      </c>
      <c r="B326" s="6" t="inlineStr">
        <is>
          <t>manganeso</t>
        </is>
      </c>
      <c r="C326" s="6" t="n">
        <v>19983315</v>
      </c>
      <c r="D326" s="6" t="n">
        <v>0</v>
      </c>
      <c r="E326" s="6" t="n">
        <v>0</v>
      </c>
      <c r="F326" s="11">
        <f>IF(C326=0,"",ROUND(D326/C326,4))</f>
        <v/>
      </c>
      <c r="G326" s="11">
        <f>IF(ISNUMBER(F326),ROUND(F326-E326,4),"")</f>
        <v/>
      </c>
    </row>
    <row r="327">
      <c r="A327" s="9" t="n">
        <v>2021</v>
      </c>
      <c r="B327" s="9" t="inlineStr">
        <is>
          <t>oro</t>
        </is>
      </c>
      <c r="C327" s="9" t="n">
        <v>3416926612</v>
      </c>
      <c r="D327" s="9" t="n">
        <v>2952263</v>
      </c>
      <c r="E327" s="9" t="n">
        <v>0.0009</v>
      </c>
      <c r="F327" s="11">
        <f>IF(C327=0,"",ROUND(D327/C327,4))</f>
        <v/>
      </c>
      <c r="G327" s="11">
        <f>IF(ISNUMBER(F327),ROUND(F327-E327,4),"")</f>
        <v/>
      </c>
    </row>
    <row r="328">
      <c r="A328" s="6" t="n">
        <v>2021</v>
      </c>
      <c r="B328" s="6" t="inlineStr">
        <is>
          <t>oro-plata (manufacturas)</t>
        </is>
      </c>
      <c r="C328" s="6" t="n">
        <v>455993823</v>
      </c>
      <c r="D328" s="6" t="n">
        <v>0</v>
      </c>
      <c r="E328" s="6" t="n">
        <v>0</v>
      </c>
      <c r="F328" s="11">
        <f>IF(C328=0,"",ROUND(D328/C328,4))</f>
        <v/>
      </c>
      <c r="G328" s="11">
        <f>IF(ISNUMBER(F328),ROUND(F328-E328,4),"")</f>
        <v/>
      </c>
    </row>
    <row r="329">
      <c r="A329" s="9" t="n">
        <v>2021</v>
      </c>
      <c r="B329" s="9" t="inlineStr">
        <is>
          <t>plata</t>
        </is>
      </c>
      <c r="C329" s="9" t="n">
        <v>2571727435</v>
      </c>
      <c r="D329" s="9" t="n">
        <v>28657175</v>
      </c>
      <c r="E329" s="9" t="n">
        <v>0.0111</v>
      </c>
      <c r="F329" s="11">
        <f>IF(C329=0,"",ROUND(D329/C329,4))</f>
        <v/>
      </c>
      <c r="G329" s="11">
        <f>IF(ISNUMBER(F329),ROUND(F329-E329,4),"")</f>
        <v/>
      </c>
    </row>
    <row r="330">
      <c r="A330" s="6" t="n">
        <v>2021</v>
      </c>
      <c r="B330" s="6" t="inlineStr">
        <is>
          <t>plomo</t>
        </is>
      </c>
      <c r="C330" s="6" t="n">
        <v>1004125978</v>
      </c>
      <c r="D330" s="6" t="n">
        <v>833273184</v>
      </c>
      <c r="E330" s="6" t="n">
        <v>0.8298</v>
      </c>
      <c r="F330" s="11">
        <f>IF(C330=0,"",ROUND(D330/C330,4))</f>
        <v/>
      </c>
      <c r="G330" s="11">
        <f>IF(ISNUMBER(F330),ROUND(F330-E330,4),"")</f>
        <v/>
      </c>
    </row>
    <row r="331">
      <c r="A331" s="9" t="n">
        <v>2021</v>
      </c>
      <c r="B331" s="9" t="inlineStr">
        <is>
          <t>silice</t>
        </is>
      </c>
      <c r="C331" s="9" t="n">
        <v>13733816</v>
      </c>
      <c r="D331" s="9" t="n">
        <v>2535528</v>
      </c>
      <c r="E331" s="9" t="n">
        <v>0.1846</v>
      </c>
      <c r="F331" s="11">
        <f>IF(C331=0,"",ROUND(D331/C331,4))</f>
        <v/>
      </c>
      <c r="G331" s="11">
        <f>IF(ISNUMBER(F331),ROUND(F331-E331,4),"")</f>
        <v/>
      </c>
    </row>
    <row r="332">
      <c r="A332" s="6" t="n">
        <v>2021</v>
      </c>
      <c r="B332" s="6" t="inlineStr">
        <is>
          <t>zinc</t>
        </is>
      </c>
      <c r="C332" s="6" t="n">
        <v>541363917</v>
      </c>
      <c r="D332" s="6" t="n">
        <v>248335725</v>
      </c>
      <c r="E332" s="6" t="n">
        <v>0.4587</v>
      </c>
      <c r="F332" s="11">
        <f>IF(C332=0,"",ROUND(D332/C332,4))</f>
        <v/>
      </c>
      <c r="G332" s="11">
        <f>IF(ISNUMBER(F332),ROUND(F332-E332,4),"")</f>
        <v/>
      </c>
    </row>
    <row r="333">
      <c r="A333" s="9" t="n">
        <v>2022</v>
      </c>
      <c r="B333" s="9" t="inlineStr">
        <is>
          <t>barita</t>
        </is>
      </c>
      <c r="C333" s="9" t="n">
        <v>27236605</v>
      </c>
      <c r="D333" s="9" t="n">
        <v>27236605</v>
      </c>
      <c r="E333" s="9" t="n">
        <v>1</v>
      </c>
      <c r="F333" s="11">
        <f>IF(C333=0,"",ROUND(D333/C333,4))</f>
        <v/>
      </c>
      <c r="G333" s="11">
        <f>IF(ISNUMBER(F333),ROUND(F333-E333,4),"")</f>
        <v/>
      </c>
    </row>
    <row r="334">
      <c r="A334" s="6" t="n">
        <v>2022</v>
      </c>
      <c r="B334" s="6" t="inlineStr">
        <is>
          <t>cobre</t>
        </is>
      </c>
      <c r="C334" s="6" t="n">
        <v>4722669423</v>
      </c>
      <c r="D334" s="6" t="n">
        <v>3137587661</v>
      </c>
      <c r="E334" s="6" t="n">
        <v>0.6644</v>
      </c>
      <c r="F334" s="11">
        <f>IF(C334=0,"",ROUND(D334/C334,4))</f>
        <v/>
      </c>
      <c r="G334" s="11">
        <f>IF(ISNUMBER(F334),ROUND(F334-E334,4),"")</f>
        <v/>
      </c>
    </row>
    <row r="335">
      <c r="A335" s="9" t="n">
        <v>2022</v>
      </c>
      <c r="B335" s="9" t="inlineStr">
        <is>
          <t>fluorita</t>
        </is>
      </c>
      <c r="C335" s="9" t="n">
        <v>59764423</v>
      </c>
      <c r="D335" s="9" t="n">
        <v>55800331</v>
      </c>
      <c r="E335" s="9" t="n">
        <v>0.9337</v>
      </c>
      <c r="F335" s="11">
        <f>IF(C335=0,"",ROUND(D335/C335,4))</f>
        <v/>
      </c>
      <c r="G335" s="11">
        <f>IF(ISNUMBER(F335),ROUND(F335-E335,4),"")</f>
        <v/>
      </c>
    </row>
    <row r="336">
      <c r="A336" s="6" t="n">
        <v>2022</v>
      </c>
      <c r="B336" s="6" t="inlineStr">
        <is>
          <t>grafito</t>
        </is>
      </c>
      <c r="C336" s="6" t="n">
        <v>180308198</v>
      </c>
      <c r="D336" s="6" t="n">
        <v>3434484</v>
      </c>
      <c r="E336" s="6" t="n">
        <v>0.019</v>
      </c>
      <c r="F336" s="11">
        <f>IF(C336=0,"",ROUND(D336/C336,4))</f>
        <v/>
      </c>
      <c r="G336" s="11">
        <f>IF(ISNUMBER(F336),ROUND(F336-E336,4),"")</f>
        <v/>
      </c>
    </row>
    <row r="337">
      <c r="A337" s="9" t="n">
        <v>2022</v>
      </c>
      <c r="B337" s="9" t="inlineStr">
        <is>
          <t>manganeso</t>
        </is>
      </c>
      <c r="C337" s="9" t="n">
        <v>11736794</v>
      </c>
      <c r="D337" s="9" t="n">
        <v>0</v>
      </c>
      <c r="E337" s="9" t="n">
        <v>0</v>
      </c>
      <c r="F337" s="11">
        <f>IF(C337=0,"",ROUND(D337/C337,4))</f>
        <v/>
      </c>
      <c r="G337" s="11">
        <f>IF(ISNUMBER(F337),ROUND(F337-E337,4),"")</f>
        <v/>
      </c>
    </row>
    <row r="338">
      <c r="A338" s="6" t="n">
        <v>2022</v>
      </c>
      <c r="B338" s="6" t="inlineStr">
        <is>
          <t>oro</t>
        </is>
      </c>
      <c r="C338" s="6" t="n">
        <v>3117231105</v>
      </c>
      <c r="D338" s="6" t="n">
        <v>18427502</v>
      </c>
      <c r="E338" s="6" t="n">
        <v>0.0059</v>
      </c>
      <c r="F338" s="11">
        <f>IF(C338=0,"",ROUND(D338/C338,4))</f>
        <v/>
      </c>
      <c r="G338" s="11">
        <f>IF(ISNUMBER(F338),ROUND(F338-E338,4),"")</f>
        <v/>
      </c>
    </row>
    <row r="339">
      <c r="A339" s="9" t="n">
        <v>2022</v>
      </c>
      <c r="B339" s="9" t="inlineStr">
        <is>
          <t>oro-plata (manufacturas)</t>
        </is>
      </c>
      <c r="C339" s="9" t="n">
        <v>447652908</v>
      </c>
      <c r="D339" s="9" t="n">
        <v>0</v>
      </c>
      <c r="E339" s="9" t="n">
        <v>0</v>
      </c>
      <c r="F339" s="11">
        <f>IF(C339=0,"",ROUND(D339/C339,4))</f>
        <v/>
      </c>
      <c r="G339" s="11">
        <f>IF(ISNUMBER(F339),ROUND(F339-E339,4),"")</f>
        <v/>
      </c>
    </row>
    <row r="340">
      <c r="A340" s="6" t="n">
        <v>2022</v>
      </c>
      <c r="B340" s="6" t="inlineStr">
        <is>
          <t>plata</t>
        </is>
      </c>
      <c r="C340" s="6" t="n">
        <v>2371224863</v>
      </c>
      <c r="D340" s="6" t="n">
        <v>88920958</v>
      </c>
      <c r="E340" s="6" t="n">
        <v>0.0375</v>
      </c>
      <c r="F340" s="11">
        <f>IF(C340=0,"",ROUND(D340/C340,4))</f>
        <v/>
      </c>
      <c r="G340" s="11">
        <f>IF(ISNUMBER(F340),ROUND(F340-E340,4),"")</f>
        <v/>
      </c>
    </row>
    <row r="341">
      <c r="A341" s="9" t="n">
        <v>2022</v>
      </c>
      <c r="B341" s="9" t="inlineStr">
        <is>
          <t>plomo</t>
        </is>
      </c>
      <c r="C341" s="9" t="n">
        <v>946123097</v>
      </c>
      <c r="D341" s="9" t="n">
        <v>746165144</v>
      </c>
      <c r="E341" s="9" t="n">
        <v>0.7887</v>
      </c>
      <c r="F341" s="11">
        <f>IF(C341=0,"",ROUND(D341/C341,4))</f>
        <v/>
      </c>
      <c r="G341" s="11">
        <f>IF(ISNUMBER(F341),ROUND(F341-E341,4),"")</f>
        <v/>
      </c>
    </row>
    <row r="342">
      <c r="A342" s="6" t="n">
        <v>2022</v>
      </c>
      <c r="B342" s="6" t="inlineStr">
        <is>
          <t>silice</t>
        </is>
      </c>
      <c r="C342" s="6" t="n">
        <v>13109931</v>
      </c>
      <c r="D342" s="6" t="n">
        <v>3108781</v>
      </c>
      <c r="E342" s="6" t="n">
        <v>0.2371</v>
      </c>
      <c r="F342" s="11">
        <f>IF(C342=0,"",ROUND(D342/C342,4))</f>
        <v/>
      </c>
      <c r="G342" s="11">
        <f>IF(ISNUMBER(F342),ROUND(F342-E342,4),"")</f>
        <v/>
      </c>
    </row>
    <row r="343">
      <c r="A343" s="9" t="n">
        <v>2022</v>
      </c>
      <c r="B343" s="9" t="inlineStr">
        <is>
          <t>zinc</t>
        </is>
      </c>
      <c r="C343" s="9" t="n">
        <v>760598939</v>
      </c>
      <c r="D343" s="9" t="n">
        <v>399116625</v>
      </c>
      <c r="E343" s="9" t="n">
        <v>0.5247000000000001</v>
      </c>
      <c r="F343" s="11">
        <f>IF(C343=0,"",ROUND(D343/C343,4))</f>
        <v/>
      </c>
      <c r="G343" s="11">
        <f>IF(ISNUMBER(F343),ROUND(F343-E343,4),"")</f>
        <v/>
      </c>
    </row>
    <row r="344">
      <c r="A344" s="6" t="n">
        <v>2023</v>
      </c>
      <c r="B344" s="6" t="inlineStr">
        <is>
          <t>barita</t>
        </is>
      </c>
      <c r="C344" s="6" t="n">
        <v>26073174</v>
      </c>
      <c r="D344" s="6" t="n">
        <v>26073174</v>
      </c>
      <c r="E344" s="6" t="n">
        <v>1</v>
      </c>
      <c r="F344" s="11">
        <f>IF(C344=0,"",ROUND(D344/C344,4))</f>
        <v/>
      </c>
      <c r="G344" s="11">
        <f>IF(ISNUMBER(F344),ROUND(F344-E344,4),"")</f>
        <v/>
      </c>
    </row>
    <row r="345">
      <c r="A345" s="9" t="n">
        <v>2023</v>
      </c>
      <c r="B345" s="9" t="inlineStr">
        <is>
          <t>cobre</t>
        </is>
      </c>
      <c r="C345" s="9" t="n">
        <v>4637905569</v>
      </c>
      <c r="D345" s="9" t="n">
        <v>3715931601</v>
      </c>
      <c r="E345" s="9" t="n">
        <v>0.8012</v>
      </c>
      <c r="F345" s="11">
        <f>IF(C345=0,"",ROUND(D345/C345,4))</f>
        <v/>
      </c>
      <c r="G345" s="11">
        <f>IF(ISNUMBER(F345),ROUND(F345-E345,4),"")</f>
        <v/>
      </c>
    </row>
    <row r="346">
      <c r="A346" s="6" t="n">
        <v>2023</v>
      </c>
      <c r="B346" s="6" t="inlineStr">
        <is>
          <t>fluorita</t>
        </is>
      </c>
      <c r="C346" s="6" t="n">
        <v>75481424</v>
      </c>
      <c r="D346" s="6" t="n">
        <v>66031726</v>
      </c>
      <c r="E346" s="6" t="n">
        <v>0.8748</v>
      </c>
      <c r="F346" s="11">
        <f>IF(C346=0,"",ROUND(D346/C346,4))</f>
        <v/>
      </c>
      <c r="G346" s="11">
        <f>IF(ISNUMBER(F346),ROUND(F346-E346,4),"")</f>
        <v/>
      </c>
    </row>
    <row r="347">
      <c r="A347" s="9" t="n">
        <v>2023</v>
      </c>
      <c r="B347" s="9" t="inlineStr">
        <is>
          <t>grafito</t>
        </is>
      </c>
      <c r="C347" s="9" t="n">
        <v>147105750</v>
      </c>
      <c r="D347" s="9" t="n">
        <v>1818565</v>
      </c>
      <c r="E347" s="9" t="n">
        <v>0.0124</v>
      </c>
      <c r="F347" s="11">
        <f>IF(C347=0,"",ROUND(D347/C347,4))</f>
        <v/>
      </c>
      <c r="G347" s="11">
        <f>IF(ISNUMBER(F347),ROUND(F347-E347,4),"")</f>
        <v/>
      </c>
    </row>
    <row r="348">
      <c r="A348" s="6" t="n">
        <v>2023</v>
      </c>
      <c r="B348" s="6" t="inlineStr">
        <is>
          <t>manganeso</t>
        </is>
      </c>
      <c r="C348" s="6" t="n">
        <v>6893582</v>
      </c>
      <c r="D348" s="6" t="n">
        <v>0</v>
      </c>
      <c r="E348" s="6" t="n">
        <v>0</v>
      </c>
      <c r="F348" s="11">
        <f>IF(C348=0,"",ROUND(D348/C348,4))</f>
        <v/>
      </c>
      <c r="G348" s="11">
        <f>IF(ISNUMBER(F348),ROUND(F348-E348,4),"")</f>
        <v/>
      </c>
    </row>
    <row r="349">
      <c r="A349" s="9" t="n">
        <v>2023</v>
      </c>
      <c r="B349" s="9" t="inlineStr">
        <is>
          <t>oro</t>
        </is>
      </c>
      <c r="C349" s="9" t="n">
        <v>3434747761</v>
      </c>
      <c r="D349" s="9" t="n">
        <v>28453111</v>
      </c>
      <c r="E349" s="9" t="n">
        <v>0.0083</v>
      </c>
      <c r="F349" s="11">
        <f>IF(C349=0,"",ROUND(D349/C349,4))</f>
        <v/>
      </c>
      <c r="G349" s="11">
        <f>IF(ISNUMBER(F349),ROUND(F349-E349,4),"")</f>
        <v/>
      </c>
    </row>
    <row r="350">
      <c r="A350" s="6" t="n">
        <v>2023</v>
      </c>
      <c r="B350" s="6" t="inlineStr">
        <is>
          <t>oro-plata (manufacturas)</t>
        </is>
      </c>
      <c r="C350" s="6" t="n">
        <v>405779406</v>
      </c>
      <c r="D350" s="6" t="n">
        <v>0</v>
      </c>
      <c r="E350" s="6" t="n">
        <v>0</v>
      </c>
      <c r="F350" s="11">
        <f>IF(C350=0,"",ROUND(D350/C350,4))</f>
        <v/>
      </c>
      <c r="G350" s="11">
        <f>IF(ISNUMBER(F350),ROUND(F350-E350,4),"")</f>
        <v/>
      </c>
    </row>
    <row r="351">
      <c r="A351" s="9" t="n">
        <v>2023</v>
      </c>
      <c r="B351" s="9" t="inlineStr">
        <is>
          <t>plata</t>
        </is>
      </c>
      <c r="C351" s="9" t="n">
        <v>2799750775</v>
      </c>
      <c r="D351" s="9" t="n">
        <v>117981985</v>
      </c>
      <c r="E351" s="9" t="n">
        <v>0.0421</v>
      </c>
      <c r="F351" s="11">
        <f>IF(C351=0,"",ROUND(D351/C351,4))</f>
        <v/>
      </c>
      <c r="G351" s="11">
        <f>IF(ISNUMBER(F351),ROUND(F351-E351,4),"")</f>
        <v/>
      </c>
    </row>
    <row r="352">
      <c r="A352" s="6" t="n">
        <v>2023</v>
      </c>
      <c r="B352" s="6" t="inlineStr">
        <is>
          <t>plomo</t>
        </is>
      </c>
      <c r="C352" s="6" t="n">
        <v>965479732</v>
      </c>
      <c r="D352" s="6" t="n">
        <v>836925906</v>
      </c>
      <c r="E352" s="6" t="n">
        <v>0.8668</v>
      </c>
      <c r="F352" s="11">
        <f>IF(C352=0,"",ROUND(D352/C352,4))</f>
        <v/>
      </c>
      <c r="G352" s="11">
        <f>IF(ISNUMBER(F352),ROUND(F352-E352,4),"")</f>
        <v/>
      </c>
    </row>
    <row r="353">
      <c r="A353" s="9" t="n">
        <v>2023</v>
      </c>
      <c r="B353" s="9" t="inlineStr">
        <is>
          <t>silice</t>
        </is>
      </c>
      <c r="C353" s="9" t="n">
        <v>8107156</v>
      </c>
      <c r="D353" s="9" t="n">
        <v>1897141</v>
      </c>
      <c r="E353" s="9" t="n">
        <v>0.234</v>
      </c>
      <c r="F353" s="11">
        <f>IF(C353=0,"",ROUND(D353/C353,4))</f>
        <v/>
      </c>
      <c r="G353" s="11">
        <f>IF(ISNUMBER(F353),ROUND(F353-E353,4),"")</f>
        <v/>
      </c>
    </row>
    <row r="354">
      <c r="A354" s="6" t="n">
        <v>2023</v>
      </c>
      <c r="B354" s="6" t="inlineStr">
        <is>
          <t>zinc</t>
        </is>
      </c>
      <c r="C354" s="6" t="n">
        <v>589422587</v>
      </c>
      <c r="D354" s="6" t="n">
        <v>245944426</v>
      </c>
      <c r="E354" s="6" t="n">
        <v>0.4173</v>
      </c>
      <c r="F354" s="11">
        <f>IF(C354=0,"",ROUND(D354/C354,4))</f>
        <v/>
      </c>
      <c r="G354" s="11">
        <f>IF(ISNUMBER(F354),ROUND(F354-E354,4),"")</f>
        <v/>
      </c>
    </row>
    <row r="355">
      <c r="A355" s="9" t="n">
        <v>2024</v>
      </c>
      <c r="B355" s="9" t="inlineStr">
        <is>
          <t>barita</t>
        </is>
      </c>
      <c r="C355" s="9" t="n">
        <v>13093040</v>
      </c>
      <c r="D355" s="9" t="n">
        <v>13093040</v>
      </c>
      <c r="E355" s="9" t="n">
        <v>1</v>
      </c>
      <c r="F355" s="11">
        <f>IF(C355=0,"",ROUND(D355/C355,4))</f>
        <v/>
      </c>
      <c r="G355" s="11">
        <f>IF(ISNUMBER(F355),ROUND(F355-E355,4),"")</f>
        <v/>
      </c>
    </row>
    <row r="356">
      <c r="A356" s="6" t="n">
        <v>2024</v>
      </c>
      <c r="B356" s="6" t="inlineStr">
        <is>
          <t>cobre</t>
        </is>
      </c>
      <c r="C356" s="6" t="n">
        <v>4590866886</v>
      </c>
      <c r="D356" s="6" t="n">
        <v>3718889902</v>
      </c>
      <c r="E356" s="6" t="n">
        <v>0.8101</v>
      </c>
      <c r="F356" s="11">
        <f>IF(C356=0,"",ROUND(D356/C356,4))</f>
        <v/>
      </c>
      <c r="G356" s="11">
        <f>IF(ISNUMBER(F356),ROUND(F356-E356,4),"")</f>
        <v/>
      </c>
    </row>
    <row r="357">
      <c r="A357" s="9" t="n">
        <v>2024</v>
      </c>
      <c r="B357" s="9" t="inlineStr">
        <is>
          <t>fluorita</t>
        </is>
      </c>
      <c r="C357" s="9" t="n">
        <v>96185011</v>
      </c>
      <c r="D357" s="9" t="n">
        <v>25305600</v>
      </c>
      <c r="E357" s="9" t="n">
        <v>0.2631</v>
      </c>
      <c r="F357" s="11">
        <f>IF(C357=0,"",ROUND(D357/C357,4))</f>
        <v/>
      </c>
      <c r="G357" s="11">
        <f>IF(ISNUMBER(F357),ROUND(F357-E357,4),"")</f>
        <v/>
      </c>
    </row>
    <row r="358">
      <c r="A358" s="6" t="n">
        <v>2024</v>
      </c>
      <c r="B358" s="6" t="inlineStr">
        <is>
          <t>grafito</t>
        </is>
      </c>
      <c r="C358" s="6" t="n">
        <v>110604981</v>
      </c>
      <c r="D358" s="6" t="n">
        <v>3808739</v>
      </c>
      <c r="E358" s="6" t="n">
        <v>0.0344</v>
      </c>
      <c r="F358" s="11">
        <f>IF(C358=0,"",ROUND(D358/C358,4))</f>
        <v/>
      </c>
      <c r="G358" s="11">
        <f>IF(ISNUMBER(F358),ROUND(F358-E358,4),"")</f>
        <v/>
      </c>
    </row>
    <row r="359">
      <c r="A359" s="9" t="n">
        <v>2024</v>
      </c>
      <c r="B359" s="9" t="inlineStr">
        <is>
          <t>manganeso</t>
        </is>
      </c>
      <c r="C359" s="9" t="n">
        <v>14437488</v>
      </c>
      <c r="D359" s="9" t="n">
        <v>0</v>
      </c>
      <c r="E359" s="9" t="n">
        <v>0</v>
      </c>
      <c r="F359" s="11">
        <f>IF(C359=0,"",ROUND(D359/C359,4))</f>
        <v/>
      </c>
      <c r="G359" s="11">
        <f>IF(ISNUMBER(F359),ROUND(F359-E359,4),"")</f>
        <v/>
      </c>
    </row>
    <row r="360">
      <c r="A360" s="6" t="n">
        <v>2024</v>
      </c>
      <c r="B360" s="6" t="inlineStr">
        <is>
          <t>oro</t>
        </is>
      </c>
      <c r="C360" s="6" t="n">
        <v>3715029429</v>
      </c>
      <c r="D360" s="6" t="n">
        <v>37997871</v>
      </c>
      <c r="E360" s="6" t="n">
        <v>0.0102</v>
      </c>
      <c r="F360" s="11">
        <f>IF(C360=0,"",ROUND(D360/C360,4))</f>
        <v/>
      </c>
      <c r="G360" s="11">
        <f>IF(ISNUMBER(F360),ROUND(F360-E360,4),"")</f>
        <v/>
      </c>
    </row>
    <row r="361">
      <c r="A361" s="9" t="n">
        <v>2024</v>
      </c>
      <c r="B361" s="9" t="inlineStr">
        <is>
          <t>oro-plata (manufacturas)</t>
        </is>
      </c>
      <c r="C361" s="9" t="n">
        <v>399152449</v>
      </c>
      <c r="D361" s="9" t="n">
        <v>0</v>
      </c>
      <c r="E361" s="9" t="n">
        <v>0</v>
      </c>
      <c r="F361" s="11">
        <f>IF(C361=0,"",ROUND(D361/C361,4))</f>
        <v/>
      </c>
      <c r="G361" s="11">
        <f>IF(ISNUMBER(F361),ROUND(F361-E361,4),"")</f>
        <v/>
      </c>
    </row>
    <row r="362">
      <c r="A362" s="6" t="n">
        <v>2024</v>
      </c>
      <c r="B362" s="6" t="inlineStr">
        <is>
          <t>plata</t>
        </is>
      </c>
      <c r="C362" s="6" t="n">
        <v>2778875135</v>
      </c>
      <c r="D362" s="6" t="n">
        <v>185098813</v>
      </c>
      <c r="E362" s="6" t="n">
        <v>0.06660000000000001</v>
      </c>
      <c r="F362" s="11">
        <f>IF(C362=0,"",ROUND(D362/C362,4))</f>
        <v/>
      </c>
      <c r="G362" s="11">
        <f>IF(ISNUMBER(F362),ROUND(F362-E362,4),"")</f>
        <v/>
      </c>
    </row>
    <row r="363">
      <c r="A363" s="9" t="n">
        <v>2024</v>
      </c>
      <c r="B363" s="9" t="inlineStr">
        <is>
          <t>plomo</t>
        </is>
      </c>
      <c r="C363" s="9" t="n">
        <v>1270981472</v>
      </c>
      <c r="D363" s="9" t="n">
        <v>1092152844</v>
      </c>
      <c r="E363" s="9" t="n">
        <v>0.8593</v>
      </c>
      <c r="F363" s="11">
        <f>IF(C363=0,"",ROUND(D363/C363,4))</f>
        <v/>
      </c>
      <c r="G363" s="11">
        <f>IF(ISNUMBER(F363),ROUND(F363-E363,4),"")</f>
        <v/>
      </c>
    </row>
    <row r="364">
      <c r="A364" s="6" t="n">
        <v>2024</v>
      </c>
      <c r="B364" s="6" t="inlineStr">
        <is>
          <t>silice</t>
        </is>
      </c>
      <c r="C364" s="6" t="n">
        <v>10966826</v>
      </c>
      <c r="D364" s="6" t="n">
        <v>1705312</v>
      </c>
      <c r="E364" s="6" t="n">
        <v>0.1555</v>
      </c>
      <c r="F364" s="11">
        <f>IF(C364=0,"",ROUND(D364/C364,4))</f>
        <v/>
      </c>
      <c r="G364" s="11">
        <f>IF(ISNUMBER(F364),ROUND(F364-E364,4),"")</f>
        <v/>
      </c>
    </row>
    <row r="365">
      <c r="A365" s="9" t="n">
        <v>2024</v>
      </c>
      <c r="B365" s="9" t="inlineStr">
        <is>
          <t>zinc</t>
        </is>
      </c>
      <c r="C365" s="9" t="n">
        <v>725457434</v>
      </c>
      <c r="D365" s="9" t="n">
        <v>577061971</v>
      </c>
      <c r="E365" s="9" t="n">
        <v>0.7954</v>
      </c>
      <c r="F365" s="11">
        <f>IF(C365=0,"",ROUND(D365/C365,4))</f>
        <v/>
      </c>
      <c r="G365" s="11">
        <f>IF(ISNUMBER(F365),ROUND(F365-E365,4),"")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8" customWidth="1" min="4" max="4"/>
    <col width="16" customWidth="1" min="5" max="5"/>
  </cols>
  <sheetData>
    <row r="1" ht="24" customHeight="1">
      <c r="A1" s="1" t="inlineStr">
        <is>
          <t>Comercio por etapa (serie larga, valor por mineral x etapa x flujo, 1992-2024)</t>
        </is>
      </c>
    </row>
    <row r="2" ht="40" customHeight="1">
      <c r="A2" s="2" t="inlineStr">
        <is>
          <t>Insumo de la posicion (hoja 18). Etapas E1-E4 segun la concordancia HS (hoja 18c). Caveat: cambian versiones HS a lo largo del periodo -&gt; leer como tendencia.</t>
        </is>
      </c>
    </row>
    <row r="3">
      <c r="A3" s="3" t="inlineStr">
        <is>
          <t>anio</t>
        </is>
      </c>
      <c r="B3" s="3" t="inlineStr">
        <is>
          <t>mineral</t>
        </is>
      </c>
      <c r="C3" s="3" t="inlineStr">
        <is>
          <t>etapa</t>
        </is>
      </c>
      <c r="D3" s="3" t="inlineStr">
        <is>
          <t>flujo</t>
        </is>
      </c>
      <c r="E3" s="3" t="inlineStr">
        <is>
          <t>valor_usd</t>
        </is>
      </c>
    </row>
    <row r="4">
      <c r="A4" s="6" t="n">
        <v>1992</v>
      </c>
      <c r="B4" s="6" t="inlineStr">
        <is>
          <t>barita</t>
        </is>
      </c>
      <c r="C4" s="6" t="inlineStr">
        <is>
          <t>E1 Crudo/molido</t>
        </is>
      </c>
      <c r="D4" s="6" t="inlineStr">
        <is>
          <t>M</t>
        </is>
      </c>
      <c r="E4" s="6" t="n">
        <v>1032000</v>
      </c>
    </row>
    <row r="5">
      <c r="A5" s="9" t="n">
        <v>1992</v>
      </c>
      <c r="B5" s="9" t="inlineStr">
        <is>
          <t>barita</t>
        </is>
      </c>
      <c r="C5" s="9" t="inlineStr">
        <is>
          <t>E1 Crudo/molido</t>
        </is>
      </c>
      <c r="D5" s="9" t="inlineStr">
        <is>
          <t>X</t>
        </is>
      </c>
      <c r="E5" s="9" t="n">
        <v>1244000</v>
      </c>
    </row>
    <row r="6">
      <c r="A6" s="6" t="n">
        <v>1992</v>
      </c>
      <c r="B6" s="6" t="inlineStr">
        <is>
          <t>barita</t>
        </is>
      </c>
      <c r="C6" s="6" t="inlineStr">
        <is>
          <t>E2 Quimicos de bario</t>
        </is>
      </c>
      <c r="D6" s="6" t="inlineStr">
        <is>
          <t>M</t>
        </is>
      </c>
      <c r="E6" s="6" t="n">
        <v>360000</v>
      </c>
    </row>
    <row r="7">
      <c r="A7" s="9" t="n">
        <v>1992</v>
      </c>
      <c r="B7" s="9" t="inlineStr">
        <is>
          <t>barita</t>
        </is>
      </c>
      <c r="C7" s="9" t="inlineStr">
        <is>
          <t>E2 Quimicos de bario</t>
        </is>
      </c>
      <c r="D7" s="9" t="inlineStr">
        <is>
          <t>X</t>
        </is>
      </c>
      <c r="E7" s="9" t="n">
        <v>1571000</v>
      </c>
    </row>
    <row r="8">
      <c r="A8" s="6" t="n">
        <v>1992</v>
      </c>
      <c r="B8" s="6" t="inlineStr">
        <is>
          <t>cobre</t>
        </is>
      </c>
      <c r="C8" s="6" t="inlineStr">
        <is>
          <t>E1 Mena/concentrado</t>
        </is>
      </c>
      <c r="D8" s="6" t="inlineStr">
        <is>
          <t>M</t>
        </is>
      </c>
      <c r="E8" s="6" t="n">
        <v>27437000</v>
      </c>
    </row>
    <row r="9">
      <c r="A9" s="9" t="n">
        <v>1992</v>
      </c>
      <c r="B9" s="9" t="inlineStr">
        <is>
          <t>cobre</t>
        </is>
      </c>
      <c r="C9" s="9" t="inlineStr">
        <is>
          <t>E1 Mena/concentrado</t>
        </is>
      </c>
      <c r="D9" s="9" t="inlineStr">
        <is>
          <t>X</t>
        </is>
      </c>
      <c r="E9" s="9" t="n">
        <v>31605000</v>
      </c>
    </row>
    <row r="10">
      <c r="A10" s="6" t="n">
        <v>1992</v>
      </c>
      <c r="B10" s="6" t="inlineStr">
        <is>
          <t>cobre</t>
        </is>
      </c>
      <c r="C10" s="6" t="inlineStr">
        <is>
          <t>E2 Metal en bruto/refinado</t>
        </is>
      </c>
      <c r="D10" s="6" t="inlineStr">
        <is>
          <t>M</t>
        </is>
      </c>
      <c r="E10" s="6" t="n">
        <v>100243000</v>
      </c>
    </row>
    <row r="11">
      <c r="A11" s="9" t="n">
        <v>1992</v>
      </c>
      <c r="B11" s="9" t="inlineStr">
        <is>
          <t>cobre</t>
        </is>
      </c>
      <c r="C11" s="9" t="inlineStr">
        <is>
          <t>E2 Metal en bruto/refinado</t>
        </is>
      </c>
      <c r="D11" s="9" t="inlineStr">
        <is>
          <t>X</t>
        </is>
      </c>
      <c r="E11" s="9" t="n">
        <v>287704992</v>
      </c>
    </row>
    <row r="12">
      <c r="A12" s="6" t="n">
        <v>1992</v>
      </c>
      <c r="B12" s="6" t="inlineStr">
        <is>
          <t>cobre</t>
        </is>
      </c>
      <c r="C12" s="6" t="inlineStr">
        <is>
          <t>E3 Semimanufacturas</t>
        </is>
      </c>
      <c r="D12" s="6" t="inlineStr">
        <is>
          <t>M</t>
        </is>
      </c>
      <c r="E12" s="6" t="n">
        <v>184950000</v>
      </c>
    </row>
    <row r="13">
      <c r="A13" s="9" t="n">
        <v>1992</v>
      </c>
      <c r="B13" s="9" t="inlineStr">
        <is>
          <t>cobre</t>
        </is>
      </c>
      <c r="C13" s="9" t="inlineStr">
        <is>
          <t>E3 Semimanufacturas</t>
        </is>
      </c>
      <c r="D13" s="9" t="inlineStr">
        <is>
          <t>X</t>
        </is>
      </c>
      <c r="E13" s="9" t="n">
        <v>127642000</v>
      </c>
    </row>
    <row r="14">
      <c r="A14" s="6" t="n">
        <v>1992</v>
      </c>
      <c r="B14" s="6" t="inlineStr">
        <is>
          <t>cobre</t>
        </is>
      </c>
      <c r="C14" s="6" t="inlineStr">
        <is>
          <t>E4 Manufacturas</t>
        </is>
      </c>
      <c r="D14" s="6" t="inlineStr">
        <is>
          <t>M</t>
        </is>
      </c>
      <c r="E14" s="6" t="n">
        <v>96622000</v>
      </c>
    </row>
    <row r="15">
      <c r="A15" s="9" t="n">
        <v>1992</v>
      </c>
      <c r="B15" s="9" t="inlineStr">
        <is>
          <t>cobre</t>
        </is>
      </c>
      <c r="C15" s="9" t="inlineStr">
        <is>
          <t>E4 Manufacturas</t>
        </is>
      </c>
      <c r="D15" s="9" t="inlineStr">
        <is>
          <t>X</t>
        </is>
      </c>
      <c r="E15" s="9" t="n">
        <v>23568000</v>
      </c>
    </row>
    <row r="16">
      <c r="A16" s="6" t="n">
        <v>1992</v>
      </c>
      <c r="B16" s="6" t="inlineStr">
        <is>
          <t>fluorita</t>
        </is>
      </c>
      <c r="C16" s="6" t="inlineStr">
        <is>
          <t>E1 Espato fluor (crudo)</t>
        </is>
      </c>
      <c r="D16" s="6" t="inlineStr">
        <is>
          <t>M</t>
        </is>
      </c>
      <c r="E16" s="6" t="n">
        <v>4243000</v>
      </c>
    </row>
    <row r="17">
      <c r="A17" s="9" t="n">
        <v>1992</v>
      </c>
      <c r="B17" s="9" t="inlineStr">
        <is>
          <t>fluorita</t>
        </is>
      </c>
      <c r="C17" s="9" t="inlineStr">
        <is>
          <t>E1 Espato fluor (crudo)</t>
        </is>
      </c>
      <c r="D17" s="9" t="inlineStr">
        <is>
          <t>X</t>
        </is>
      </c>
      <c r="E17" s="9" t="n">
        <v>13929000</v>
      </c>
    </row>
    <row r="18">
      <c r="A18" s="6" t="n">
        <v>1992</v>
      </c>
      <c r="B18" s="6" t="inlineStr">
        <is>
          <t>fluorita</t>
        </is>
      </c>
      <c r="C18" s="6" t="inlineStr">
        <is>
          <t>E2 Fluoroquimica</t>
        </is>
      </c>
      <c r="D18" s="6" t="inlineStr">
        <is>
          <t>M</t>
        </is>
      </c>
      <c r="E18" s="6" t="n">
        <v>3968000</v>
      </c>
    </row>
    <row r="19">
      <c r="A19" s="9" t="n">
        <v>1992</v>
      </c>
      <c r="B19" s="9" t="inlineStr">
        <is>
          <t>fluorita</t>
        </is>
      </c>
      <c r="C19" s="9" t="inlineStr">
        <is>
          <t>E2 Fluoroquimica</t>
        </is>
      </c>
      <c r="D19" s="9" t="inlineStr">
        <is>
          <t>X</t>
        </is>
      </c>
      <c r="E19" s="9" t="n">
        <v>86072000</v>
      </c>
    </row>
    <row r="20">
      <c r="A20" s="6" t="n">
        <v>1992</v>
      </c>
      <c r="B20" s="6" t="inlineStr">
        <is>
          <t>grafito</t>
        </is>
      </c>
      <c r="C20" s="6" t="inlineStr">
        <is>
          <t>E1 Grafito natural</t>
        </is>
      </c>
      <c r="D20" s="6" t="inlineStr">
        <is>
          <t>M</t>
        </is>
      </c>
      <c r="E20" s="6" t="n">
        <v>2584000</v>
      </c>
    </row>
    <row r="21">
      <c r="A21" s="9" t="n">
        <v>1992</v>
      </c>
      <c r="B21" s="9" t="inlineStr">
        <is>
          <t>grafito</t>
        </is>
      </c>
      <c r="C21" s="9" t="inlineStr">
        <is>
          <t>E1 Grafito natural</t>
        </is>
      </c>
      <c r="D21" s="9" t="inlineStr">
        <is>
          <t>X</t>
        </is>
      </c>
      <c r="E21" s="9" t="n">
        <v>3073000</v>
      </c>
    </row>
    <row r="22">
      <c r="A22" s="6" t="n">
        <v>1992</v>
      </c>
      <c r="B22" s="6" t="inlineStr">
        <is>
          <t>grafito</t>
        </is>
      </c>
      <c r="C22" s="6" t="inlineStr">
        <is>
          <t>E2 Grafito artificial/prep.</t>
        </is>
      </c>
      <c r="D22" s="6" t="inlineStr">
        <is>
          <t>M</t>
        </is>
      </c>
      <c r="E22" s="6" t="n">
        <v>8204000</v>
      </c>
    </row>
    <row r="23">
      <c r="A23" s="9" t="n">
        <v>1992</v>
      </c>
      <c r="B23" s="9" t="inlineStr">
        <is>
          <t>grafito</t>
        </is>
      </c>
      <c r="C23" s="9" t="inlineStr">
        <is>
          <t>E2 Grafito artificial/prep.</t>
        </is>
      </c>
      <c r="D23" s="9" t="inlineStr">
        <is>
          <t>X</t>
        </is>
      </c>
      <c r="E23" s="9" t="n">
        <v>12300000</v>
      </c>
    </row>
    <row r="24">
      <c r="A24" s="6" t="n">
        <v>1992</v>
      </c>
      <c r="B24" s="6" t="inlineStr">
        <is>
          <t>grafito</t>
        </is>
      </c>
      <c r="C24" s="6" t="inlineStr">
        <is>
          <t>E3 Electrodos/articulos de carbono</t>
        </is>
      </c>
      <c r="D24" s="6" t="inlineStr">
        <is>
          <t>M</t>
        </is>
      </c>
      <c r="E24" s="6" t="n">
        <v>20386000</v>
      </c>
    </row>
    <row r="25">
      <c r="A25" s="9" t="n">
        <v>1992</v>
      </c>
      <c r="B25" s="9" t="inlineStr">
        <is>
          <t>grafito</t>
        </is>
      </c>
      <c r="C25" s="9" t="inlineStr">
        <is>
          <t>E3 Electrodos/articulos de carbono</t>
        </is>
      </c>
      <c r="D25" s="9" t="inlineStr">
        <is>
          <t>X</t>
        </is>
      </c>
      <c r="E25" s="9" t="n">
        <v>15432000</v>
      </c>
    </row>
    <row r="26">
      <c r="A26" s="6" t="n">
        <v>1992</v>
      </c>
      <c r="B26" s="6" t="inlineStr">
        <is>
          <t>manganeso</t>
        </is>
      </c>
      <c r="C26" s="6" t="inlineStr">
        <is>
          <t>E1 Mena/concentrado</t>
        </is>
      </c>
      <c r="D26" s="6" t="inlineStr">
        <is>
          <t>M</t>
        </is>
      </c>
      <c r="E26" s="6" t="n">
        <v>12647000</v>
      </c>
    </row>
    <row r="27">
      <c r="A27" s="9" t="n">
        <v>1992</v>
      </c>
      <c r="B27" s="9" t="inlineStr">
        <is>
          <t>manganeso</t>
        </is>
      </c>
      <c r="C27" s="9" t="inlineStr">
        <is>
          <t>E1 Mena/concentrado</t>
        </is>
      </c>
      <c r="D27" s="9" t="inlineStr">
        <is>
          <t>X</t>
        </is>
      </c>
      <c r="E27" s="9" t="n">
        <v>6044000</v>
      </c>
    </row>
    <row r="28">
      <c r="A28" s="6" t="n">
        <v>1992</v>
      </c>
      <c r="B28" s="6" t="inlineStr">
        <is>
          <t>manganeso</t>
        </is>
      </c>
      <c r="C28" s="6" t="inlineStr">
        <is>
          <t>E2 Ferroaleaciones</t>
        </is>
      </c>
      <c r="D28" s="6" t="inlineStr">
        <is>
          <t>M</t>
        </is>
      </c>
      <c r="E28" s="6" t="n">
        <v>9295000</v>
      </c>
    </row>
    <row r="29">
      <c r="A29" s="9" t="n">
        <v>1992</v>
      </c>
      <c r="B29" s="9" t="inlineStr">
        <is>
          <t>manganeso</t>
        </is>
      </c>
      <c r="C29" s="9" t="inlineStr">
        <is>
          <t>E2 Ferroaleaciones</t>
        </is>
      </c>
      <c r="D29" s="9" t="inlineStr">
        <is>
          <t>X</t>
        </is>
      </c>
      <c r="E29" s="9" t="n">
        <v>36349000</v>
      </c>
    </row>
    <row r="30">
      <c r="A30" s="6" t="n">
        <v>1992</v>
      </c>
      <c r="B30" s="6" t="inlineStr">
        <is>
          <t>manganeso</t>
        </is>
      </c>
      <c r="C30" s="6" t="inlineStr">
        <is>
          <t>E3 Quimicos/metal</t>
        </is>
      </c>
      <c r="D30" s="6" t="inlineStr">
        <is>
          <t>M</t>
        </is>
      </c>
      <c r="E30" s="6" t="n">
        <v>5433000</v>
      </c>
    </row>
    <row r="31">
      <c r="A31" s="9" t="n">
        <v>1992</v>
      </c>
      <c r="B31" s="9" t="inlineStr">
        <is>
          <t>manganeso</t>
        </is>
      </c>
      <c r="C31" s="9" t="inlineStr">
        <is>
          <t>E3 Quimicos/metal</t>
        </is>
      </c>
      <c r="D31" s="9" t="inlineStr">
        <is>
          <t>X</t>
        </is>
      </c>
      <c r="E31" s="9" t="n">
        <v>660000</v>
      </c>
    </row>
    <row r="32">
      <c r="A32" s="6" t="n">
        <v>1992</v>
      </c>
      <c r="B32" s="6" t="inlineStr">
        <is>
          <t>oro</t>
        </is>
      </c>
      <c r="C32" s="6" t="inlineStr">
        <is>
          <t>E1 Mena/concentrado</t>
        </is>
      </c>
      <c r="D32" s="6" t="inlineStr">
        <is>
          <t>M</t>
        </is>
      </c>
      <c r="E32" s="6" t="n">
        <v>1000</v>
      </c>
    </row>
    <row r="33">
      <c r="A33" s="9" t="n">
        <v>1992</v>
      </c>
      <c r="B33" s="9" t="inlineStr">
        <is>
          <t>oro</t>
        </is>
      </c>
      <c r="C33" s="9" t="inlineStr">
        <is>
          <t>E1 Mena/concentrado</t>
        </is>
      </c>
      <c r="D33" s="9" t="inlineStr">
        <is>
          <t>X</t>
        </is>
      </c>
      <c r="E33" s="9" t="n">
        <v>71000</v>
      </c>
    </row>
    <row r="34">
      <c r="A34" s="6" t="n">
        <v>1992</v>
      </c>
      <c r="B34" s="6" t="inlineStr">
        <is>
          <t>oro</t>
        </is>
      </c>
      <c r="C34" s="6" t="inlineStr">
        <is>
          <t>E2 Bruto/semilabrado</t>
        </is>
      </c>
      <c r="D34" s="6" t="inlineStr">
        <is>
          <t>M</t>
        </is>
      </c>
      <c r="E34" s="6" t="n">
        <v>9767000</v>
      </c>
    </row>
    <row r="35">
      <c r="A35" s="9" t="n">
        <v>1992</v>
      </c>
      <c r="B35" s="9" t="inlineStr">
        <is>
          <t>oro</t>
        </is>
      </c>
      <c r="C35" s="9" t="inlineStr">
        <is>
          <t>E2 Bruto/semilabrado</t>
        </is>
      </c>
      <c r="D35" s="9" t="inlineStr">
        <is>
          <t>X</t>
        </is>
      </c>
      <c r="E35" s="9" t="n">
        <v>41453000</v>
      </c>
    </row>
    <row r="36">
      <c r="A36" s="6" t="n">
        <v>1992</v>
      </c>
      <c r="B36" s="6" t="inlineStr">
        <is>
          <t>oro-plata (manufacturas)</t>
        </is>
      </c>
      <c r="C36" s="6" t="inlineStr">
        <is>
          <t>E4 Joyeria/orfebreria</t>
        </is>
      </c>
      <c r="D36" s="6" t="inlineStr">
        <is>
          <t>M</t>
        </is>
      </c>
      <c r="E36" s="6" t="n">
        <v>41595000</v>
      </c>
    </row>
    <row r="37">
      <c r="A37" s="9" t="n">
        <v>1992</v>
      </c>
      <c r="B37" s="9" t="inlineStr">
        <is>
          <t>oro-plata (manufacturas)</t>
        </is>
      </c>
      <c r="C37" s="9" t="inlineStr">
        <is>
          <t>E4 Joyeria/orfebreria</t>
        </is>
      </c>
      <c r="D37" s="9" t="inlineStr">
        <is>
          <t>X</t>
        </is>
      </c>
      <c r="E37" s="9" t="n">
        <v>43815000</v>
      </c>
    </row>
    <row r="38">
      <c r="A38" s="6" t="n">
        <v>1992</v>
      </c>
      <c r="B38" s="6" t="inlineStr">
        <is>
          <t>plata</t>
        </is>
      </c>
      <c r="C38" s="6" t="inlineStr">
        <is>
          <t>E1 Mena/concentrado</t>
        </is>
      </c>
      <c r="D38" s="6" t="inlineStr">
        <is>
          <t>M</t>
        </is>
      </c>
      <c r="E38" s="6" t="n">
        <v>5000</v>
      </c>
    </row>
    <row r="39">
      <c r="A39" s="9" t="n">
        <v>1992</v>
      </c>
      <c r="B39" s="9" t="inlineStr">
        <is>
          <t>plata</t>
        </is>
      </c>
      <c r="C39" s="9" t="inlineStr">
        <is>
          <t>E1 Mena/concentrado</t>
        </is>
      </c>
      <c r="D39" s="9" t="inlineStr">
        <is>
          <t>X</t>
        </is>
      </c>
      <c r="E39" s="9" t="n">
        <v>102000</v>
      </c>
    </row>
    <row r="40">
      <c r="A40" s="6" t="n">
        <v>1992</v>
      </c>
      <c r="B40" s="6" t="inlineStr">
        <is>
          <t>plata</t>
        </is>
      </c>
      <c r="C40" s="6" t="inlineStr">
        <is>
          <t>E2 Bruto/semilabrado</t>
        </is>
      </c>
      <c r="D40" s="6" t="inlineStr">
        <is>
          <t>M</t>
        </is>
      </c>
      <c r="E40" s="6" t="n">
        <v>2758000</v>
      </c>
    </row>
    <row r="41">
      <c r="A41" s="9" t="n">
        <v>1992</v>
      </c>
      <c r="B41" s="9" t="inlineStr">
        <is>
          <t>plata</t>
        </is>
      </c>
      <c r="C41" s="9" t="inlineStr">
        <is>
          <t>E2 Bruto/semilabrado</t>
        </is>
      </c>
      <c r="D41" s="9" t="inlineStr">
        <is>
          <t>X</t>
        </is>
      </c>
      <c r="E41" s="9" t="n">
        <v>206748992</v>
      </c>
    </row>
    <row r="42">
      <c r="A42" s="6" t="n">
        <v>1992</v>
      </c>
      <c r="B42" s="6" t="inlineStr">
        <is>
          <t>plomo</t>
        </is>
      </c>
      <c r="C42" s="6" t="inlineStr">
        <is>
          <t>E1 Mena/concentrado</t>
        </is>
      </c>
      <c r="D42" s="6" t="inlineStr">
        <is>
          <t>M</t>
        </is>
      </c>
      <c r="E42" s="6" t="n">
        <v>42822000</v>
      </c>
    </row>
    <row r="43">
      <c r="A43" s="9" t="n">
        <v>1992</v>
      </c>
      <c r="B43" s="9" t="inlineStr">
        <is>
          <t>plomo</t>
        </is>
      </c>
      <c r="C43" s="9" t="inlineStr">
        <is>
          <t>E1 Mena/concentrado</t>
        </is>
      </c>
      <c r="D43" s="9" t="inlineStr">
        <is>
          <t>X</t>
        </is>
      </c>
      <c r="E43" s="9" t="n">
        <v>1580000</v>
      </c>
    </row>
    <row r="44">
      <c r="A44" s="6" t="n">
        <v>1992</v>
      </c>
      <c r="B44" s="6" t="inlineStr">
        <is>
          <t>plomo</t>
        </is>
      </c>
      <c r="C44" s="6" t="inlineStr">
        <is>
          <t>E2 Metal en bruto/refinado</t>
        </is>
      </c>
      <c r="D44" s="6" t="inlineStr">
        <is>
          <t>M</t>
        </is>
      </c>
      <c r="E44" s="6" t="n">
        <v>60000</v>
      </c>
    </row>
    <row r="45">
      <c r="A45" s="9" t="n">
        <v>1992</v>
      </c>
      <c r="B45" s="9" t="inlineStr">
        <is>
          <t>plomo</t>
        </is>
      </c>
      <c r="C45" s="9" t="inlineStr">
        <is>
          <t>E2 Metal en bruto/refinado</t>
        </is>
      </c>
      <c r="D45" s="9" t="inlineStr">
        <is>
          <t>X</t>
        </is>
      </c>
      <c r="E45" s="9" t="n">
        <v>55386000</v>
      </c>
    </row>
    <row r="46">
      <c r="A46" s="6" t="n">
        <v>1992</v>
      </c>
      <c r="B46" s="6" t="inlineStr">
        <is>
          <t>plomo</t>
        </is>
      </c>
      <c r="C46" s="6" t="inlineStr">
        <is>
          <t>E3 Semimanufacturas</t>
        </is>
      </c>
      <c r="D46" s="6" t="inlineStr">
        <is>
          <t>M</t>
        </is>
      </c>
      <c r="E46" s="6" t="n">
        <v>222000</v>
      </c>
    </row>
    <row r="47">
      <c r="A47" s="9" t="n">
        <v>1992</v>
      </c>
      <c r="B47" s="9" t="inlineStr">
        <is>
          <t>plomo</t>
        </is>
      </c>
      <c r="C47" s="9" t="inlineStr">
        <is>
          <t>E3 Semimanufacturas</t>
        </is>
      </c>
      <c r="D47" s="9" t="inlineStr">
        <is>
          <t>X</t>
        </is>
      </c>
      <c r="E47" s="9" t="n">
        <v>103000</v>
      </c>
    </row>
    <row r="48">
      <c r="A48" s="6" t="n">
        <v>1992</v>
      </c>
      <c r="B48" s="6" t="inlineStr">
        <is>
          <t>plomo</t>
        </is>
      </c>
      <c r="C48" s="6" t="inlineStr">
        <is>
          <t>E4 Manufacturas</t>
        </is>
      </c>
      <c r="D48" s="6" t="inlineStr">
        <is>
          <t>M</t>
        </is>
      </c>
      <c r="E48" s="6" t="n">
        <v>2356000</v>
      </c>
    </row>
    <row r="49">
      <c r="A49" s="9" t="n">
        <v>1992</v>
      </c>
      <c r="B49" s="9" t="inlineStr">
        <is>
          <t>plomo</t>
        </is>
      </c>
      <c r="C49" s="9" t="inlineStr">
        <is>
          <t>E4 Manufacturas</t>
        </is>
      </c>
      <c r="D49" s="9" t="inlineStr">
        <is>
          <t>X</t>
        </is>
      </c>
      <c r="E49" s="9" t="n">
        <v>780000</v>
      </c>
    </row>
    <row r="50">
      <c r="A50" s="6" t="n">
        <v>1992</v>
      </c>
      <c r="B50" s="6" t="inlineStr">
        <is>
          <t>silice</t>
        </is>
      </c>
      <c r="C50" s="6" t="inlineStr">
        <is>
          <t>E1 Arena silica/cuarzo</t>
        </is>
      </c>
      <c r="D50" s="6" t="inlineStr">
        <is>
          <t>M</t>
        </is>
      </c>
      <c r="E50" s="6" t="n">
        <v>10362000</v>
      </c>
    </row>
    <row r="51">
      <c r="A51" s="9" t="n">
        <v>1992</v>
      </c>
      <c r="B51" s="9" t="inlineStr">
        <is>
          <t>silice</t>
        </is>
      </c>
      <c r="C51" s="9" t="inlineStr">
        <is>
          <t>E1 Arena silica/cuarzo</t>
        </is>
      </c>
      <c r="D51" s="9" t="inlineStr">
        <is>
          <t>X</t>
        </is>
      </c>
      <c r="E51" s="9" t="n">
        <v>624000</v>
      </c>
    </row>
    <row r="52">
      <c r="A52" s="6" t="n">
        <v>1992</v>
      </c>
      <c r="B52" s="6" t="inlineStr">
        <is>
          <t>silice</t>
        </is>
      </c>
      <c r="C52" s="6" t="inlineStr">
        <is>
          <t>E2 Silicio/ferrosilicio/SiO2</t>
        </is>
      </c>
      <c r="D52" s="6" t="inlineStr">
        <is>
          <t>M</t>
        </is>
      </c>
      <c r="E52" s="6" t="n">
        <v>26608000</v>
      </c>
    </row>
    <row r="53">
      <c r="A53" s="9" t="n">
        <v>1992</v>
      </c>
      <c r="B53" s="9" t="inlineStr">
        <is>
          <t>silice</t>
        </is>
      </c>
      <c r="C53" s="9" t="inlineStr">
        <is>
          <t>E2 Silicio/ferrosilicio/SiO2</t>
        </is>
      </c>
      <c r="D53" s="9" t="inlineStr">
        <is>
          <t>X</t>
        </is>
      </c>
      <c r="E53" s="9" t="n">
        <v>246000</v>
      </c>
    </row>
    <row r="54">
      <c r="A54" s="6" t="n">
        <v>1992</v>
      </c>
      <c r="B54" s="6" t="inlineStr">
        <is>
          <t>zinc</t>
        </is>
      </c>
      <c r="C54" s="6" t="inlineStr">
        <is>
          <t>E1 Mena/concentrado</t>
        </is>
      </c>
      <c r="D54" s="6" t="inlineStr">
        <is>
          <t>M</t>
        </is>
      </c>
      <c r="E54" s="6" t="n">
        <v>3000</v>
      </c>
    </row>
    <row r="55">
      <c r="A55" s="9" t="n">
        <v>1992</v>
      </c>
      <c r="B55" s="9" t="inlineStr">
        <is>
          <t>zinc</t>
        </is>
      </c>
      <c r="C55" s="9" t="inlineStr">
        <is>
          <t>E1 Mena/concentrado</t>
        </is>
      </c>
      <c r="D55" s="9" t="inlineStr">
        <is>
          <t>X</t>
        </is>
      </c>
      <c r="E55" s="9" t="n">
        <v>81135000</v>
      </c>
    </row>
    <row r="56">
      <c r="A56" s="6" t="n">
        <v>1992</v>
      </c>
      <c r="B56" s="6" t="inlineStr">
        <is>
          <t>zinc</t>
        </is>
      </c>
      <c r="C56" s="6" t="inlineStr">
        <is>
          <t>E2 Metal en bruto/refinado</t>
        </is>
      </c>
      <c r="D56" s="6" t="inlineStr">
        <is>
          <t>M</t>
        </is>
      </c>
      <c r="E56" s="6" t="n">
        <v>1447000</v>
      </c>
    </row>
    <row r="57">
      <c r="A57" s="9" t="n">
        <v>1992</v>
      </c>
      <c r="B57" s="9" t="inlineStr">
        <is>
          <t>zinc</t>
        </is>
      </c>
      <c r="C57" s="9" t="inlineStr">
        <is>
          <t>E2 Metal en bruto/refinado</t>
        </is>
      </c>
      <c r="D57" s="9" t="inlineStr">
        <is>
          <t>X</t>
        </is>
      </c>
      <c r="E57" s="9" t="n">
        <v>48501000</v>
      </c>
    </row>
    <row r="58">
      <c r="A58" s="6" t="n">
        <v>1992</v>
      </c>
      <c r="B58" s="6" t="inlineStr">
        <is>
          <t>zinc</t>
        </is>
      </c>
      <c r="C58" s="6" t="inlineStr">
        <is>
          <t>E3 Semimanufacturas</t>
        </is>
      </c>
      <c r="D58" s="6" t="inlineStr">
        <is>
          <t>M</t>
        </is>
      </c>
      <c r="E58" s="6" t="n">
        <v>9686000</v>
      </c>
    </row>
    <row r="59">
      <c r="A59" s="9" t="n">
        <v>1992</v>
      </c>
      <c r="B59" s="9" t="inlineStr">
        <is>
          <t>zinc</t>
        </is>
      </c>
      <c r="C59" s="9" t="inlineStr">
        <is>
          <t>E3 Semimanufacturas</t>
        </is>
      </c>
      <c r="D59" s="9" t="inlineStr">
        <is>
          <t>X</t>
        </is>
      </c>
      <c r="E59" s="9" t="n">
        <v>8018000</v>
      </c>
    </row>
    <row r="60">
      <c r="A60" s="6" t="n">
        <v>1992</v>
      </c>
      <c r="B60" s="6" t="inlineStr">
        <is>
          <t>zinc</t>
        </is>
      </c>
      <c r="C60" s="6" t="inlineStr">
        <is>
          <t>E4 Manufacturas</t>
        </is>
      </c>
      <c r="D60" s="6" t="inlineStr">
        <is>
          <t>M</t>
        </is>
      </c>
      <c r="E60" s="6" t="n">
        <v>10481000</v>
      </c>
    </row>
    <row r="61">
      <c r="A61" s="9" t="n">
        <v>1992</v>
      </c>
      <c r="B61" s="9" t="inlineStr">
        <is>
          <t>zinc</t>
        </is>
      </c>
      <c r="C61" s="9" t="inlineStr">
        <is>
          <t>E4 Manufacturas</t>
        </is>
      </c>
      <c r="D61" s="9" t="inlineStr">
        <is>
          <t>X</t>
        </is>
      </c>
      <c r="E61" s="9" t="n">
        <v>3917000</v>
      </c>
    </row>
    <row r="62">
      <c r="A62" s="6" t="n">
        <v>1993</v>
      </c>
      <c r="B62" s="6" t="inlineStr">
        <is>
          <t>barita</t>
        </is>
      </c>
      <c r="C62" s="6" t="inlineStr">
        <is>
          <t>E1 Crudo/molido</t>
        </is>
      </c>
      <c r="D62" s="6" t="inlineStr">
        <is>
          <t>M</t>
        </is>
      </c>
      <c r="E62" s="6" t="n">
        <v>3986000</v>
      </c>
    </row>
    <row r="63">
      <c r="A63" s="9" t="n">
        <v>1993</v>
      </c>
      <c r="B63" s="9" t="inlineStr">
        <is>
          <t>barita</t>
        </is>
      </c>
      <c r="C63" s="9" t="inlineStr">
        <is>
          <t>E1 Crudo/molido</t>
        </is>
      </c>
      <c r="D63" s="9" t="inlineStr">
        <is>
          <t>X</t>
        </is>
      </c>
      <c r="E63" s="9" t="n">
        <v>4213000</v>
      </c>
    </row>
    <row r="64">
      <c r="A64" s="6" t="n">
        <v>1993</v>
      </c>
      <c r="B64" s="6" t="inlineStr">
        <is>
          <t>barita</t>
        </is>
      </c>
      <c r="C64" s="6" t="inlineStr">
        <is>
          <t>E2 Quimicos de bario</t>
        </is>
      </c>
      <c r="D64" s="6" t="inlineStr">
        <is>
          <t>M</t>
        </is>
      </c>
      <c r="E64" s="6" t="n">
        <v>465000</v>
      </c>
    </row>
    <row r="65">
      <c r="A65" s="9" t="n">
        <v>1993</v>
      </c>
      <c r="B65" s="9" t="inlineStr">
        <is>
          <t>barita</t>
        </is>
      </c>
      <c r="C65" s="9" t="inlineStr">
        <is>
          <t>E2 Quimicos de bario</t>
        </is>
      </c>
      <c r="D65" s="9" t="inlineStr">
        <is>
          <t>X</t>
        </is>
      </c>
      <c r="E65" s="9" t="n">
        <v>1696000</v>
      </c>
    </row>
    <row r="66">
      <c r="A66" s="6" t="n">
        <v>1993</v>
      </c>
      <c r="B66" s="6" t="inlineStr">
        <is>
          <t>cobre</t>
        </is>
      </c>
      <c r="C66" s="6" t="inlineStr">
        <is>
          <t>E1 Mena/concentrado</t>
        </is>
      </c>
      <c r="D66" s="6" t="inlineStr">
        <is>
          <t>M</t>
        </is>
      </c>
      <c r="E66" s="6" t="n">
        <v>33123000</v>
      </c>
    </row>
    <row r="67">
      <c r="A67" s="9" t="n">
        <v>1993</v>
      </c>
      <c r="B67" s="9" t="inlineStr">
        <is>
          <t>cobre</t>
        </is>
      </c>
      <c r="C67" s="9" t="inlineStr">
        <is>
          <t>E1 Mena/concentrado</t>
        </is>
      </c>
      <c r="D67" s="9" t="inlineStr">
        <is>
          <t>X</t>
        </is>
      </c>
      <c r="E67" s="9" t="n">
        <v>61000</v>
      </c>
    </row>
    <row r="68">
      <c r="A68" s="6" t="n">
        <v>1993</v>
      </c>
      <c r="B68" s="6" t="inlineStr">
        <is>
          <t>cobre</t>
        </is>
      </c>
      <c r="C68" s="6" t="inlineStr">
        <is>
          <t>E2 Metal en bruto/refinado</t>
        </is>
      </c>
      <c r="D68" s="6" t="inlineStr">
        <is>
          <t>M</t>
        </is>
      </c>
      <c r="E68" s="6" t="n">
        <v>93003000</v>
      </c>
    </row>
    <row r="69">
      <c r="A69" s="9" t="n">
        <v>1993</v>
      </c>
      <c r="B69" s="9" t="inlineStr">
        <is>
          <t>cobre</t>
        </is>
      </c>
      <c r="C69" s="9" t="inlineStr">
        <is>
          <t>E2 Metal en bruto/refinado</t>
        </is>
      </c>
      <c r="D69" s="9" t="inlineStr">
        <is>
          <t>X</t>
        </is>
      </c>
      <c r="E69" s="9" t="n">
        <v>360329984</v>
      </c>
    </row>
    <row r="70">
      <c r="A70" s="6" t="n">
        <v>1993</v>
      </c>
      <c r="B70" s="6" t="inlineStr">
        <is>
          <t>cobre</t>
        </is>
      </c>
      <c r="C70" s="6" t="inlineStr">
        <is>
          <t>E3 Semimanufacturas</t>
        </is>
      </c>
      <c r="D70" s="6" t="inlineStr">
        <is>
          <t>M</t>
        </is>
      </c>
      <c r="E70" s="6" t="n">
        <v>191840000</v>
      </c>
    </row>
    <row r="71">
      <c r="A71" s="9" t="n">
        <v>1993</v>
      </c>
      <c r="B71" s="9" t="inlineStr">
        <is>
          <t>cobre</t>
        </is>
      </c>
      <c r="C71" s="9" t="inlineStr">
        <is>
          <t>E3 Semimanufacturas</t>
        </is>
      </c>
      <c r="D71" s="9" t="inlineStr">
        <is>
          <t>X</t>
        </is>
      </c>
      <c r="E71" s="9" t="n">
        <v>133665000</v>
      </c>
    </row>
    <row r="72">
      <c r="A72" s="6" t="n">
        <v>1993</v>
      </c>
      <c r="B72" s="6" t="inlineStr">
        <is>
          <t>cobre</t>
        </is>
      </c>
      <c r="C72" s="6" t="inlineStr">
        <is>
          <t>E4 Manufacturas</t>
        </is>
      </c>
      <c r="D72" s="6" t="inlineStr">
        <is>
          <t>M</t>
        </is>
      </c>
      <c r="E72" s="6" t="n">
        <v>119411000</v>
      </c>
    </row>
    <row r="73">
      <c r="A73" s="9" t="n">
        <v>1993</v>
      </c>
      <c r="B73" s="9" t="inlineStr">
        <is>
          <t>cobre</t>
        </is>
      </c>
      <c r="C73" s="9" t="inlineStr">
        <is>
          <t>E4 Manufacturas</t>
        </is>
      </c>
      <c r="D73" s="9" t="inlineStr">
        <is>
          <t>X</t>
        </is>
      </c>
      <c r="E73" s="9" t="n">
        <v>28018000</v>
      </c>
    </row>
    <row r="74">
      <c r="A74" s="6" t="n">
        <v>1993</v>
      </c>
      <c r="B74" s="6" t="inlineStr">
        <is>
          <t>fluorita</t>
        </is>
      </c>
      <c r="C74" s="6" t="inlineStr">
        <is>
          <t>E1 Espato fluor (crudo)</t>
        </is>
      </c>
      <c r="D74" s="6" t="inlineStr">
        <is>
          <t>M</t>
        </is>
      </c>
      <c r="E74" s="6" t="n">
        <v>3722000</v>
      </c>
    </row>
    <row r="75">
      <c r="A75" s="9" t="n">
        <v>1993</v>
      </c>
      <c r="B75" s="9" t="inlineStr">
        <is>
          <t>fluorita</t>
        </is>
      </c>
      <c r="C75" s="9" t="inlineStr">
        <is>
          <t>E1 Espato fluor (crudo)</t>
        </is>
      </c>
      <c r="D75" s="9" t="inlineStr">
        <is>
          <t>X</t>
        </is>
      </c>
      <c r="E75" s="9" t="n">
        <v>9385000</v>
      </c>
    </row>
    <row r="76">
      <c r="A76" s="6" t="n">
        <v>1993</v>
      </c>
      <c r="B76" s="6" t="inlineStr">
        <is>
          <t>fluorita</t>
        </is>
      </c>
      <c r="C76" s="6" t="inlineStr">
        <is>
          <t>E2 Fluoroquimica</t>
        </is>
      </c>
      <c r="D76" s="6" t="inlineStr">
        <is>
          <t>M</t>
        </is>
      </c>
      <c r="E76" s="6" t="n">
        <v>4084000</v>
      </c>
    </row>
    <row r="77">
      <c r="A77" s="9" t="n">
        <v>1993</v>
      </c>
      <c r="B77" s="9" t="inlineStr">
        <is>
          <t>fluorita</t>
        </is>
      </c>
      <c r="C77" s="9" t="inlineStr">
        <is>
          <t>E2 Fluoroquimica</t>
        </is>
      </c>
      <c r="D77" s="9" t="inlineStr">
        <is>
          <t>X</t>
        </is>
      </c>
      <c r="E77" s="9" t="n">
        <v>79869000</v>
      </c>
    </row>
    <row r="78">
      <c r="A78" s="6" t="n">
        <v>1993</v>
      </c>
      <c r="B78" s="6" t="inlineStr">
        <is>
          <t>grafito</t>
        </is>
      </c>
      <c r="C78" s="6" t="inlineStr">
        <is>
          <t>E1 Grafito natural</t>
        </is>
      </c>
      <c r="D78" s="6" t="inlineStr">
        <is>
          <t>M</t>
        </is>
      </c>
      <c r="E78" s="6" t="n">
        <v>1678000</v>
      </c>
    </row>
    <row r="79">
      <c r="A79" s="9" t="n">
        <v>1993</v>
      </c>
      <c r="B79" s="9" t="inlineStr">
        <is>
          <t>grafito</t>
        </is>
      </c>
      <c r="C79" s="9" t="inlineStr">
        <is>
          <t>E1 Grafito natural</t>
        </is>
      </c>
      <c r="D79" s="9" t="inlineStr">
        <is>
          <t>X</t>
        </is>
      </c>
      <c r="E79" s="9" t="n">
        <v>1995000</v>
      </c>
    </row>
    <row r="80">
      <c r="A80" s="6" t="n">
        <v>1993</v>
      </c>
      <c r="B80" s="6" t="inlineStr">
        <is>
          <t>grafito</t>
        </is>
      </c>
      <c r="C80" s="6" t="inlineStr">
        <is>
          <t>E2 Grafito artificial/prep.</t>
        </is>
      </c>
      <c r="D80" s="6" t="inlineStr">
        <is>
          <t>M</t>
        </is>
      </c>
      <c r="E80" s="6" t="n">
        <v>5955000</v>
      </c>
    </row>
    <row r="81">
      <c r="A81" s="9" t="n">
        <v>1993</v>
      </c>
      <c r="B81" s="9" t="inlineStr">
        <is>
          <t>grafito</t>
        </is>
      </c>
      <c r="C81" s="9" t="inlineStr">
        <is>
          <t>E2 Grafito artificial/prep.</t>
        </is>
      </c>
      <c r="D81" s="9" t="inlineStr">
        <is>
          <t>X</t>
        </is>
      </c>
      <c r="E81" s="9" t="n">
        <v>18272000</v>
      </c>
    </row>
    <row r="82">
      <c r="A82" s="6" t="n">
        <v>1993</v>
      </c>
      <c r="B82" s="6" t="inlineStr">
        <is>
          <t>grafito</t>
        </is>
      </c>
      <c r="C82" s="6" t="inlineStr">
        <is>
          <t>E3 Electrodos/articulos de carbono</t>
        </is>
      </c>
      <c r="D82" s="6" t="inlineStr">
        <is>
          <t>M</t>
        </is>
      </c>
      <c r="E82" s="6" t="n">
        <v>18168000</v>
      </c>
    </row>
    <row r="83">
      <c r="A83" s="9" t="n">
        <v>1993</v>
      </c>
      <c r="B83" s="9" t="inlineStr">
        <is>
          <t>grafito</t>
        </is>
      </c>
      <c r="C83" s="9" t="inlineStr">
        <is>
          <t>E3 Electrodos/articulos de carbono</t>
        </is>
      </c>
      <c r="D83" s="9" t="inlineStr">
        <is>
          <t>X</t>
        </is>
      </c>
      <c r="E83" s="9" t="n">
        <v>13266000</v>
      </c>
    </row>
    <row r="84">
      <c r="A84" s="6" t="n">
        <v>1993</v>
      </c>
      <c r="B84" s="6" t="inlineStr">
        <is>
          <t>manganeso</t>
        </is>
      </c>
      <c r="C84" s="6" t="inlineStr">
        <is>
          <t>E1 Mena/concentrado</t>
        </is>
      </c>
      <c r="D84" s="6" t="inlineStr">
        <is>
          <t>M</t>
        </is>
      </c>
      <c r="E84" s="6" t="n">
        <v>6155000</v>
      </c>
    </row>
    <row r="85">
      <c r="A85" s="9" t="n">
        <v>1993</v>
      </c>
      <c r="B85" s="9" t="inlineStr">
        <is>
          <t>manganeso</t>
        </is>
      </c>
      <c r="C85" s="9" t="inlineStr">
        <is>
          <t>E1 Mena/concentrado</t>
        </is>
      </c>
      <c r="D85" s="9" t="inlineStr">
        <is>
          <t>X</t>
        </is>
      </c>
      <c r="E85" s="9" t="n">
        <v>8842000</v>
      </c>
    </row>
    <row r="86">
      <c r="A86" s="6" t="n">
        <v>1993</v>
      </c>
      <c r="B86" s="6" t="inlineStr">
        <is>
          <t>manganeso</t>
        </is>
      </c>
      <c r="C86" s="6" t="inlineStr">
        <is>
          <t>E2 Ferroaleaciones</t>
        </is>
      </c>
      <c r="D86" s="6" t="inlineStr">
        <is>
          <t>M</t>
        </is>
      </c>
      <c r="E86" s="6" t="n">
        <v>7688000</v>
      </c>
    </row>
    <row r="87">
      <c r="A87" s="9" t="n">
        <v>1993</v>
      </c>
      <c r="B87" s="9" t="inlineStr">
        <is>
          <t>manganeso</t>
        </is>
      </c>
      <c r="C87" s="9" t="inlineStr">
        <is>
          <t>E2 Ferroaleaciones</t>
        </is>
      </c>
      <c r="D87" s="9" t="inlineStr">
        <is>
          <t>X</t>
        </is>
      </c>
      <c r="E87" s="9" t="n">
        <v>35494000</v>
      </c>
    </row>
    <row r="88">
      <c r="A88" s="6" t="n">
        <v>1993</v>
      </c>
      <c r="B88" s="6" t="inlineStr">
        <is>
          <t>manganeso</t>
        </is>
      </c>
      <c r="C88" s="6" t="inlineStr">
        <is>
          <t>E3 Quimicos/metal</t>
        </is>
      </c>
      <c r="D88" s="6" t="inlineStr">
        <is>
          <t>M</t>
        </is>
      </c>
      <c r="E88" s="6" t="n">
        <v>5408000</v>
      </c>
    </row>
    <row r="89">
      <c r="A89" s="9" t="n">
        <v>1993</v>
      </c>
      <c r="B89" s="9" t="inlineStr">
        <is>
          <t>manganeso</t>
        </is>
      </c>
      <c r="C89" s="9" t="inlineStr">
        <is>
          <t>E3 Quimicos/metal</t>
        </is>
      </c>
      <c r="D89" s="9" t="inlineStr">
        <is>
          <t>X</t>
        </is>
      </c>
      <c r="E89" s="9" t="n">
        <v>570000</v>
      </c>
    </row>
    <row r="90">
      <c r="A90" s="6" t="n">
        <v>1993</v>
      </c>
      <c r="B90" s="6" t="inlineStr">
        <is>
          <t>oro</t>
        </is>
      </c>
      <c r="C90" s="6" t="inlineStr">
        <is>
          <t>E1 Mena/concentrado</t>
        </is>
      </c>
      <c r="D90" s="6" t="inlineStr">
        <is>
          <t>X</t>
        </is>
      </c>
      <c r="E90" s="6" t="n">
        <v>75000</v>
      </c>
    </row>
    <row r="91">
      <c r="A91" s="9" t="n">
        <v>1993</v>
      </c>
      <c r="B91" s="9" t="inlineStr">
        <is>
          <t>oro</t>
        </is>
      </c>
      <c r="C91" s="9" t="inlineStr">
        <is>
          <t>E2 Bruto/semilabrado</t>
        </is>
      </c>
      <c r="D91" s="9" t="inlineStr">
        <is>
          <t>M</t>
        </is>
      </c>
      <c r="E91" s="9" t="n">
        <v>84320000</v>
      </c>
    </row>
    <row r="92">
      <c r="A92" s="6" t="n">
        <v>1993</v>
      </c>
      <c r="B92" s="6" t="inlineStr">
        <is>
          <t>oro</t>
        </is>
      </c>
      <c r="C92" s="6" t="inlineStr">
        <is>
          <t>E2 Bruto/semilabrado</t>
        </is>
      </c>
      <c r="D92" s="6" t="inlineStr">
        <is>
          <t>X</t>
        </is>
      </c>
      <c r="E92" s="6" t="n">
        <v>52621000</v>
      </c>
    </row>
    <row r="93">
      <c r="A93" s="9" t="n">
        <v>1993</v>
      </c>
      <c r="B93" s="9" t="inlineStr">
        <is>
          <t>oro-plata (manufacturas)</t>
        </is>
      </c>
      <c r="C93" s="9" t="inlineStr">
        <is>
          <t>E4 Joyeria/orfebreria</t>
        </is>
      </c>
      <c r="D93" s="9" t="inlineStr">
        <is>
          <t>M</t>
        </is>
      </c>
      <c r="E93" s="9" t="n">
        <v>54601000</v>
      </c>
    </row>
    <row r="94">
      <c r="A94" s="6" t="n">
        <v>1993</v>
      </c>
      <c r="B94" s="6" t="inlineStr">
        <is>
          <t>oro-plata (manufacturas)</t>
        </is>
      </c>
      <c r="C94" s="6" t="inlineStr">
        <is>
          <t>E4 Joyeria/orfebreria</t>
        </is>
      </c>
      <c r="D94" s="6" t="inlineStr">
        <is>
          <t>X</t>
        </is>
      </c>
      <c r="E94" s="6" t="n">
        <v>50323000</v>
      </c>
    </row>
    <row r="95">
      <c r="A95" s="9" t="n">
        <v>1993</v>
      </c>
      <c r="B95" s="9" t="inlineStr">
        <is>
          <t>plata</t>
        </is>
      </c>
      <c r="C95" s="9" t="inlineStr">
        <is>
          <t>E1 Mena/concentrado</t>
        </is>
      </c>
      <c r="D95" s="9" t="inlineStr">
        <is>
          <t>X</t>
        </is>
      </c>
      <c r="E95" s="9" t="n">
        <v>1231000</v>
      </c>
    </row>
    <row r="96">
      <c r="A96" s="6" t="n">
        <v>1993</v>
      </c>
      <c r="B96" s="6" t="inlineStr">
        <is>
          <t>plata</t>
        </is>
      </c>
      <c r="C96" s="6" t="inlineStr">
        <is>
          <t>E2 Bruto/semilabrado</t>
        </is>
      </c>
      <c r="D96" s="6" t="inlineStr">
        <is>
          <t>M</t>
        </is>
      </c>
      <c r="E96" s="6" t="n">
        <v>2198000</v>
      </c>
    </row>
    <row r="97">
      <c r="A97" s="9" t="n">
        <v>1993</v>
      </c>
      <c r="B97" s="9" t="inlineStr">
        <is>
          <t>plata</t>
        </is>
      </c>
      <c r="C97" s="9" t="inlineStr">
        <is>
          <t>E2 Bruto/semilabrado</t>
        </is>
      </c>
      <c r="D97" s="9" t="inlineStr">
        <is>
          <t>X</t>
        </is>
      </c>
      <c r="E97" s="9" t="n">
        <v>186176000</v>
      </c>
    </row>
    <row r="98">
      <c r="A98" s="6" t="n">
        <v>1993</v>
      </c>
      <c r="B98" s="6" t="inlineStr">
        <is>
          <t>plomo</t>
        </is>
      </c>
      <c r="C98" s="6" t="inlineStr">
        <is>
          <t>E1 Mena/concentrado</t>
        </is>
      </c>
      <c r="D98" s="6" t="inlineStr">
        <is>
          <t>M</t>
        </is>
      </c>
      <c r="E98" s="6" t="n">
        <v>15435000</v>
      </c>
    </row>
    <row r="99">
      <c r="A99" s="9" t="n">
        <v>1993</v>
      </c>
      <c r="B99" s="9" t="inlineStr">
        <is>
          <t>plomo</t>
        </is>
      </c>
      <c r="C99" s="9" t="inlineStr">
        <is>
          <t>E1 Mena/concentrado</t>
        </is>
      </c>
      <c r="D99" s="9" t="inlineStr">
        <is>
          <t>X</t>
        </is>
      </c>
      <c r="E99" s="9" t="n">
        <v>293000</v>
      </c>
    </row>
    <row r="100">
      <c r="A100" s="6" t="n">
        <v>1993</v>
      </c>
      <c r="B100" s="6" t="inlineStr">
        <is>
          <t>plomo</t>
        </is>
      </c>
      <c r="C100" s="6" t="inlineStr">
        <is>
          <t>E2 Metal en bruto/refinado</t>
        </is>
      </c>
      <c r="D100" s="6" t="inlineStr">
        <is>
          <t>M</t>
        </is>
      </c>
      <c r="E100" s="6" t="n">
        <v>22000</v>
      </c>
    </row>
    <row r="101">
      <c r="A101" s="9" t="n">
        <v>1993</v>
      </c>
      <c r="B101" s="9" t="inlineStr">
        <is>
          <t>plomo</t>
        </is>
      </c>
      <c r="C101" s="9" t="inlineStr">
        <is>
          <t>E2 Metal en bruto/refinado</t>
        </is>
      </c>
      <c r="D101" s="9" t="inlineStr">
        <is>
          <t>X</t>
        </is>
      </c>
      <c r="E101" s="9" t="n">
        <v>42323000</v>
      </c>
    </row>
    <row r="102">
      <c r="A102" s="6" t="n">
        <v>1993</v>
      </c>
      <c r="B102" s="6" t="inlineStr">
        <is>
          <t>plomo</t>
        </is>
      </c>
      <c r="C102" s="6" t="inlineStr">
        <is>
          <t>E3 Semimanufacturas</t>
        </is>
      </c>
      <c r="D102" s="6" t="inlineStr">
        <is>
          <t>M</t>
        </is>
      </c>
      <c r="E102" s="6" t="n">
        <v>317000</v>
      </c>
    </row>
    <row r="103">
      <c r="A103" s="9" t="n">
        <v>1993</v>
      </c>
      <c r="B103" s="9" t="inlineStr">
        <is>
          <t>plomo</t>
        </is>
      </c>
      <c r="C103" s="9" t="inlineStr">
        <is>
          <t>E3 Semimanufacturas</t>
        </is>
      </c>
      <c r="D103" s="9" t="inlineStr">
        <is>
          <t>X</t>
        </is>
      </c>
      <c r="E103" s="9" t="n">
        <v>28000</v>
      </c>
    </row>
    <row r="104">
      <c r="A104" s="6" t="n">
        <v>1993</v>
      </c>
      <c r="B104" s="6" t="inlineStr">
        <is>
          <t>plomo</t>
        </is>
      </c>
      <c r="C104" s="6" t="inlineStr">
        <is>
          <t>E4 Manufacturas</t>
        </is>
      </c>
      <c r="D104" s="6" t="inlineStr">
        <is>
          <t>M</t>
        </is>
      </c>
      <c r="E104" s="6" t="n">
        <v>2954000</v>
      </c>
    </row>
    <row r="105">
      <c r="A105" s="9" t="n">
        <v>1993</v>
      </c>
      <c r="B105" s="9" t="inlineStr">
        <is>
          <t>plomo</t>
        </is>
      </c>
      <c r="C105" s="9" t="inlineStr">
        <is>
          <t>E4 Manufacturas</t>
        </is>
      </c>
      <c r="D105" s="9" t="inlineStr">
        <is>
          <t>X</t>
        </is>
      </c>
      <c r="E105" s="9" t="n">
        <v>870000</v>
      </c>
    </row>
    <row r="106">
      <c r="A106" s="6" t="n">
        <v>1993</v>
      </c>
      <c r="B106" s="6" t="inlineStr">
        <is>
          <t>silice</t>
        </is>
      </c>
      <c r="C106" s="6" t="inlineStr">
        <is>
          <t>E1 Arena silica/cuarzo</t>
        </is>
      </c>
      <c r="D106" s="6" t="inlineStr">
        <is>
          <t>M</t>
        </is>
      </c>
      <c r="E106" s="6" t="n">
        <v>7201000</v>
      </c>
    </row>
    <row r="107">
      <c r="A107" s="9" t="n">
        <v>1993</v>
      </c>
      <c r="B107" s="9" t="inlineStr">
        <is>
          <t>silice</t>
        </is>
      </c>
      <c r="C107" s="9" t="inlineStr">
        <is>
          <t>E1 Arena silica/cuarzo</t>
        </is>
      </c>
      <c r="D107" s="9" t="inlineStr">
        <is>
          <t>X</t>
        </is>
      </c>
      <c r="E107" s="9" t="n">
        <v>957000</v>
      </c>
    </row>
    <row r="108">
      <c r="A108" s="6" t="n">
        <v>1993</v>
      </c>
      <c r="B108" s="6" t="inlineStr">
        <is>
          <t>silice</t>
        </is>
      </c>
      <c r="C108" s="6" t="inlineStr">
        <is>
          <t>E2 Silicio/ferrosilicio/SiO2</t>
        </is>
      </c>
      <c r="D108" s="6" t="inlineStr">
        <is>
          <t>M</t>
        </is>
      </c>
      <c r="E108" s="6" t="n">
        <v>29005000</v>
      </c>
    </row>
    <row r="109">
      <c r="A109" s="9" t="n">
        <v>1993</v>
      </c>
      <c r="B109" s="9" t="inlineStr">
        <is>
          <t>silice</t>
        </is>
      </c>
      <c r="C109" s="9" t="inlineStr">
        <is>
          <t>E2 Silicio/ferrosilicio/SiO2</t>
        </is>
      </c>
      <c r="D109" s="9" t="inlineStr">
        <is>
          <t>X</t>
        </is>
      </c>
      <c r="E109" s="9" t="n">
        <v>478000</v>
      </c>
    </row>
    <row r="110">
      <c r="A110" s="6" t="n">
        <v>1993</v>
      </c>
      <c r="B110" s="6" t="inlineStr">
        <is>
          <t>zinc</t>
        </is>
      </c>
      <c r="C110" s="6" t="inlineStr">
        <is>
          <t>E1 Mena/concentrado</t>
        </is>
      </c>
      <c r="D110" s="6" t="inlineStr">
        <is>
          <t>M</t>
        </is>
      </c>
      <c r="E110" s="6" t="n">
        <v>2000</v>
      </c>
    </row>
    <row r="111">
      <c r="A111" s="9" t="n">
        <v>1993</v>
      </c>
      <c r="B111" s="9" t="inlineStr">
        <is>
          <t>zinc</t>
        </is>
      </c>
      <c r="C111" s="9" t="inlineStr">
        <is>
          <t>E1 Mena/concentrado</t>
        </is>
      </c>
      <c r="D111" s="9" t="inlineStr">
        <is>
          <t>X</t>
        </is>
      </c>
      <c r="E111" s="9" t="n">
        <v>58381000</v>
      </c>
    </row>
    <row r="112">
      <c r="A112" s="6" t="n">
        <v>1993</v>
      </c>
      <c r="B112" s="6" t="inlineStr">
        <is>
          <t>zinc</t>
        </is>
      </c>
      <c r="C112" s="6" t="inlineStr">
        <is>
          <t>E2 Metal en bruto/refinado</t>
        </is>
      </c>
      <c r="D112" s="6" t="inlineStr">
        <is>
          <t>M</t>
        </is>
      </c>
      <c r="E112" s="6" t="n">
        <v>2502000</v>
      </c>
    </row>
    <row r="113">
      <c r="A113" s="9" t="n">
        <v>1993</v>
      </c>
      <c r="B113" s="9" t="inlineStr">
        <is>
          <t>zinc</t>
        </is>
      </c>
      <c r="C113" s="9" t="inlineStr">
        <is>
          <t>E2 Metal en bruto/refinado</t>
        </is>
      </c>
      <c r="D113" s="9" t="inlineStr">
        <is>
          <t>X</t>
        </is>
      </c>
      <c r="E113" s="9" t="n">
        <v>84903000</v>
      </c>
    </row>
    <row r="114">
      <c r="A114" s="6" t="n">
        <v>1993</v>
      </c>
      <c r="B114" s="6" t="inlineStr">
        <is>
          <t>zinc</t>
        </is>
      </c>
      <c r="C114" s="6" t="inlineStr">
        <is>
          <t>E3 Semimanufacturas</t>
        </is>
      </c>
      <c r="D114" s="6" t="inlineStr">
        <is>
          <t>M</t>
        </is>
      </c>
      <c r="E114" s="6" t="n">
        <v>9500000</v>
      </c>
    </row>
    <row r="115">
      <c r="A115" s="9" t="n">
        <v>1993</v>
      </c>
      <c r="B115" s="9" t="inlineStr">
        <is>
          <t>zinc</t>
        </is>
      </c>
      <c r="C115" s="9" t="inlineStr">
        <is>
          <t>E3 Semimanufacturas</t>
        </is>
      </c>
      <c r="D115" s="9" t="inlineStr">
        <is>
          <t>X</t>
        </is>
      </c>
      <c r="E115" s="9" t="n">
        <v>37221000</v>
      </c>
    </row>
    <row r="116">
      <c r="A116" s="6" t="n">
        <v>1993</v>
      </c>
      <c r="B116" s="6" t="inlineStr">
        <is>
          <t>zinc</t>
        </is>
      </c>
      <c r="C116" s="6" t="inlineStr">
        <is>
          <t>E4 Manufacturas</t>
        </is>
      </c>
      <c r="D116" s="6" t="inlineStr">
        <is>
          <t>M</t>
        </is>
      </c>
      <c r="E116" s="6" t="n">
        <v>6629000</v>
      </c>
    </row>
    <row r="117">
      <c r="A117" s="9" t="n">
        <v>1993</v>
      </c>
      <c r="B117" s="9" t="inlineStr">
        <is>
          <t>zinc</t>
        </is>
      </c>
      <c r="C117" s="9" t="inlineStr">
        <is>
          <t>E4 Manufacturas</t>
        </is>
      </c>
      <c r="D117" s="9" t="inlineStr">
        <is>
          <t>X</t>
        </is>
      </c>
      <c r="E117" s="9" t="n">
        <v>2566000</v>
      </c>
    </row>
    <row r="118">
      <c r="A118" s="6" t="n">
        <v>1994</v>
      </c>
      <c r="B118" s="6" t="inlineStr">
        <is>
          <t>barita</t>
        </is>
      </c>
      <c r="C118" s="6" t="inlineStr">
        <is>
          <t>E1 Crudo/molido</t>
        </is>
      </c>
      <c r="D118" s="6" t="inlineStr">
        <is>
          <t>M</t>
        </is>
      </c>
      <c r="E118" s="6" t="n">
        <v>2336000</v>
      </c>
    </row>
    <row r="119">
      <c r="A119" s="9" t="n">
        <v>1994</v>
      </c>
      <c r="B119" s="9" t="inlineStr">
        <is>
          <t>barita</t>
        </is>
      </c>
      <c r="C119" s="9" t="inlineStr">
        <is>
          <t>E1 Crudo/molido</t>
        </is>
      </c>
      <c r="D119" s="9" t="inlineStr">
        <is>
          <t>X</t>
        </is>
      </c>
      <c r="E119" s="9" t="n">
        <v>4690693</v>
      </c>
    </row>
    <row r="120">
      <c r="A120" s="6" t="n">
        <v>1994</v>
      </c>
      <c r="B120" s="6" t="inlineStr">
        <is>
          <t>barita</t>
        </is>
      </c>
      <c r="C120" s="6" t="inlineStr">
        <is>
          <t>E2 Quimicos de bario</t>
        </is>
      </c>
      <c r="D120" s="6" t="inlineStr">
        <is>
          <t>M</t>
        </is>
      </c>
      <c r="E120" s="6" t="n">
        <v>880000</v>
      </c>
    </row>
    <row r="121">
      <c r="A121" s="9" t="n">
        <v>1994</v>
      </c>
      <c r="B121" s="9" t="inlineStr">
        <is>
          <t>barita</t>
        </is>
      </c>
      <c r="C121" s="9" t="inlineStr">
        <is>
          <t>E2 Quimicos de bario</t>
        </is>
      </c>
      <c r="D121" s="9" t="inlineStr">
        <is>
          <t>X</t>
        </is>
      </c>
      <c r="E121" s="9" t="n">
        <v>3183808</v>
      </c>
    </row>
    <row r="122">
      <c r="A122" s="6" t="n">
        <v>1994</v>
      </c>
      <c r="B122" s="6" t="inlineStr">
        <is>
          <t>cobre</t>
        </is>
      </c>
      <c r="C122" s="6" t="inlineStr">
        <is>
          <t>E1 Mena/concentrado</t>
        </is>
      </c>
      <c r="D122" s="6" t="inlineStr">
        <is>
          <t>M</t>
        </is>
      </c>
      <c r="E122" s="6" t="n">
        <v>31391000</v>
      </c>
    </row>
    <row r="123">
      <c r="A123" s="9" t="n">
        <v>1994</v>
      </c>
      <c r="B123" s="9" t="inlineStr">
        <is>
          <t>cobre</t>
        </is>
      </c>
      <c r="C123" s="9" t="inlineStr">
        <is>
          <t>E1 Mena/concentrado</t>
        </is>
      </c>
      <c r="D123" s="9" t="inlineStr">
        <is>
          <t>X</t>
        </is>
      </c>
      <c r="E123" s="9" t="n">
        <v>4748557</v>
      </c>
    </row>
    <row r="124">
      <c r="A124" s="6" t="n">
        <v>1994</v>
      </c>
      <c r="B124" s="6" t="inlineStr">
        <is>
          <t>cobre</t>
        </is>
      </c>
      <c r="C124" s="6" t="inlineStr">
        <is>
          <t>E2 Metal en bruto/refinado</t>
        </is>
      </c>
      <c r="D124" s="6" t="inlineStr">
        <is>
          <t>M</t>
        </is>
      </c>
      <c r="E124" s="6" t="n">
        <v>98262000</v>
      </c>
    </row>
    <row r="125">
      <c r="A125" s="9" t="n">
        <v>1994</v>
      </c>
      <c r="B125" s="9" t="inlineStr">
        <is>
          <t>cobre</t>
        </is>
      </c>
      <c r="C125" s="9" t="inlineStr">
        <is>
          <t>E2 Metal en bruto/refinado</t>
        </is>
      </c>
      <c r="D125" s="9" t="inlineStr">
        <is>
          <t>X</t>
        </is>
      </c>
      <c r="E125" s="9" t="n">
        <v>370218347</v>
      </c>
    </row>
    <row r="126">
      <c r="A126" s="6" t="n">
        <v>1994</v>
      </c>
      <c r="B126" s="6" t="inlineStr">
        <is>
          <t>cobre</t>
        </is>
      </c>
      <c r="C126" s="6" t="inlineStr">
        <is>
          <t>E3 Semimanufacturas</t>
        </is>
      </c>
      <c r="D126" s="6" t="inlineStr">
        <is>
          <t>M</t>
        </is>
      </c>
      <c r="E126" s="6" t="n">
        <v>244636000</v>
      </c>
    </row>
    <row r="127">
      <c r="A127" s="9" t="n">
        <v>1994</v>
      </c>
      <c r="B127" s="9" t="inlineStr">
        <is>
          <t>cobre</t>
        </is>
      </c>
      <c r="C127" s="9" t="inlineStr">
        <is>
          <t>E3 Semimanufacturas</t>
        </is>
      </c>
      <c r="D127" s="9" t="inlineStr">
        <is>
          <t>X</t>
        </is>
      </c>
      <c r="E127" s="9" t="n">
        <v>113204367</v>
      </c>
    </row>
    <row r="128">
      <c r="A128" s="6" t="n">
        <v>1994</v>
      </c>
      <c r="B128" s="6" t="inlineStr">
        <is>
          <t>cobre</t>
        </is>
      </c>
      <c r="C128" s="6" t="inlineStr">
        <is>
          <t>E4 Manufacturas</t>
        </is>
      </c>
      <c r="D128" s="6" t="inlineStr">
        <is>
          <t>M</t>
        </is>
      </c>
      <c r="E128" s="6" t="n">
        <v>166713000</v>
      </c>
    </row>
    <row r="129">
      <c r="A129" s="9" t="n">
        <v>1994</v>
      </c>
      <c r="B129" s="9" t="inlineStr">
        <is>
          <t>cobre</t>
        </is>
      </c>
      <c r="C129" s="9" t="inlineStr">
        <is>
          <t>E4 Manufacturas</t>
        </is>
      </c>
      <c r="D129" s="9" t="inlineStr">
        <is>
          <t>X</t>
        </is>
      </c>
      <c r="E129" s="9" t="n">
        <v>36252007</v>
      </c>
    </row>
    <row r="130">
      <c r="A130" s="6" t="n">
        <v>1994</v>
      </c>
      <c r="B130" s="6" t="inlineStr">
        <is>
          <t>fluorita</t>
        </is>
      </c>
      <c r="C130" s="6" t="inlineStr">
        <is>
          <t>E1 Espato fluor (crudo)</t>
        </is>
      </c>
      <c r="D130" s="6" t="inlineStr">
        <is>
          <t>M</t>
        </is>
      </c>
      <c r="E130" s="6" t="n">
        <v>2995000</v>
      </c>
    </row>
    <row r="131">
      <c r="A131" s="9" t="n">
        <v>1994</v>
      </c>
      <c r="B131" s="9" t="inlineStr">
        <is>
          <t>fluorita</t>
        </is>
      </c>
      <c r="C131" s="9" t="inlineStr">
        <is>
          <t>E1 Espato fluor (crudo)</t>
        </is>
      </c>
      <c r="D131" s="9" t="inlineStr">
        <is>
          <t>X</t>
        </is>
      </c>
      <c r="E131" s="9" t="n">
        <v>15135902</v>
      </c>
    </row>
    <row r="132">
      <c r="A132" s="6" t="n">
        <v>1994</v>
      </c>
      <c r="B132" s="6" t="inlineStr">
        <is>
          <t>fluorita</t>
        </is>
      </c>
      <c r="C132" s="6" t="inlineStr">
        <is>
          <t>E2 Fluoroquimica</t>
        </is>
      </c>
      <c r="D132" s="6" t="inlineStr">
        <is>
          <t>M</t>
        </is>
      </c>
      <c r="E132" s="6" t="n">
        <v>4952000</v>
      </c>
    </row>
    <row r="133">
      <c r="A133" s="9" t="n">
        <v>1994</v>
      </c>
      <c r="B133" s="9" t="inlineStr">
        <is>
          <t>fluorita</t>
        </is>
      </c>
      <c r="C133" s="9" t="inlineStr">
        <is>
          <t>E2 Fluoroquimica</t>
        </is>
      </c>
      <c r="D133" s="9" t="inlineStr">
        <is>
          <t>X</t>
        </is>
      </c>
      <c r="E133" s="9" t="n">
        <v>81006939</v>
      </c>
    </row>
    <row r="134">
      <c r="A134" s="6" t="n">
        <v>1994</v>
      </c>
      <c r="B134" s="6" t="inlineStr">
        <is>
          <t>grafito</t>
        </is>
      </c>
      <c r="C134" s="6" t="inlineStr">
        <is>
          <t>E1 Grafito natural</t>
        </is>
      </c>
      <c r="D134" s="6" t="inlineStr">
        <is>
          <t>M</t>
        </is>
      </c>
      <c r="E134" s="6" t="n">
        <v>2180000</v>
      </c>
    </row>
    <row r="135">
      <c r="A135" s="9" t="n">
        <v>1994</v>
      </c>
      <c r="B135" s="9" t="inlineStr">
        <is>
          <t>grafito</t>
        </is>
      </c>
      <c r="C135" s="9" t="inlineStr">
        <is>
          <t>E1 Grafito natural</t>
        </is>
      </c>
      <c r="D135" s="9" t="inlineStr">
        <is>
          <t>X</t>
        </is>
      </c>
      <c r="E135" s="9" t="n">
        <v>2376785</v>
      </c>
    </row>
    <row r="136">
      <c r="A136" s="6" t="n">
        <v>1994</v>
      </c>
      <c r="B136" s="6" t="inlineStr">
        <is>
          <t>grafito</t>
        </is>
      </c>
      <c r="C136" s="6" t="inlineStr">
        <is>
          <t>E2 Grafito artificial/prep.</t>
        </is>
      </c>
      <c r="D136" s="6" t="inlineStr">
        <is>
          <t>M</t>
        </is>
      </c>
      <c r="E136" s="6" t="n">
        <v>7535000</v>
      </c>
    </row>
    <row r="137">
      <c r="A137" s="9" t="n">
        <v>1994</v>
      </c>
      <c r="B137" s="9" t="inlineStr">
        <is>
          <t>grafito</t>
        </is>
      </c>
      <c r="C137" s="9" t="inlineStr">
        <is>
          <t>E2 Grafito artificial/prep.</t>
        </is>
      </c>
      <c r="D137" s="9" t="inlineStr">
        <is>
          <t>X</t>
        </is>
      </c>
      <c r="E137" s="9" t="n">
        <v>16102270</v>
      </c>
    </row>
    <row r="138">
      <c r="A138" s="6" t="n">
        <v>1994</v>
      </c>
      <c r="B138" s="6" t="inlineStr">
        <is>
          <t>grafito</t>
        </is>
      </c>
      <c r="C138" s="6" t="inlineStr">
        <is>
          <t>E3 Electrodos/articulos de carbono</t>
        </is>
      </c>
      <c r="D138" s="6" t="inlineStr">
        <is>
          <t>M</t>
        </is>
      </c>
      <c r="E138" s="6" t="n">
        <v>22494000</v>
      </c>
    </row>
    <row r="139">
      <c r="A139" s="9" t="n">
        <v>1994</v>
      </c>
      <c r="B139" s="9" t="inlineStr">
        <is>
          <t>grafito</t>
        </is>
      </c>
      <c r="C139" s="9" t="inlineStr">
        <is>
          <t>E3 Electrodos/articulos de carbono</t>
        </is>
      </c>
      <c r="D139" s="9" t="inlineStr">
        <is>
          <t>X</t>
        </is>
      </c>
      <c r="E139" s="9" t="n">
        <v>19876626</v>
      </c>
    </row>
    <row r="140">
      <c r="A140" s="6" t="n">
        <v>1994</v>
      </c>
      <c r="B140" s="6" t="inlineStr">
        <is>
          <t>manganeso</t>
        </is>
      </c>
      <c r="C140" s="6" t="inlineStr">
        <is>
          <t>E1 Mena/concentrado</t>
        </is>
      </c>
      <c r="D140" s="6" t="inlineStr">
        <is>
          <t>M</t>
        </is>
      </c>
      <c r="E140" s="6" t="n">
        <v>5279000</v>
      </c>
    </row>
    <row r="141">
      <c r="A141" s="9" t="n">
        <v>1994</v>
      </c>
      <c r="B141" s="9" t="inlineStr">
        <is>
          <t>manganeso</t>
        </is>
      </c>
      <c r="C141" s="9" t="inlineStr">
        <is>
          <t>E1 Mena/concentrado</t>
        </is>
      </c>
      <c r="D141" s="9" t="inlineStr">
        <is>
          <t>X</t>
        </is>
      </c>
      <c r="E141" s="9" t="n">
        <v>3910169</v>
      </c>
    </row>
    <row r="142">
      <c r="A142" s="6" t="n">
        <v>1994</v>
      </c>
      <c r="B142" s="6" t="inlineStr">
        <is>
          <t>manganeso</t>
        </is>
      </c>
      <c r="C142" s="6" t="inlineStr">
        <is>
          <t>E2 Ferroaleaciones</t>
        </is>
      </c>
      <c r="D142" s="6" t="inlineStr">
        <is>
          <t>M</t>
        </is>
      </c>
      <c r="E142" s="6" t="n">
        <v>15133000</v>
      </c>
    </row>
    <row r="143">
      <c r="A143" s="9" t="n">
        <v>1994</v>
      </c>
      <c r="B143" s="9" t="inlineStr">
        <is>
          <t>manganeso</t>
        </is>
      </c>
      <c r="C143" s="9" t="inlineStr">
        <is>
          <t>E2 Ferroaleaciones</t>
        </is>
      </c>
      <c r="D143" s="9" t="inlineStr">
        <is>
          <t>X</t>
        </is>
      </c>
      <c r="E143" s="9" t="n">
        <v>32026827</v>
      </c>
    </row>
    <row r="144">
      <c r="A144" s="6" t="n">
        <v>1994</v>
      </c>
      <c r="B144" s="6" t="inlineStr">
        <is>
          <t>manganeso</t>
        </is>
      </c>
      <c r="C144" s="6" t="inlineStr">
        <is>
          <t>E3 Quimicos/metal</t>
        </is>
      </c>
      <c r="D144" s="6" t="inlineStr">
        <is>
          <t>M</t>
        </is>
      </c>
      <c r="E144" s="6" t="n">
        <v>5902000</v>
      </c>
    </row>
    <row r="145">
      <c r="A145" s="9" t="n">
        <v>1994</v>
      </c>
      <c r="B145" s="9" t="inlineStr">
        <is>
          <t>manganeso</t>
        </is>
      </c>
      <c r="C145" s="9" t="inlineStr">
        <is>
          <t>E3 Quimicos/metal</t>
        </is>
      </c>
      <c r="D145" s="9" t="inlineStr">
        <is>
          <t>X</t>
        </is>
      </c>
      <c r="E145" s="9" t="n">
        <v>1691298</v>
      </c>
    </row>
    <row r="146">
      <c r="A146" s="6" t="n">
        <v>1994</v>
      </c>
      <c r="B146" s="6" t="inlineStr">
        <is>
          <t>oro</t>
        </is>
      </c>
      <c r="C146" s="6" t="inlineStr">
        <is>
          <t>E1 Mena/concentrado</t>
        </is>
      </c>
      <c r="D146" s="6" t="inlineStr">
        <is>
          <t>X</t>
        </is>
      </c>
      <c r="E146" s="6" t="n">
        <v>13441</v>
      </c>
    </row>
    <row r="147">
      <c r="A147" s="9" t="n">
        <v>1994</v>
      </c>
      <c r="B147" s="9" t="inlineStr">
        <is>
          <t>oro</t>
        </is>
      </c>
      <c r="C147" s="9" t="inlineStr">
        <is>
          <t>E2 Bruto/semilabrado</t>
        </is>
      </c>
      <c r="D147" s="9" t="inlineStr">
        <is>
          <t>M</t>
        </is>
      </c>
      <c r="E147" s="9" t="n">
        <v>134356992</v>
      </c>
    </row>
    <row r="148">
      <c r="A148" s="6" t="n">
        <v>1994</v>
      </c>
      <c r="B148" s="6" t="inlineStr">
        <is>
          <t>oro</t>
        </is>
      </c>
      <c r="C148" s="6" t="inlineStr">
        <is>
          <t>E2 Bruto/semilabrado</t>
        </is>
      </c>
      <c r="D148" s="6" t="inlineStr">
        <is>
          <t>X</t>
        </is>
      </c>
      <c r="E148" s="6" t="n">
        <v>78879608</v>
      </c>
    </row>
    <row r="149">
      <c r="A149" s="9" t="n">
        <v>1994</v>
      </c>
      <c r="B149" s="9" t="inlineStr">
        <is>
          <t>oro-plata (manufacturas)</t>
        </is>
      </c>
      <c r="C149" s="9" t="inlineStr">
        <is>
          <t>E4 Joyeria/orfebreria</t>
        </is>
      </c>
      <c r="D149" s="9" t="inlineStr">
        <is>
          <t>M</t>
        </is>
      </c>
      <c r="E149" s="9" t="n">
        <v>83091000</v>
      </c>
    </row>
    <row r="150">
      <c r="A150" s="6" t="n">
        <v>1994</v>
      </c>
      <c r="B150" s="6" t="inlineStr">
        <is>
          <t>oro-plata (manufacturas)</t>
        </is>
      </c>
      <c r="C150" s="6" t="inlineStr">
        <is>
          <t>E4 Joyeria/orfebreria</t>
        </is>
      </c>
      <c r="D150" s="6" t="inlineStr">
        <is>
          <t>X</t>
        </is>
      </c>
      <c r="E150" s="6" t="n">
        <v>71155206</v>
      </c>
    </row>
    <row r="151">
      <c r="A151" s="9" t="n">
        <v>1994</v>
      </c>
      <c r="B151" s="9" t="inlineStr">
        <is>
          <t>plata</t>
        </is>
      </c>
      <c r="C151" s="9" t="inlineStr">
        <is>
          <t>E1 Mena/concentrado</t>
        </is>
      </c>
      <c r="D151" s="9" t="inlineStr">
        <is>
          <t>X</t>
        </is>
      </c>
      <c r="E151" s="9" t="n">
        <v>23815</v>
      </c>
    </row>
    <row r="152">
      <c r="A152" s="6" t="n">
        <v>1994</v>
      </c>
      <c r="B152" s="6" t="inlineStr">
        <is>
          <t>plata</t>
        </is>
      </c>
      <c r="C152" s="6" t="inlineStr">
        <is>
          <t>E2 Bruto/semilabrado</t>
        </is>
      </c>
      <c r="D152" s="6" t="inlineStr">
        <is>
          <t>M</t>
        </is>
      </c>
      <c r="E152" s="6" t="n">
        <v>3751000</v>
      </c>
    </row>
    <row r="153">
      <c r="A153" s="9" t="n">
        <v>1994</v>
      </c>
      <c r="B153" s="9" t="inlineStr">
        <is>
          <t>plata</t>
        </is>
      </c>
      <c r="C153" s="9" t="inlineStr">
        <is>
          <t>E2 Bruto/semilabrado</t>
        </is>
      </c>
      <c r="D153" s="9" t="inlineStr">
        <is>
          <t>X</t>
        </is>
      </c>
      <c r="E153" s="9" t="n">
        <v>214312352</v>
      </c>
    </row>
    <row r="154">
      <c r="A154" s="6" t="n">
        <v>1994</v>
      </c>
      <c r="B154" s="6" t="inlineStr">
        <is>
          <t>plomo</t>
        </is>
      </c>
      <c r="C154" s="6" t="inlineStr">
        <is>
          <t>E1 Mena/concentrado</t>
        </is>
      </c>
      <c r="D154" s="6" t="inlineStr">
        <is>
          <t>M</t>
        </is>
      </c>
      <c r="E154" s="6" t="n">
        <v>12683000</v>
      </c>
    </row>
    <row r="155">
      <c r="A155" s="9" t="n">
        <v>1994</v>
      </c>
      <c r="B155" s="9" t="inlineStr">
        <is>
          <t>plomo</t>
        </is>
      </c>
      <c r="C155" s="9" t="inlineStr">
        <is>
          <t>E2 Metal en bruto/refinado</t>
        </is>
      </c>
      <c r="D155" s="9" t="inlineStr">
        <is>
          <t>M</t>
        </is>
      </c>
      <c r="E155" s="9" t="n">
        <v>770000</v>
      </c>
    </row>
    <row r="156">
      <c r="A156" s="6" t="n">
        <v>1994</v>
      </c>
      <c r="B156" s="6" t="inlineStr">
        <is>
          <t>plomo</t>
        </is>
      </c>
      <c r="C156" s="6" t="inlineStr">
        <is>
          <t>E2 Metal en bruto/refinado</t>
        </is>
      </c>
      <c r="D156" s="6" t="inlineStr">
        <is>
          <t>X</t>
        </is>
      </c>
      <c r="E156" s="6" t="n">
        <v>32658840</v>
      </c>
    </row>
    <row r="157">
      <c r="A157" s="9" t="n">
        <v>1994</v>
      </c>
      <c r="B157" s="9" t="inlineStr">
        <is>
          <t>plomo</t>
        </is>
      </c>
      <c r="C157" s="9" t="inlineStr">
        <is>
          <t>E3 Semimanufacturas</t>
        </is>
      </c>
      <c r="D157" s="9" t="inlineStr">
        <is>
          <t>M</t>
        </is>
      </c>
      <c r="E157" s="9" t="n">
        <v>397000</v>
      </c>
    </row>
    <row r="158">
      <c r="A158" s="6" t="n">
        <v>1994</v>
      </c>
      <c r="B158" s="6" t="inlineStr">
        <is>
          <t>plomo</t>
        </is>
      </c>
      <c r="C158" s="6" t="inlineStr">
        <is>
          <t>E3 Semimanufacturas</t>
        </is>
      </c>
      <c r="D158" s="6" t="inlineStr">
        <is>
          <t>X</t>
        </is>
      </c>
      <c r="E158" s="6" t="n">
        <v>37806</v>
      </c>
    </row>
    <row r="159">
      <c r="A159" s="9" t="n">
        <v>1994</v>
      </c>
      <c r="B159" s="9" t="inlineStr">
        <is>
          <t>plomo</t>
        </is>
      </c>
      <c r="C159" s="9" t="inlineStr">
        <is>
          <t>E4 Manufacturas</t>
        </is>
      </c>
      <c r="D159" s="9" t="inlineStr">
        <is>
          <t>M</t>
        </is>
      </c>
      <c r="E159" s="9" t="n">
        <v>2577000</v>
      </c>
    </row>
    <row r="160">
      <c r="A160" s="6" t="n">
        <v>1994</v>
      </c>
      <c r="B160" s="6" t="inlineStr">
        <is>
          <t>plomo</t>
        </is>
      </c>
      <c r="C160" s="6" t="inlineStr">
        <is>
          <t>E4 Manufacturas</t>
        </is>
      </c>
      <c r="D160" s="6" t="inlineStr">
        <is>
          <t>X</t>
        </is>
      </c>
      <c r="E160" s="6" t="n">
        <v>1403275</v>
      </c>
    </row>
    <row r="161">
      <c r="A161" s="9" t="n">
        <v>1994</v>
      </c>
      <c r="B161" s="9" t="inlineStr">
        <is>
          <t>silice</t>
        </is>
      </c>
      <c r="C161" s="9" t="inlineStr">
        <is>
          <t>E1 Arena silica/cuarzo</t>
        </is>
      </c>
      <c r="D161" s="9" t="inlineStr">
        <is>
          <t>M</t>
        </is>
      </c>
      <c r="E161" s="9" t="n">
        <v>9667000</v>
      </c>
    </row>
    <row r="162">
      <c r="A162" s="6" t="n">
        <v>1994</v>
      </c>
      <c r="B162" s="6" t="inlineStr">
        <is>
          <t>silice</t>
        </is>
      </c>
      <c r="C162" s="6" t="inlineStr">
        <is>
          <t>E1 Arena silica/cuarzo</t>
        </is>
      </c>
      <c r="D162" s="6" t="inlineStr">
        <is>
          <t>X</t>
        </is>
      </c>
      <c r="E162" s="6" t="n">
        <v>382913</v>
      </c>
    </row>
    <row r="163">
      <c r="A163" s="9" t="n">
        <v>1994</v>
      </c>
      <c r="B163" s="9" t="inlineStr">
        <is>
          <t>silice</t>
        </is>
      </c>
      <c r="C163" s="9" t="inlineStr">
        <is>
          <t>E2 Silicio/ferrosilicio/SiO2</t>
        </is>
      </c>
      <c r="D163" s="9" t="inlineStr">
        <is>
          <t>M</t>
        </is>
      </c>
      <c r="E163" s="9" t="n">
        <v>38436000</v>
      </c>
    </row>
    <row r="164">
      <c r="A164" s="6" t="n">
        <v>1994</v>
      </c>
      <c r="B164" s="6" t="inlineStr">
        <is>
          <t>silice</t>
        </is>
      </c>
      <c r="C164" s="6" t="inlineStr">
        <is>
          <t>E2 Silicio/ferrosilicio/SiO2</t>
        </is>
      </c>
      <c r="D164" s="6" t="inlineStr">
        <is>
          <t>X</t>
        </is>
      </c>
      <c r="E164" s="6" t="n">
        <v>1023489</v>
      </c>
    </row>
    <row r="165">
      <c r="A165" s="9" t="n">
        <v>1994</v>
      </c>
      <c r="B165" s="9" t="inlineStr">
        <is>
          <t>zinc</t>
        </is>
      </c>
      <c r="C165" s="9" t="inlineStr">
        <is>
          <t>E1 Mena/concentrado</t>
        </is>
      </c>
      <c r="D165" s="9" t="inlineStr">
        <is>
          <t>M</t>
        </is>
      </c>
      <c r="E165" s="9" t="n">
        <v>1000</v>
      </c>
    </row>
    <row r="166">
      <c r="A166" s="6" t="n">
        <v>1994</v>
      </c>
      <c r="B166" s="6" t="inlineStr">
        <is>
          <t>zinc</t>
        </is>
      </c>
      <c r="C166" s="6" t="inlineStr">
        <is>
          <t>E1 Mena/concentrado</t>
        </is>
      </c>
      <c r="D166" s="6" t="inlineStr">
        <is>
          <t>X</t>
        </is>
      </c>
      <c r="E166" s="6" t="n">
        <v>70061440</v>
      </c>
    </row>
    <row r="167">
      <c r="A167" s="9" t="n">
        <v>1994</v>
      </c>
      <c r="B167" s="9" t="inlineStr">
        <is>
          <t>zinc</t>
        </is>
      </c>
      <c r="C167" s="9" t="inlineStr">
        <is>
          <t>E2 Metal en bruto/refinado</t>
        </is>
      </c>
      <c r="D167" s="9" t="inlineStr">
        <is>
          <t>M</t>
        </is>
      </c>
      <c r="E167" s="9" t="n">
        <v>895000</v>
      </c>
    </row>
    <row r="168">
      <c r="A168" s="6" t="n">
        <v>1994</v>
      </c>
      <c r="B168" s="6" t="inlineStr">
        <is>
          <t>zinc</t>
        </is>
      </c>
      <c r="C168" s="6" t="inlineStr">
        <is>
          <t>E2 Metal en bruto/refinado</t>
        </is>
      </c>
      <c r="D168" s="6" t="inlineStr">
        <is>
          <t>X</t>
        </is>
      </c>
      <c r="E168" s="6" t="n">
        <v>75922032</v>
      </c>
    </row>
    <row r="169">
      <c r="A169" s="9" t="n">
        <v>1994</v>
      </c>
      <c r="B169" s="9" t="inlineStr">
        <is>
          <t>zinc</t>
        </is>
      </c>
      <c r="C169" s="9" t="inlineStr">
        <is>
          <t>E3 Semimanufacturas</t>
        </is>
      </c>
      <c r="D169" s="9" t="inlineStr">
        <is>
          <t>M</t>
        </is>
      </c>
      <c r="E169" s="9" t="n">
        <v>10767000</v>
      </c>
    </row>
    <row r="170">
      <c r="A170" s="6" t="n">
        <v>1994</v>
      </c>
      <c r="B170" s="6" t="inlineStr">
        <is>
          <t>zinc</t>
        </is>
      </c>
      <c r="C170" s="6" t="inlineStr">
        <is>
          <t>E3 Semimanufacturas</t>
        </is>
      </c>
      <c r="D170" s="6" t="inlineStr">
        <is>
          <t>X</t>
        </is>
      </c>
      <c r="E170" s="6" t="n">
        <v>37376920</v>
      </c>
    </row>
    <row r="171">
      <c r="A171" s="9" t="n">
        <v>1994</v>
      </c>
      <c r="B171" s="9" t="inlineStr">
        <is>
          <t>zinc</t>
        </is>
      </c>
      <c r="C171" s="9" t="inlineStr">
        <is>
          <t>E4 Manufacturas</t>
        </is>
      </c>
      <c r="D171" s="9" t="inlineStr">
        <is>
          <t>M</t>
        </is>
      </c>
      <c r="E171" s="9" t="n">
        <v>7732000</v>
      </c>
    </row>
    <row r="172">
      <c r="A172" s="6" t="n">
        <v>1994</v>
      </c>
      <c r="B172" s="6" t="inlineStr">
        <is>
          <t>zinc</t>
        </is>
      </c>
      <c r="C172" s="6" t="inlineStr">
        <is>
          <t>E4 Manufacturas</t>
        </is>
      </c>
      <c r="D172" s="6" t="inlineStr">
        <is>
          <t>X</t>
        </is>
      </c>
      <c r="E172" s="6" t="n">
        <v>2722911</v>
      </c>
    </row>
    <row r="173">
      <c r="A173" s="9" t="n">
        <v>1995</v>
      </c>
      <c r="B173" s="9" t="inlineStr">
        <is>
          <t>barita</t>
        </is>
      </c>
      <c r="C173" s="9" t="inlineStr">
        <is>
          <t>E1 Crudo/molido</t>
        </is>
      </c>
      <c r="D173" s="9" t="inlineStr">
        <is>
          <t>M</t>
        </is>
      </c>
      <c r="E173" s="9" t="n">
        <v>863000</v>
      </c>
    </row>
    <row r="174">
      <c r="A174" s="6" t="n">
        <v>1995</v>
      </c>
      <c r="B174" s="6" t="inlineStr">
        <is>
          <t>barita</t>
        </is>
      </c>
      <c r="C174" s="6" t="inlineStr">
        <is>
          <t>E1 Crudo/molido</t>
        </is>
      </c>
      <c r="D174" s="6" t="inlineStr">
        <is>
          <t>X</t>
        </is>
      </c>
      <c r="E174" s="6" t="n">
        <v>6854000</v>
      </c>
    </row>
    <row r="175">
      <c r="A175" s="9" t="n">
        <v>1995</v>
      </c>
      <c r="B175" s="9" t="inlineStr">
        <is>
          <t>barita</t>
        </is>
      </c>
      <c r="C175" s="9" t="inlineStr">
        <is>
          <t>E2 Quimicos de bario</t>
        </is>
      </c>
      <c r="D175" s="9" t="inlineStr">
        <is>
          <t>M</t>
        </is>
      </c>
      <c r="E175" s="9" t="n">
        <v>565000</v>
      </c>
    </row>
    <row r="176">
      <c r="A176" s="6" t="n">
        <v>1995</v>
      </c>
      <c r="B176" s="6" t="inlineStr">
        <is>
          <t>barita</t>
        </is>
      </c>
      <c r="C176" s="6" t="inlineStr">
        <is>
          <t>E2 Quimicos de bario</t>
        </is>
      </c>
      <c r="D176" s="6" t="inlineStr">
        <is>
          <t>X</t>
        </is>
      </c>
      <c r="E176" s="6" t="n">
        <v>4728000</v>
      </c>
    </row>
    <row r="177">
      <c r="A177" s="9" t="n">
        <v>1995</v>
      </c>
      <c r="B177" s="9" t="inlineStr">
        <is>
          <t>cobre</t>
        </is>
      </c>
      <c r="C177" s="9" t="inlineStr">
        <is>
          <t>E1 Mena/concentrado</t>
        </is>
      </c>
      <c r="D177" s="9" t="inlineStr">
        <is>
          <t>M</t>
        </is>
      </c>
      <c r="E177" s="9" t="n">
        <v>18094000</v>
      </c>
    </row>
    <row r="178">
      <c r="A178" s="6" t="n">
        <v>1995</v>
      </c>
      <c r="B178" s="6" t="inlineStr">
        <is>
          <t>cobre</t>
        </is>
      </c>
      <c r="C178" s="6" t="inlineStr">
        <is>
          <t>E1 Mena/concentrado</t>
        </is>
      </c>
      <c r="D178" s="6" t="inlineStr">
        <is>
          <t>X</t>
        </is>
      </c>
      <c r="E178" s="6" t="n">
        <v>20182000</v>
      </c>
    </row>
    <row r="179">
      <c r="A179" s="9" t="n">
        <v>1995</v>
      </c>
      <c r="B179" s="9" t="inlineStr">
        <is>
          <t>cobre</t>
        </is>
      </c>
      <c r="C179" s="9" t="inlineStr">
        <is>
          <t>E2 Metal en bruto/refinado</t>
        </is>
      </c>
      <c r="D179" s="9" t="inlineStr">
        <is>
          <t>M</t>
        </is>
      </c>
      <c r="E179" s="9" t="n">
        <v>59671000</v>
      </c>
    </row>
    <row r="180">
      <c r="A180" s="6" t="n">
        <v>1995</v>
      </c>
      <c r="B180" s="6" t="inlineStr">
        <is>
          <t>cobre</t>
        </is>
      </c>
      <c r="C180" s="6" t="inlineStr">
        <is>
          <t>E2 Metal en bruto/refinado</t>
        </is>
      </c>
      <c r="D180" s="6" t="inlineStr">
        <is>
          <t>X</t>
        </is>
      </c>
      <c r="E180" s="6" t="n">
        <v>581942992</v>
      </c>
    </row>
    <row r="181">
      <c r="A181" s="9" t="n">
        <v>1995</v>
      </c>
      <c r="B181" s="9" t="inlineStr">
        <is>
          <t>cobre</t>
        </is>
      </c>
      <c r="C181" s="9" t="inlineStr">
        <is>
          <t>E3 Semimanufacturas</t>
        </is>
      </c>
      <c r="D181" s="9" t="inlineStr">
        <is>
          <t>M</t>
        </is>
      </c>
      <c r="E181" s="9" t="n">
        <v>246944000</v>
      </c>
    </row>
    <row r="182">
      <c r="A182" s="6" t="n">
        <v>1995</v>
      </c>
      <c r="B182" s="6" t="inlineStr">
        <is>
          <t>cobre</t>
        </is>
      </c>
      <c r="C182" s="6" t="inlineStr">
        <is>
          <t>E3 Semimanufacturas</t>
        </is>
      </c>
      <c r="D182" s="6" t="inlineStr">
        <is>
          <t>X</t>
        </is>
      </c>
      <c r="E182" s="6" t="n">
        <v>207421000</v>
      </c>
    </row>
    <row r="183">
      <c r="A183" s="9" t="n">
        <v>1995</v>
      </c>
      <c r="B183" s="9" t="inlineStr">
        <is>
          <t>cobre</t>
        </is>
      </c>
      <c r="C183" s="9" t="inlineStr">
        <is>
          <t>E4 Manufacturas</t>
        </is>
      </c>
      <c r="D183" s="9" t="inlineStr">
        <is>
          <t>M</t>
        </is>
      </c>
      <c r="E183" s="9" t="n">
        <v>237946008</v>
      </c>
    </row>
    <row r="184">
      <c r="A184" s="6" t="n">
        <v>1995</v>
      </c>
      <c r="B184" s="6" t="inlineStr">
        <is>
          <t>cobre</t>
        </is>
      </c>
      <c r="C184" s="6" t="inlineStr">
        <is>
          <t>E4 Manufacturas</t>
        </is>
      </c>
      <c r="D184" s="6" t="inlineStr">
        <is>
          <t>X</t>
        </is>
      </c>
      <c r="E184" s="6" t="n">
        <v>23368000</v>
      </c>
    </row>
    <row r="185">
      <c r="A185" s="9" t="n">
        <v>1995</v>
      </c>
      <c r="B185" s="9" t="inlineStr">
        <is>
          <t>fluorita</t>
        </is>
      </c>
      <c r="C185" s="9" t="inlineStr">
        <is>
          <t>E1 Espato fluor (crudo)</t>
        </is>
      </c>
      <c r="D185" s="9" t="inlineStr">
        <is>
          <t>M</t>
        </is>
      </c>
      <c r="E185" s="9" t="n">
        <v>3838000</v>
      </c>
    </row>
    <row r="186">
      <c r="A186" s="6" t="n">
        <v>1995</v>
      </c>
      <c r="B186" s="6" t="inlineStr">
        <is>
          <t>fluorita</t>
        </is>
      </c>
      <c r="C186" s="6" t="inlineStr">
        <is>
          <t>E1 Espato fluor (crudo)</t>
        </is>
      </c>
      <c r="D186" s="6" t="inlineStr">
        <is>
          <t>X</t>
        </is>
      </c>
      <c r="E186" s="6" t="n">
        <v>23708000</v>
      </c>
    </row>
    <row r="187">
      <c r="A187" s="9" t="n">
        <v>1995</v>
      </c>
      <c r="B187" s="9" t="inlineStr">
        <is>
          <t>fluorita</t>
        </is>
      </c>
      <c r="C187" s="9" t="inlineStr">
        <is>
          <t>E2 Fluoroquimica</t>
        </is>
      </c>
      <c r="D187" s="9" t="inlineStr">
        <is>
          <t>M</t>
        </is>
      </c>
      <c r="E187" s="9" t="n">
        <v>5539000</v>
      </c>
    </row>
    <row r="188">
      <c r="A188" s="6" t="n">
        <v>1995</v>
      </c>
      <c r="B188" s="6" t="inlineStr">
        <is>
          <t>fluorita</t>
        </is>
      </c>
      <c r="C188" s="6" t="inlineStr">
        <is>
          <t>E2 Fluoroquimica</t>
        </is>
      </c>
      <c r="D188" s="6" t="inlineStr">
        <is>
          <t>X</t>
        </is>
      </c>
      <c r="E188" s="6" t="n">
        <v>89756000</v>
      </c>
    </row>
    <row r="189">
      <c r="A189" s="9" t="n">
        <v>1995</v>
      </c>
      <c r="B189" s="9" t="inlineStr">
        <is>
          <t>grafito</t>
        </is>
      </c>
      <c r="C189" s="9" t="inlineStr">
        <is>
          <t>E1 Grafito natural</t>
        </is>
      </c>
      <c r="D189" s="9" t="inlineStr">
        <is>
          <t>M</t>
        </is>
      </c>
      <c r="E189" s="9" t="n">
        <v>3211000</v>
      </c>
    </row>
    <row r="190">
      <c r="A190" s="6" t="n">
        <v>1995</v>
      </c>
      <c r="B190" s="6" t="inlineStr">
        <is>
          <t>grafito</t>
        </is>
      </c>
      <c r="C190" s="6" t="inlineStr">
        <is>
          <t>E1 Grafito natural</t>
        </is>
      </c>
      <c r="D190" s="6" t="inlineStr">
        <is>
          <t>X</t>
        </is>
      </c>
      <c r="E190" s="6" t="n">
        <v>2264000</v>
      </c>
    </row>
    <row r="191">
      <c r="A191" s="9" t="n">
        <v>1995</v>
      </c>
      <c r="B191" s="9" t="inlineStr">
        <is>
          <t>grafito</t>
        </is>
      </c>
      <c r="C191" s="9" t="inlineStr">
        <is>
          <t>E2 Grafito artificial/prep.</t>
        </is>
      </c>
      <c r="D191" s="9" t="inlineStr">
        <is>
          <t>M</t>
        </is>
      </c>
      <c r="E191" s="9" t="n">
        <v>8667000</v>
      </c>
    </row>
    <row r="192">
      <c r="A192" s="6" t="n">
        <v>1995</v>
      </c>
      <c r="B192" s="6" t="inlineStr">
        <is>
          <t>grafito</t>
        </is>
      </c>
      <c r="C192" s="6" t="inlineStr">
        <is>
          <t>E2 Grafito artificial/prep.</t>
        </is>
      </c>
      <c r="D192" s="6" t="inlineStr">
        <is>
          <t>X</t>
        </is>
      </c>
      <c r="E192" s="6" t="n">
        <v>17075000</v>
      </c>
    </row>
    <row r="193">
      <c r="A193" s="9" t="n">
        <v>1995</v>
      </c>
      <c r="B193" s="9" t="inlineStr">
        <is>
          <t>grafito</t>
        </is>
      </c>
      <c r="C193" s="9" t="inlineStr">
        <is>
          <t>E3 Electrodos/articulos de carbono</t>
        </is>
      </c>
      <c r="D193" s="9" t="inlineStr">
        <is>
          <t>M</t>
        </is>
      </c>
      <c r="E193" s="9" t="n">
        <v>27600000</v>
      </c>
    </row>
    <row r="194">
      <c r="A194" s="6" t="n">
        <v>1995</v>
      </c>
      <c r="B194" s="6" t="inlineStr">
        <is>
          <t>grafito</t>
        </is>
      </c>
      <c r="C194" s="6" t="inlineStr">
        <is>
          <t>E3 Electrodos/articulos de carbono</t>
        </is>
      </c>
      <c r="D194" s="6" t="inlineStr">
        <is>
          <t>X</t>
        </is>
      </c>
      <c r="E194" s="6" t="n">
        <v>23514000</v>
      </c>
    </row>
    <row r="195">
      <c r="A195" s="9" t="n">
        <v>1995</v>
      </c>
      <c r="B195" s="9" t="inlineStr">
        <is>
          <t>manganeso</t>
        </is>
      </c>
      <c r="C195" s="9" t="inlineStr">
        <is>
          <t>E1 Mena/concentrado</t>
        </is>
      </c>
      <c r="D195" s="9" t="inlineStr">
        <is>
          <t>M</t>
        </is>
      </c>
      <c r="E195" s="9" t="n">
        <v>9469000</v>
      </c>
    </row>
    <row r="196">
      <c r="A196" s="6" t="n">
        <v>1995</v>
      </c>
      <c r="B196" s="6" t="inlineStr">
        <is>
          <t>manganeso</t>
        </is>
      </c>
      <c r="C196" s="6" t="inlineStr">
        <is>
          <t>E1 Mena/concentrado</t>
        </is>
      </c>
      <c r="D196" s="6" t="inlineStr">
        <is>
          <t>X</t>
        </is>
      </c>
      <c r="E196" s="6" t="n">
        <v>9596000</v>
      </c>
    </row>
    <row r="197">
      <c r="A197" s="9" t="n">
        <v>1995</v>
      </c>
      <c r="B197" s="9" t="inlineStr">
        <is>
          <t>manganeso</t>
        </is>
      </c>
      <c r="C197" s="9" t="inlineStr">
        <is>
          <t>E2 Ferroaleaciones</t>
        </is>
      </c>
      <c r="D197" s="9" t="inlineStr">
        <is>
          <t>M</t>
        </is>
      </c>
      <c r="E197" s="9" t="n">
        <v>13290000</v>
      </c>
    </row>
    <row r="198">
      <c r="A198" s="6" t="n">
        <v>1995</v>
      </c>
      <c r="B198" s="6" t="inlineStr">
        <is>
          <t>manganeso</t>
        </is>
      </c>
      <c r="C198" s="6" t="inlineStr">
        <is>
          <t>E2 Ferroaleaciones</t>
        </is>
      </c>
      <c r="D198" s="6" t="inlineStr">
        <is>
          <t>X</t>
        </is>
      </c>
      <c r="E198" s="6" t="n">
        <v>31864000</v>
      </c>
    </row>
    <row r="199">
      <c r="A199" s="9" t="n">
        <v>1995</v>
      </c>
      <c r="B199" s="9" t="inlineStr">
        <is>
          <t>manganeso</t>
        </is>
      </c>
      <c r="C199" s="9" t="inlineStr">
        <is>
          <t>E3 Quimicos/metal</t>
        </is>
      </c>
      <c r="D199" s="9" t="inlineStr">
        <is>
          <t>M</t>
        </is>
      </c>
      <c r="E199" s="9" t="n">
        <v>7672000</v>
      </c>
    </row>
    <row r="200">
      <c r="A200" s="6" t="n">
        <v>1995</v>
      </c>
      <c r="B200" s="6" t="inlineStr">
        <is>
          <t>manganeso</t>
        </is>
      </c>
      <c r="C200" s="6" t="inlineStr">
        <is>
          <t>E3 Quimicos/metal</t>
        </is>
      </c>
      <c r="D200" s="6" t="inlineStr">
        <is>
          <t>X</t>
        </is>
      </c>
      <c r="E200" s="6" t="n">
        <v>1771000</v>
      </c>
    </row>
    <row r="201">
      <c r="A201" s="9" t="n">
        <v>1995</v>
      </c>
      <c r="B201" s="9" t="inlineStr">
        <is>
          <t>oro</t>
        </is>
      </c>
      <c r="C201" s="9" t="inlineStr">
        <is>
          <t>E1 Mena/concentrado</t>
        </is>
      </c>
      <c r="D201" s="9" t="inlineStr">
        <is>
          <t>M</t>
        </is>
      </c>
      <c r="E201" s="9" t="n">
        <v>1713000</v>
      </c>
    </row>
    <row r="202">
      <c r="A202" s="6" t="n">
        <v>1995</v>
      </c>
      <c r="B202" s="6" t="inlineStr">
        <is>
          <t>oro</t>
        </is>
      </c>
      <c r="C202" s="6" t="inlineStr">
        <is>
          <t>E1 Mena/concentrado</t>
        </is>
      </c>
      <c r="D202" s="6" t="inlineStr">
        <is>
          <t>X</t>
        </is>
      </c>
      <c r="E202" s="6" t="n">
        <v>13000</v>
      </c>
    </row>
    <row r="203">
      <c r="A203" s="9" t="n">
        <v>1995</v>
      </c>
      <c r="B203" s="9" t="inlineStr">
        <is>
          <t>oro</t>
        </is>
      </c>
      <c r="C203" s="9" t="inlineStr">
        <is>
          <t>E2 Bruto/semilabrado</t>
        </is>
      </c>
      <c r="D203" s="9" t="inlineStr">
        <is>
          <t>M</t>
        </is>
      </c>
      <c r="E203" s="9" t="n">
        <v>51335000</v>
      </c>
    </row>
    <row r="204">
      <c r="A204" s="6" t="n">
        <v>1995</v>
      </c>
      <c r="B204" s="6" t="inlineStr">
        <is>
          <t>oro</t>
        </is>
      </c>
      <c r="C204" s="6" t="inlineStr">
        <is>
          <t>E2 Bruto/semilabrado</t>
        </is>
      </c>
      <c r="D204" s="6" t="inlineStr">
        <is>
          <t>X</t>
        </is>
      </c>
      <c r="E204" s="6" t="n">
        <v>138916000</v>
      </c>
    </row>
    <row r="205">
      <c r="A205" s="9" t="n">
        <v>1995</v>
      </c>
      <c r="B205" s="9" t="inlineStr">
        <is>
          <t>oro-plata (manufacturas)</t>
        </is>
      </c>
      <c r="C205" s="9" t="inlineStr">
        <is>
          <t>E4 Joyeria/orfebreria</t>
        </is>
      </c>
      <c r="D205" s="9" t="inlineStr">
        <is>
          <t>M</t>
        </is>
      </c>
      <c r="E205" s="9" t="n">
        <v>63467000</v>
      </c>
    </row>
    <row r="206">
      <c r="A206" s="6" t="n">
        <v>1995</v>
      </c>
      <c r="B206" s="6" t="inlineStr">
        <is>
          <t>oro-plata (manufacturas)</t>
        </is>
      </c>
      <c r="C206" s="6" t="inlineStr">
        <is>
          <t>E4 Joyeria/orfebreria</t>
        </is>
      </c>
      <c r="D206" s="6" t="inlineStr">
        <is>
          <t>X</t>
        </is>
      </c>
      <c r="E206" s="6" t="n">
        <v>101540000</v>
      </c>
    </row>
    <row r="207">
      <c r="A207" s="9" t="n">
        <v>1995</v>
      </c>
      <c r="B207" s="9" t="inlineStr">
        <is>
          <t>plata</t>
        </is>
      </c>
      <c r="C207" s="9" t="inlineStr">
        <is>
          <t>E1 Mena/concentrado</t>
        </is>
      </c>
      <c r="D207" s="9" t="inlineStr">
        <is>
          <t>M</t>
        </is>
      </c>
      <c r="E207" s="9" t="n">
        <v>1000</v>
      </c>
    </row>
    <row r="208">
      <c r="A208" s="6" t="n">
        <v>1995</v>
      </c>
      <c r="B208" s="6" t="inlineStr">
        <is>
          <t>plata</t>
        </is>
      </c>
      <c r="C208" s="6" t="inlineStr">
        <is>
          <t>E1 Mena/concentrado</t>
        </is>
      </c>
      <c r="D208" s="6" t="inlineStr">
        <is>
          <t>X</t>
        </is>
      </c>
      <c r="E208" s="6" t="n">
        <v>6883000</v>
      </c>
    </row>
    <row r="209">
      <c r="A209" s="9" t="n">
        <v>1995</v>
      </c>
      <c r="B209" s="9" t="inlineStr">
        <is>
          <t>plata</t>
        </is>
      </c>
      <c r="C209" s="9" t="inlineStr">
        <is>
          <t>E2 Bruto/semilabrado</t>
        </is>
      </c>
      <c r="D209" s="9" t="inlineStr">
        <is>
          <t>M</t>
        </is>
      </c>
      <c r="E209" s="9" t="n">
        <v>6594000</v>
      </c>
    </row>
    <row r="210">
      <c r="A210" s="6" t="n">
        <v>1995</v>
      </c>
      <c r="B210" s="6" t="inlineStr">
        <is>
          <t>plata</t>
        </is>
      </c>
      <c r="C210" s="6" t="inlineStr">
        <is>
          <t>E2 Bruto/semilabrado</t>
        </is>
      </c>
      <c r="D210" s="6" t="inlineStr">
        <is>
          <t>X</t>
        </is>
      </c>
      <c r="E210" s="6" t="n">
        <v>300763008</v>
      </c>
    </row>
    <row r="211">
      <c r="A211" s="9" t="n">
        <v>1995</v>
      </c>
      <c r="B211" s="9" t="inlineStr">
        <is>
          <t>plomo</t>
        </is>
      </c>
      <c r="C211" s="9" t="inlineStr">
        <is>
          <t>E1 Mena/concentrado</t>
        </is>
      </c>
      <c r="D211" s="9" t="inlineStr">
        <is>
          <t>M</t>
        </is>
      </c>
      <c r="E211" s="9" t="n">
        <v>13816000</v>
      </c>
    </row>
    <row r="212">
      <c r="A212" s="6" t="n">
        <v>1995</v>
      </c>
      <c r="B212" s="6" t="inlineStr">
        <is>
          <t>plomo</t>
        </is>
      </c>
      <c r="C212" s="6" t="inlineStr">
        <is>
          <t>E1 Mena/concentrado</t>
        </is>
      </c>
      <c r="D212" s="6" t="inlineStr">
        <is>
          <t>X</t>
        </is>
      </c>
      <c r="E212" s="6" t="n">
        <v>14708000</v>
      </c>
    </row>
    <row r="213">
      <c r="A213" s="9" t="n">
        <v>1995</v>
      </c>
      <c r="B213" s="9" t="inlineStr">
        <is>
          <t>plomo</t>
        </is>
      </c>
      <c r="C213" s="9" t="inlineStr">
        <is>
          <t>E2 Metal en bruto/refinado</t>
        </is>
      </c>
      <c r="D213" s="9" t="inlineStr">
        <is>
          <t>M</t>
        </is>
      </c>
      <c r="E213" s="9" t="n">
        <v>954000</v>
      </c>
    </row>
    <row r="214">
      <c r="A214" s="6" t="n">
        <v>1995</v>
      </c>
      <c r="B214" s="6" t="inlineStr">
        <is>
          <t>plomo</t>
        </is>
      </c>
      <c r="C214" s="6" t="inlineStr">
        <is>
          <t>E2 Metal en bruto/refinado</t>
        </is>
      </c>
      <c r="D214" s="6" t="inlineStr">
        <is>
          <t>X</t>
        </is>
      </c>
      <c r="E214" s="6" t="n">
        <v>68577000</v>
      </c>
    </row>
    <row r="215">
      <c r="A215" s="9" t="n">
        <v>1995</v>
      </c>
      <c r="B215" s="9" t="inlineStr">
        <is>
          <t>plomo</t>
        </is>
      </c>
      <c r="C215" s="9" t="inlineStr">
        <is>
          <t>E3 Semimanufacturas</t>
        </is>
      </c>
      <c r="D215" s="9" t="inlineStr">
        <is>
          <t>M</t>
        </is>
      </c>
      <c r="E215" s="9" t="n">
        <v>1389000</v>
      </c>
    </row>
    <row r="216">
      <c r="A216" s="6" t="n">
        <v>1995</v>
      </c>
      <c r="B216" s="6" t="inlineStr">
        <is>
          <t>plomo</t>
        </is>
      </c>
      <c r="C216" s="6" t="inlineStr">
        <is>
          <t>E3 Semimanufacturas</t>
        </is>
      </c>
      <c r="D216" s="6" t="inlineStr">
        <is>
          <t>X</t>
        </is>
      </c>
      <c r="E216" s="6" t="n">
        <v>79000</v>
      </c>
    </row>
    <row r="217">
      <c r="A217" s="9" t="n">
        <v>1995</v>
      </c>
      <c r="B217" s="9" t="inlineStr">
        <is>
          <t>plomo</t>
        </is>
      </c>
      <c r="C217" s="9" t="inlineStr">
        <is>
          <t>E4 Manufacturas</t>
        </is>
      </c>
      <c r="D217" s="9" t="inlineStr">
        <is>
          <t>M</t>
        </is>
      </c>
      <c r="E217" s="9" t="n">
        <v>3957000</v>
      </c>
    </row>
    <row r="218">
      <c r="A218" s="6" t="n">
        <v>1995</v>
      </c>
      <c r="B218" s="6" t="inlineStr">
        <is>
          <t>plomo</t>
        </is>
      </c>
      <c r="C218" s="6" t="inlineStr">
        <is>
          <t>E4 Manufacturas</t>
        </is>
      </c>
      <c r="D218" s="6" t="inlineStr">
        <is>
          <t>X</t>
        </is>
      </c>
      <c r="E218" s="6" t="n">
        <v>1493000</v>
      </c>
    </row>
    <row r="219">
      <c r="A219" s="9" t="n">
        <v>1995</v>
      </c>
      <c r="B219" s="9" t="inlineStr">
        <is>
          <t>silice</t>
        </is>
      </c>
      <c r="C219" s="9" t="inlineStr">
        <is>
          <t>E1 Arena silica/cuarzo</t>
        </is>
      </c>
      <c r="D219" s="9" t="inlineStr">
        <is>
          <t>M</t>
        </is>
      </c>
      <c r="E219" s="9" t="n">
        <v>10993000</v>
      </c>
    </row>
    <row r="220">
      <c r="A220" s="6" t="n">
        <v>1995</v>
      </c>
      <c r="B220" s="6" t="inlineStr">
        <is>
          <t>silice</t>
        </is>
      </c>
      <c r="C220" s="6" t="inlineStr">
        <is>
          <t>E1 Arena silica/cuarzo</t>
        </is>
      </c>
      <c r="D220" s="6" t="inlineStr">
        <is>
          <t>X</t>
        </is>
      </c>
      <c r="E220" s="6" t="n">
        <v>266000</v>
      </c>
    </row>
    <row r="221">
      <c r="A221" s="9" t="n">
        <v>1995</v>
      </c>
      <c r="B221" s="9" t="inlineStr">
        <is>
          <t>silice</t>
        </is>
      </c>
      <c r="C221" s="9" t="inlineStr">
        <is>
          <t>E2 Silicio/ferrosilicio/SiO2</t>
        </is>
      </c>
      <c r="D221" s="9" t="inlineStr">
        <is>
          <t>M</t>
        </is>
      </c>
      <c r="E221" s="9" t="n">
        <v>35506000</v>
      </c>
    </row>
    <row r="222">
      <c r="A222" s="6" t="n">
        <v>1995</v>
      </c>
      <c r="B222" s="6" t="inlineStr">
        <is>
          <t>silice</t>
        </is>
      </c>
      <c r="C222" s="6" t="inlineStr">
        <is>
          <t>E2 Silicio/ferrosilicio/SiO2</t>
        </is>
      </c>
      <c r="D222" s="6" t="inlineStr">
        <is>
          <t>X</t>
        </is>
      </c>
      <c r="E222" s="6" t="n">
        <v>682000</v>
      </c>
    </row>
    <row r="223">
      <c r="A223" s="9" t="n">
        <v>1995</v>
      </c>
      <c r="B223" s="9" t="inlineStr">
        <is>
          <t>zinc</t>
        </is>
      </c>
      <c r="C223" s="9" t="inlineStr">
        <is>
          <t>E1 Mena/concentrado</t>
        </is>
      </c>
      <c r="D223" s="9" t="inlineStr">
        <is>
          <t>M</t>
        </is>
      </c>
      <c r="E223" s="9" t="n">
        <v>7000</v>
      </c>
    </row>
    <row r="224">
      <c r="A224" s="6" t="n">
        <v>1995</v>
      </c>
      <c r="B224" s="6" t="inlineStr">
        <is>
          <t>zinc</t>
        </is>
      </c>
      <c r="C224" s="6" t="inlineStr">
        <is>
          <t>E1 Mena/concentrado</t>
        </is>
      </c>
      <c r="D224" s="6" t="inlineStr">
        <is>
          <t>X</t>
        </is>
      </c>
      <c r="E224" s="6" t="n">
        <v>69328000</v>
      </c>
    </row>
    <row r="225">
      <c r="A225" s="9" t="n">
        <v>1995</v>
      </c>
      <c r="B225" s="9" t="inlineStr">
        <is>
          <t>zinc</t>
        </is>
      </c>
      <c r="C225" s="9" t="inlineStr">
        <is>
          <t>E2 Metal en bruto/refinado</t>
        </is>
      </c>
      <c r="D225" s="9" t="inlineStr">
        <is>
          <t>M</t>
        </is>
      </c>
      <c r="E225" s="9" t="n">
        <v>364000</v>
      </c>
    </row>
    <row r="226">
      <c r="A226" s="6" t="n">
        <v>1995</v>
      </c>
      <c r="B226" s="6" t="inlineStr">
        <is>
          <t>zinc</t>
        </is>
      </c>
      <c r="C226" s="6" t="inlineStr">
        <is>
          <t>E2 Metal en bruto/refinado</t>
        </is>
      </c>
      <c r="D226" s="6" t="inlineStr">
        <is>
          <t>X</t>
        </is>
      </c>
      <c r="E226" s="6" t="n">
        <v>101060000</v>
      </c>
    </row>
    <row r="227">
      <c r="A227" s="9" t="n">
        <v>1995</v>
      </c>
      <c r="B227" s="9" t="inlineStr">
        <is>
          <t>zinc</t>
        </is>
      </c>
      <c r="C227" s="9" t="inlineStr">
        <is>
          <t>E3 Semimanufacturas</t>
        </is>
      </c>
      <c r="D227" s="9" t="inlineStr">
        <is>
          <t>M</t>
        </is>
      </c>
      <c r="E227" s="9" t="n">
        <v>11066000</v>
      </c>
    </row>
    <row r="228">
      <c r="A228" s="6" t="n">
        <v>1995</v>
      </c>
      <c r="B228" s="6" t="inlineStr">
        <is>
          <t>zinc</t>
        </is>
      </c>
      <c r="C228" s="6" t="inlineStr">
        <is>
          <t>E3 Semimanufacturas</t>
        </is>
      </c>
      <c r="D228" s="6" t="inlineStr">
        <is>
          <t>X</t>
        </is>
      </c>
      <c r="E228" s="6" t="n">
        <v>44670000</v>
      </c>
    </row>
    <row r="229">
      <c r="A229" s="9" t="n">
        <v>1995</v>
      </c>
      <c r="B229" s="9" t="inlineStr">
        <is>
          <t>zinc</t>
        </is>
      </c>
      <c r="C229" s="9" t="inlineStr">
        <is>
          <t>E4 Manufacturas</t>
        </is>
      </c>
      <c r="D229" s="9" t="inlineStr">
        <is>
          <t>M</t>
        </is>
      </c>
      <c r="E229" s="9" t="n">
        <v>9973000</v>
      </c>
    </row>
    <row r="230">
      <c r="A230" s="6" t="n">
        <v>1995</v>
      </c>
      <c r="B230" s="6" t="inlineStr">
        <is>
          <t>zinc</t>
        </is>
      </c>
      <c r="C230" s="6" t="inlineStr">
        <is>
          <t>E4 Manufacturas</t>
        </is>
      </c>
      <c r="D230" s="6" t="inlineStr">
        <is>
          <t>X</t>
        </is>
      </c>
      <c r="E230" s="6" t="n">
        <v>1442000</v>
      </c>
    </row>
    <row r="231">
      <c r="A231" s="9" t="n">
        <v>1996</v>
      </c>
      <c r="B231" s="9" t="inlineStr">
        <is>
          <t>barita</t>
        </is>
      </c>
      <c r="C231" s="9" t="inlineStr">
        <is>
          <t>E1 Crudo/molido</t>
        </is>
      </c>
      <c r="D231" s="9" t="inlineStr">
        <is>
          <t>M</t>
        </is>
      </c>
      <c r="E231" s="9" t="n">
        <v>1186200</v>
      </c>
    </row>
    <row r="232">
      <c r="A232" s="6" t="n">
        <v>1996</v>
      </c>
      <c r="B232" s="6" t="inlineStr">
        <is>
          <t>barita</t>
        </is>
      </c>
      <c r="C232" s="6" t="inlineStr">
        <is>
          <t>E1 Crudo/molido</t>
        </is>
      </c>
      <c r="D232" s="6" t="inlineStr">
        <is>
          <t>X</t>
        </is>
      </c>
      <c r="E232" s="6" t="n">
        <v>7762014</v>
      </c>
    </row>
    <row r="233">
      <c r="A233" s="9" t="n">
        <v>1996</v>
      </c>
      <c r="B233" s="9" t="inlineStr">
        <is>
          <t>barita</t>
        </is>
      </c>
      <c r="C233" s="9" t="inlineStr">
        <is>
          <t>E2 Quimicos de bario</t>
        </is>
      </c>
      <c r="D233" s="9" t="inlineStr">
        <is>
          <t>M</t>
        </is>
      </c>
      <c r="E233" s="9" t="n">
        <v>966392</v>
      </c>
    </row>
    <row r="234">
      <c r="A234" s="6" t="n">
        <v>1996</v>
      </c>
      <c r="B234" s="6" t="inlineStr">
        <is>
          <t>barita</t>
        </is>
      </c>
      <c r="C234" s="6" t="inlineStr">
        <is>
          <t>E2 Quimicos de bario</t>
        </is>
      </c>
      <c r="D234" s="6" t="inlineStr">
        <is>
          <t>X</t>
        </is>
      </c>
      <c r="E234" s="6" t="n">
        <v>5337880</v>
      </c>
    </row>
    <row r="235">
      <c r="A235" s="9" t="n">
        <v>1996</v>
      </c>
      <c r="B235" s="9" t="inlineStr">
        <is>
          <t>cobre</t>
        </is>
      </c>
      <c r="C235" s="9" t="inlineStr">
        <is>
          <t>E1 Mena/concentrado</t>
        </is>
      </c>
      <c r="D235" s="9" t="inlineStr">
        <is>
          <t>M</t>
        </is>
      </c>
      <c r="E235" s="9" t="n">
        <v>9210064</v>
      </c>
    </row>
    <row r="236">
      <c r="A236" s="6" t="n">
        <v>1996</v>
      </c>
      <c r="B236" s="6" t="inlineStr">
        <is>
          <t>cobre</t>
        </is>
      </c>
      <c r="C236" s="6" t="inlineStr">
        <is>
          <t>E1 Mena/concentrado</t>
        </is>
      </c>
      <c r="D236" s="6" t="inlineStr">
        <is>
          <t>X</t>
        </is>
      </c>
      <c r="E236" s="6" t="n">
        <v>15994984</v>
      </c>
    </row>
    <row r="237">
      <c r="A237" s="9" t="n">
        <v>1996</v>
      </c>
      <c r="B237" s="9" t="inlineStr">
        <is>
          <t>cobre</t>
        </is>
      </c>
      <c r="C237" s="9" t="inlineStr">
        <is>
          <t>E2 Metal en bruto/refinado</t>
        </is>
      </c>
      <c r="D237" s="9" t="inlineStr">
        <is>
          <t>M</t>
        </is>
      </c>
      <c r="E237" s="9" t="n">
        <v>124146544</v>
      </c>
    </row>
    <row r="238">
      <c r="A238" s="6" t="n">
        <v>1996</v>
      </c>
      <c r="B238" s="6" t="inlineStr">
        <is>
          <t>cobre</t>
        </is>
      </c>
      <c r="C238" s="6" t="inlineStr">
        <is>
          <t>E2 Metal en bruto/refinado</t>
        </is>
      </c>
      <c r="D238" s="6" t="inlineStr">
        <is>
          <t>X</t>
        </is>
      </c>
      <c r="E238" s="6" t="n">
        <v>394431403</v>
      </c>
    </row>
    <row r="239">
      <c r="A239" s="9" t="n">
        <v>1996</v>
      </c>
      <c r="B239" s="9" t="inlineStr">
        <is>
          <t>cobre</t>
        </is>
      </c>
      <c r="C239" s="9" t="inlineStr">
        <is>
          <t>E3 Semimanufacturas</t>
        </is>
      </c>
      <c r="D239" s="9" t="inlineStr">
        <is>
          <t>M</t>
        </is>
      </c>
      <c r="E239" s="9" t="n">
        <v>314257791</v>
      </c>
    </row>
    <row r="240">
      <c r="A240" s="6" t="n">
        <v>1996</v>
      </c>
      <c r="B240" s="6" t="inlineStr">
        <is>
          <t>cobre</t>
        </is>
      </c>
      <c r="C240" s="6" t="inlineStr">
        <is>
          <t>E3 Semimanufacturas</t>
        </is>
      </c>
      <c r="D240" s="6" t="inlineStr">
        <is>
          <t>X</t>
        </is>
      </c>
      <c r="E240" s="6" t="n">
        <v>201636897</v>
      </c>
    </row>
    <row r="241">
      <c r="A241" s="9" t="n">
        <v>1996</v>
      </c>
      <c r="B241" s="9" t="inlineStr">
        <is>
          <t>cobre</t>
        </is>
      </c>
      <c r="C241" s="9" t="inlineStr">
        <is>
          <t>E4 Manufacturas</t>
        </is>
      </c>
      <c r="D241" s="9" t="inlineStr">
        <is>
          <t>M</t>
        </is>
      </c>
      <c r="E241" s="9" t="n">
        <v>385171708</v>
      </c>
    </row>
    <row r="242">
      <c r="A242" s="6" t="n">
        <v>1996</v>
      </c>
      <c r="B242" s="6" t="inlineStr">
        <is>
          <t>cobre</t>
        </is>
      </c>
      <c r="C242" s="6" t="inlineStr">
        <is>
          <t>E4 Manufacturas</t>
        </is>
      </c>
      <c r="D242" s="6" t="inlineStr">
        <is>
          <t>X</t>
        </is>
      </c>
      <c r="E242" s="6" t="n">
        <v>37774017</v>
      </c>
    </row>
    <row r="243">
      <c r="A243" s="9" t="n">
        <v>1996</v>
      </c>
      <c r="B243" s="9" t="inlineStr">
        <is>
          <t>fluorita</t>
        </is>
      </c>
      <c r="C243" s="9" t="inlineStr">
        <is>
          <t>E1 Espato fluor (crudo)</t>
        </is>
      </c>
      <c r="D243" s="9" t="inlineStr">
        <is>
          <t>M</t>
        </is>
      </c>
      <c r="E243" s="9" t="n">
        <v>11029607</v>
      </c>
    </row>
    <row r="244">
      <c r="A244" s="6" t="n">
        <v>1996</v>
      </c>
      <c r="B244" s="6" t="inlineStr">
        <is>
          <t>fluorita</t>
        </is>
      </c>
      <c r="C244" s="6" t="inlineStr">
        <is>
          <t>E1 Espato fluor (crudo)</t>
        </is>
      </c>
      <c r="D244" s="6" t="inlineStr">
        <is>
          <t>X</t>
        </is>
      </c>
      <c r="E244" s="6" t="n">
        <v>20073116</v>
      </c>
    </row>
    <row r="245">
      <c r="A245" s="9" t="n">
        <v>1996</v>
      </c>
      <c r="B245" s="9" t="inlineStr">
        <is>
          <t>fluorita</t>
        </is>
      </c>
      <c r="C245" s="9" t="inlineStr">
        <is>
          <t>E2 Fluoroquimica</t>
        </is>
      </c>
      <c r="D245" s="9" t="inlineStr">
        <is>
          <t>M</t>
        </is>
      </c>
      <c r="E245" s="9" t="n">
        <v>7674898</v>
      </c>
    </row>
    <row r="246">
      <c r="A246" s="6" t="n">
        <v>1996</v>
      </c>
      <c r="B246" s="6" t="inlineStr">
        <is>
          <t>fluorita</t>
        </is>
      </c>
      <c r="C246" s="6" t="inlineStr">
        <is>
          <t>E2 Fluoroquimica</t>
        </is>
      </c>
      <c r="D246" s="6" t="inlineStr">
        <is>
          <t>X</t>
        </is>
      </c>
      <c r="E246" s="6" t="n">
        <v>117694927</v>
      </c>
    </row>
    <row r="247">
      <c r="A247" s="9" t="n">
        <v>1996</v>
      </c>
      <c r="B247" s="9" t="inlineStr">
        <is>
          <t>grafito</t>
        </is>
      </c>
      <c r="C247" s="9" t="inlineStr">
        <is>
          <t>E1 Grafito natural</t>
        </is>
      </c>
      <c r="D247" s="9" t="inlineStr">
        <is>
          <t>M</t>
        </is>
      </c>
      <c r="E247" s="9" t="n">
        <v>3979502</v>
      </c>
    </row>
    <row r="248">
      <c r="A248" s="6" t="n">
        <v>1996</v>
      </c>
      <c r="B248" s="6" t="inlineStr">
        <is>
          <t>grafito</t>
        </is>
      </c>
      <c r="C248" s="6" t="inlineStr">
        <is>
          <t>E1 Grafito natural</t>
        </is>
      </c>
      <c r="D248" s="6" t="inlineStr">
        <is>
          <t>X</t>
        </is>
      </c>
      <c r="E248" s="6" t="n">
        <v>2075280</v>
      </c>
    </row>
    <row r="249">
      <c r="A249" s="9" t="n">
        <v>1996</v>
      </c>
      <c r="B249" s="9" t="inlineStr">
        <is>
          <t>grafito</t>
        </is>
      </c>
      <c r="C249" s="9" t="inlineStr">
        <is>
          <t>E2 Grafito artificial/prep.</t>
        </is>
      </c>
      <c r="D249" s="9" t="inlineStr">
        <is>
          <t>M</t>
        </is>
      </c>
      <c r="E249" s="9" t="n">
        <v>14616611</v>
      </c>
    </row>
    <row r="250">
      <c r="A250" s="6" t="n">
        <v>1996</v>
      </c>
      <c r="B250" s="6" t="inlineStr">
        <is>
          <t>grafito</t>
        </is>
      </c>
      <c r="C250" s="6" t="inlineStr">
        <is>
          <t>E2 Grafito artificial/prep.</t>
        </is>
      </c>
      <c r="D250" s="6" t="inlineStr">
        <is>
          <t>X</t>
        </is>
      </c>
      <c r="E250" s="6" t="n">
        <v>23634820</v>
      </c>
    </row>
    <row r="251">
      <c r="A251" s="9" t="n">
        <v>1996</v>
      </c>
      <c r="B251" s="9" t="inlineStr">
        <is>
          <t>grafito</t>
        </is>
      </c>
      <c r="C251" s="9" t="inlineStr">
        <is>
          <t>E3 Electrodos/articulos de carbono</t>
        </is>
      </c>
      <c r="D251" s="9" t="inlineStr">
        <is>
          <t>M</t>
        </is>
      </c>
      <c r="E251" s="9" t="n">
        <v>34134892</v>
      </c>
    </row>
    <row r="252">
      <c r="A252" s="6" t="n">
        <v>1996</v>
      </c>
      <c r="B252" s="6" t="inlineStr">
        <is>
          <t>grafito</t>
        </is>
      </c>
      <c r="C252" s="6" t="inlineStr">
        <is>
          <t>E3 Electrodos/articulos de carbono</t>
        </is>
      </c>
      <c r="D252" s="6" t="inlineStr">
        <is>
          <t>X</t>
        </is>
      </c>
      <c r="E252" s="6" t="n">
        <v>30584128</v>
      </c>
    </row>
    <row r="253">
      <c r="A253" s="9" t="n">
        <v>1996</v>
      </c>
      <c r="B253" s="9" t="inlineStr">
        <is>
          <t>manganeso</t>
        </is>
      </c>
      <c r="C253" s="9" t="inlineStr">
        <is>
          <t>E1 Mena/concentrado</t>
        </is>
      </c>
      <c r="D253" s="9" t="inlineStr">
        <is>
          <t>M</t>
        </is>
      </c>
      <c r="E253" s="9" t="n">
        <v>9034818</v>
      </c>
    </row>
    <row r="254">
      <c r="A254" s="6" t="n">
        <v>1996</v>
      </c>
      <c r="B254" s="6" t="inlineStr">
        <is>
          <t>manganeso</t>
        </is>
      </c>
      <c r="C254" s="6" t="inlineStr">
        <is>
          <t>E1 Mena/concentrado</t>
        </is>
      </c>
      <c r="D254" s="6" t="inlineStr">
        <is>
          <t>X</t>
        </is>
      </c>
      <c r="E254" s="6" t="n">
        <v>4363511</v>
      </c>
    </row>
    <row r="255">
      <c r="A255" s="9" t="n">
        <v>1996</v>
      </c>
      <c r="B255" s="9" t="inlineStr">
        <is>
          <t>manganeso</t>
        </is>
      </c>
      <c r="C255" s="9" t="inlineStr">
        <is>
          <t>E2 Ferroaleaciones</t>
        </is>
      </c>
      <c r="D255" s="9" t="inlineStr">
        <is>
          <t>M</t>
        </is>
      </c>
      <c r="E255" s="9" t="n">
        <v>23168942</v>
      </c>
    </row>
    <row r="256">
      <c r="A256" s="6" t="n">
        <v>1996</v>
      </c>
      <c r="B256" s="6" t="inlineStr">
        <is>
          <t>manganeso</t>
        </is>
      </c>
      <c r="C256" s="6" t="inlineStr">
        <is>
          <t>E2 Ferroaleaciones</t>
        </is>
      </c>
      <c r="D256" s="6" t="inlineStr">
        <is>
          <t>X</t>
        </is>
      </c>
      <c r="E256" s="6" t="n">
        <v>38492953</v>
      </c>
    </row>
    <row r="257">
      <c r="A257" s="9" t="n">
        <v>1996</v>
      </c>
      <c r="B257" s="9" t="inlineStr">
        <is>
          <t>manganeso</t>
        </is>
      </c>
      <c r="C257" s="9" t="inlineStr">
        <is>
          <t>E3 Quimicos/metal</t>
        </is>
      </c>
      <c r="D257" s="9" t="inlineStr">
        <is>
          <t>M</t>
        </is>
      </c>
      <c r="E257" s="9" t="n">
        <v>9114074</v>
      </c>
    </row>
    <row r="258">
      <c r="A258" s="6" t="n">
        <v>1996</v>
      </c>
      <c r="B258" s="6" t="inlineStr">
        <is>
          <t>manganeso</t>
        </is>
      </c>
      <c r="C258" s="6" t="inlineStr">
        <is>
          <t>E3 Quimicos/metal</t>
        </is>
      </c>
      <c r="D258" s="6" t="inlineStr">
        <is>
          <t>X</t>
        </is>
      </c>
      <c r="E258" s="6" t="n">
        <v>3379504</v>
      </c>
    </row>
    <row r="259">
      <c r="A259" s="9" t="n">
        <v>1996</v>
      </c>
      <c r="B259" s="9" t="inlineStr">
        <is>
          <t>oro</t>
        </is>
      </c>
      <c r="C259" s="9" t="inlineStr">
        <is>
          <t>E1 Mena/concentrado</t>
        </is>
      </c>
      <c r="D259" s="9" t="inlineStr">
        <is>
          <t>M</t>
        </is>
      </c>
      <c r="E259" s="9" t="n">
        <v>3633791</v>
      </c>
    </row>
    <row r="260">
      <c r="A260" s="6" t="n">
        <v>1996</v>
      </c>
      <c r="B260" s="6" t="inlineStr">
        <is>
          <t>oro</t>
        </is>
      </c>
      <c r="C260" s="6" t="inlineStr">
        <is>
          <t>E1 Mena/concentrado</t>
        </is>
      </c>
      <c r="D260" s="6" t="inlineStr">
        <is>
          <t>X</t>
        </is>
      </c>
      <c r="E260" s="6" t="n">
        <v>8439</v>
      </c>
    </row>
    <row r="261">
      <c r="A261" s="9" t="n">
        <v>1996</v>
      </c>
      <c r="B261" s="9" t="inlineStr">
        <is>
          <t>oro</t>
        </is>
      </c>
      <c r="C261" s="9" t="inlineStr">
        <is>
          <t>E2 Bruto/semilabrado</t>
        </is>
      </c>
      <c r="D261" s="9" t="inlineStr">
        <is>
          <t>M</t>
        </is>
      </c>
      <c r="E261" s="9" t="n">
        <v>71577960</v>
      </c>
    </row>
    <row r="262">
      <c r="A262" s="6" t="n">
        <v>1996</v>
      </c>
      <c r="B262" s="6" t="inlineStr">
        <is>
          <t>oro</t>
        </is>
      </c>
      <c r="C262" s="6" t="inlineStr">
        <is>
          <t>E2 Bruto/semilabrado</t>
        </is>
      </c>
      <c r="D262" s="6" t="inlineStr">
        <is>
          <t>X</t>
        </is>
      </c>
      <c r="E262" s="6" t="n">
        <v>234996432</v>
      </c>
    </row>
    <row r="263">
      <c r="A263" s="9" t="n">
        <v>1996</v>
      </c>
      <c r="B263" s="9" t="inlineStr">
        <is>
          <t>oro-plata (manufacturas)</t>
        </is>
      </c>
      <c r="C263" s="9" t="inlineStr">
        <is>
          <t>E4 Joyeria/orfebreria</t>
        </is>
      </c>
      <c r="D263" s="9" t="inlineStr">
        <is>
          <t>M</t>
        </is>
      </c>
      <c r="E263" s="9" t="n">
        <v>67785305</v>
      </c>
    </row>
    <row r="264">
      <c r="A264" s="6" t="n">
        <v>1996</v>
      </c>
      <c r="B264" s="6" t="inlineStr">
        <is>
          <t>oro-plata (manufacturas)</t>
        </is>
      </c>
      <c r="C264" s="6" t="inlineStr">
        <is>
          <t>E4 Joyeria/orfebreria</t>
        </is>
      </c>
      <c r="D264" s="6" t="inlineStr">
        <is>
          <t>X</t>
        </is>
      </c>
      <c r="E264" s="6" t="n">
        <v>162060646</v>
      </c>
    </row>
    <row r="265">
      <c r="A265" s="9" t="n">
        <v>1996</v>
      </c>
      <c r="B265" s="9" t="inlineStr">
        <is>
          <t>plata</t>
        </is>
      </c>
      <c r="C265" s="9" t="inlineStr">
        <is>
          <t>E1 Mena/concentrado</t>
        </is>
      </c>
      <c r="D265" s="9" t="inlineStr">
        <is>
          <t>M</t>
        </is>
      </c>
      <c r="E265" s="9" t="n">
        <v>939</v>
      </c>
    </row>
    <row r="266">
      <c r="A266" s="6" t="n">
        <v>1996</v>
      </c>
      <c r="B266" s="6" t="inlineStr">
        <is>
          <t>plata</t>
        </is>
      </c>
      <c r="C266" s="6" t="inlineStr">
        <is>
          <t>E1 Mena/concentrado</t>
        </is>
      </c>
      <c r="D266" s="6" t="inlineStr">
        <is>
          <t>X</t>
        </is>
      </c>
      <c r="E266" s="6" t="n">
        <v>17565200</v>
      </c>
    </row>
    <row r="267">
      <c r="A267" s="9" t="n">
        <v>1996</v>
      </c>
      <c r="B267" s="9" t="inlineStr">
        <is>
          <t>plata</t>
        </is>
      </c>
      <c r="C267" s="9" t="inlineStr">
        <is>
          <t>E2 Bruto/semilabrado</t>
        </is>
      </c>
      <c r="D267" s="9" t="inlineStr">
        <is>
          <t>M</t>
        </is>
      </c>
      <c r="E267" s="9" t="n">
        <v>7820642</v>
      </c>
    </row>
    <row r="268">
      <c r="A268" s="6" t="n">
        <v>1996</v>
      </c>
      <c r="B268" s="6" t="inlineStr">
        <is>
          <t>plata</t>
        </is>
      </c>
      <c r="C268" s="6" t="inlineStr">
        <is>
          <t>E2 Bruto/semilabrado</t>
        </is>
      </c>
      <c r="D268" s="6" t="inlineStr">
        <is>
          <t>X</t>
        </is>
      </c>
      <c r="E268" s="6" t="n">
        <v>327489376</v>
      </c>
    </row>
    <row r="269">
      <c r="A269" s="9" t="n">
        <v>1996</v>
      </c>
      <c r="B269" s="9" t="inlineStr">
        <is>
          <t>plomo</t>
        </is>
      </c>
      <c r="C269" s="9" t="inlineStr">
        <is>
          <t>E1 Mena/concentrado</t>
        </is>
      </c>
      <c r="D269" s="9" t="inlineStr">
        <is>
          <t>M</t>
        </is>
      </c>
      <c r="E269" s="9" t="n">
        <v>26420036</v>
      </c>
    </row>
    <row r="270">
      <c r="A270" s="6" t="n">
        <v>1996</v>
      </c>
      <c r="B270" s="6" t="inlineStr">
        <is>
          <t>plomo</t>
        </is>
      </c>
      <c r="C270" s="6" t="inlineStr">
        <is>
          <t>E1 Mena/concentrado</t>
        </is>
      </c>
      <c r="D270" s="6" t="inlineStr">
        <is>
          <t>X</t>
        </is>
      </c>
      <c r="E270" s="6" t="n">
        <v>14091348</v>
      </c>
    </row>
    <row r="271">
      <c r="A271" s="9" t="n">
        <v>1996</v>
      </c>
      <c r="B271" s="9" t="inlineStr">
        <is>
          <t>plomo</t>
        </is>
      </c>
      <c r="C271" s="9" t="inlineStr">
        <is>
          <t>E2 Metal en bruto/refinado</t>
        </is>
      </c>
      <c r="D271" s="9" t="inlineStr">
        <is>
          <t>M</t>
        </is>
      </c>
      <c r="E271" s="9" t="n">
        <v>32644092</v>
      </c>
    </row>
    <row r="272">
      <c r="A272" s="6" t="n">
        <v>1996</v>
      </c>
      <c r="B272" s="6" t="inlineStr">
        <is>
          <t>plomo</t>
        </is>
      </c>
      <c r="C272" s="6" t="inlineStr">
        <is>
          <t>E2 Metal en bruto/refinado</t>
        </is>
      </c>
      <c r="D272" s="6" t="inlineStr">
        <is>
          <t>X</t>
        </is>
      </c>
      <c r="E272" s="6" t="n">
        <v>63825756</v>
      </c>
    </row>
    <row r="273">
      <c r="A273" s="9" t="n">
        <v>1996</v>
      </c>
      <c r="B273" s="9" t="inlineStr">
        <is>
          <t>plomo</t>
        </is>
      </c>
      <c r="C273" s="9" t="inlineStr">
        <is>
          <t>E3 Semimanufacturas</t>
        </is>
      </c>
      <c r="D273" s="9" t="inlineStr">
        <is>
          <t>M</t>
        </is>
      </c>
      <c r="E273" s="9" t="n">
        <v>2941619</v>
      </c>
    </row>
    <row r="274">
      <c r="A274" s="6" t="n">
        <v>1996</v>
      </c>
      <c r="B274" s="6" t="inlineStr">
        <is>
          <t>plomo</t>
        </is>
      </c>
      <c r="C274" s="6" t="inlineStr">
        <is>
          <t>E3 Semimanufacturas</t>
        </is>
      </c>
      <c r="D274" s="6" t="inlineStr">
        <is>
          <t>X</t>
        </is>
      </c>
      <c r="E274" s="6" t="n">
        <v>2851419</v>
      </c>
    </row>
    <row r="275">
      <c r="A275" s="9" t="n">
        <v>1996</v>
      </c>
      <c r="B275" s="9" t="inlineStr">
        <is>
          <t>plomo</t>
        </is>
      </c>
      <c r="C275" s="9" t="inlineStr">
        <is>
          <t>E4 Manufacturas</t>
        </is>
      </c>
      <c r="D275" s="9" t="inlineStr">
        <is>
          <t>M</t>
        </is>
      </c>
      <c r="E275" s="9" t="n">
        <v>11137910</v>
      </c>
    </row>
    <row r="276">
      <c r="A276" s="6" t="n">
        <v>1996</v>
      </c>
      <c r="B276" s="6" t="inlineStr">
        <is>
          <t>plomo</t>
        </is>
      </c>
      <c r="C276" s="6" t="inlineStr">
        <is>
          <t>E4 Manufacturas</t>
        </is>
      </c>
      <c r="D276" s="6" t="inlineStr">
        <is>
          <t>X</t>
        </is>
      </c>
      <c r="E276" s="6" t="n">
        <v>1098677</v>
      </c>
    </row>
    <row r="277">
      <c r="A277" s="9" t="n">
        <v>1996</v>
      </c>
      <c r="B277" s="9" t="inlineStr">
        <is>
          <t>silice</t>
        </is>
      </c>
      <c r="C277" s="9" t="inlineStr">
        <is>
          <t>E1 Arena silica/cuarzo</t>
        </is>
      </c>
      <c r="D277" s="9" t="inlineStr">
        <is>
          <t>M</t>
        </is>
      </c>
      <c r="E277" s="9" t="n">
        <v>16402577</v>
      </c>
    </row>
    <row r="278">
      <c r="A278" s="6" t="n">
        <v>1996</v>
      </c>
      <c r="B278" s="6" t="inlineStr">
        <is>
          <t>silice</t>
        </is>
      </c>
      <c r="C278" s="6" t="inlineStr">
        <is>
          <t>E1 Arena silica/cuarzo</t>
        </is>
      </c>
      <c r="D278" s="6" t="inlineStr">
        <is>
          <t>X</t>
        </is>
      </c>
      <c r="E278" s="6" t="n">
        <v>241041</v>
      </c>
    </row>
    <row r="279">
      <c r="A279" s="9" t="n">
        <v>1996</v>
      </c>
      <c r="B279" s="9" t="inlineStr">
        <is>
          <t>silice</t>
        </is>
      </c>
      <c r="C279" s="9" t="inlineStr">
        <is>
          <t>E2 Silicio/ferrosilicio/SiO2</t>
        </is>
      </c>
      <c r="D279" s="9" t="inlineStr">
        <is>
          <t>M</t>
        </is>
      </c>
      <c r="E279" s="9" t="n">
        <v>56073015</v>
      </c>
    </row>
    <row r="280">
      <c r="A280" s="6" t="n">
        <v>1996</v>
      </c>
      <c r="B280" s="6" t="inlineStr">
        <is>
          <t>silice</t>
        </is>
      </c>
      <c r="C280" s="6" t="inlineStr">
        <is>
          <t>E2 Silicio/ferrosilicio/SiO2</t>
        </is>
      </c>
      <c r="D280" s="6" t="inlineStr">
        <is>
          <t>X</t>
        </is>
      </c>
      <c r="E280" s="6" t="n">
        <v>787171</v>
      </c>
    </row>
    <row r="281">
      <c r="A281" s="9" t="n">
        <v>1996</v>
      </c>
      <c r="B281" s="9" t="inlineStr">
        <is>
          <t>zinc</t>
        </is>
      </c>
      <c r="C281" s="9" t="inlineStr">
        <is>
          <t>E1 Mena/concentrado</t>
        </is>
      </c>
      <c r="D281" s="9" t="inlineStr">
        <is>
          <t>M</t>
        </is>
      </c>
      <c r="E281" s="9" t="n">
        <v>9004</v>
      </c>
    </row>
    <row r="282">
      <c r="A282" s="6" t="n">
        <v>1996</v>
      </c>
      <c r="B282" s="6" t="inlineStr">
        <is>
          <t>zinc</t>
        </is>
      </c>
      <c r="C282" s="6" t="inlineStr">
        <is>
          <t>E1 Mena/concentrado</t>
        </is>
      </c>
      <c r="D282" s="6" t="inlineStr">
        <is>
          <t>X</t>
        </is>
      </c>
      <c r="E282" s="6" t="n">
        <v>57037052</v>
      </c>
    </row>
    <row r="283">
      <c r="A283" s="9" t="n">
        <v>1996</v>
      </c>
      <c r="B283" s="9" t="inlineStr">
        <is>
          <t>zinc</t>
        </is>
      </c>
      <c r="C283" s="9" t="inlineStr">
        <is>
          <t>E2 Metal en bruto/refinado</t>
        </is>
      </c>
      <c r="D283" s="9" t="inlineStr">
        <is>
          <t>M</t>
        </is>
      </c>
      <c r="E283" s="9" t="n">
        <v>1308278</v>
      </c>
    </row>
    <row r="284">
      <c r="A284" s="6" t="n">
        <v>1996</v>
      </c>
      <c r="B284" s="6" t="inlineStr">
        <is>
          <t>zinc</t>
        </is>
      </c>
      <c r="C284" s="6" t="inlineStr">
        <is>
          <t>E2 Metal en bruto/refinado</t>
        </is>
      </c>
      <c r="D284" s="6" t="inlineStr">
        <is>
          <t>X</t>
        </is>
      </c>
      <c r="E284" s="6" t="n">
        <v>80596768</v>
      </c>
    </row>
    <row r="285">
      <c r="A285" s="9" t="n">
        <v>1996</v>
      </c>
      <c r="B285" s="9" t="inlineStr">
        <is>
          <t>zinc</t>
        </is>
      </c>
      <c r="C285" s="9" t="inlineStr">
        <is>
          <t>E3 Semimanufacturas</t>
        </is>
      </c>
      <c r="D285" s="9" t="inlineStr">
        <is>
          <t>M</t>
        </is>
      </c>
      <c r="E285" s="9" t="n">
        <v>11729789</v>
      </c>
    </row>
    <row r="286">
      <c r="A286" s="6" t="n">
        <v>1996</v>
      </c>
      <c r="B286" s="6" t="inlineStr">
        <is>
          <t>zinc</t>
        </is>
      </c>
      <c r="C286" s="6" t="inlineStr">
        <is>
          <t>E3 Semimanufacturas</t>
        </is>
      </c>
      <c r="D286" s="6" t="inlineStr">
        <is>
          <t>X</t>
        </is>
      </c>
      <c r="E286" s="6" t="n">
        <v>40043533</v>
      </c>
    </row>
    <row r="287">
      <c r="A287" s="9" t="n">
        <v>1996</v>
      </c>
      <c r="B287" s="9" t="inlineStr">
        <is>
          <t>zinc</t>
        </is>
      </c>
      <c r="C287" s="9" t="inlineStr">
        <is>
          <t>E4 Manufacturas</t>
        </is>
      </c>
      <c r="D287" s="9" t="inlineStr">
        <is>
          <t>M</t>
        </is>
      </c>
      <c r="E287" s="9" t="n">
        <v>11911154</v>
      </c>
    </row>
    <row r="288">
      <c r="A288" s="6" t="n">
        <v>1996</v>
      </c>
      <c r="B288" s="6" t="inlineStr">
        <is>
          <t>zinc</t>
        </is>
      </c>
      <c r="C288" s="6" t="inlineStr">
        <is>
          <t>E4 Manufacturas</t>
        </is>
      </c>
      <c r="D288" s="6" t="inlineStr">
        <is>
          <t>X</t>
        </is>
      </c>
      <c r="E288" s="6" t="n">
        <v>978334</v>
      </c>
    </row>
    <row r="289">
      <c r="A289" s="9" t="n">
        <v>1997</v>
      </c>
      <c r="B289" s="9" t="inlineStr">
        <is>
          <t>barita</t>
        </is>
      </c>
      <c r="C289" s="9" t="inlineStr">
        <is>
          <t>E1 Crudo/molido</t>
        </is>
      </c>
      <c r="D289" s="9" t="inlineStr">
        <is>
          <t>M</t>
        </is>
      </c>
      <c r="E289" s="9" t="n">
        <v>7740104</v>
      </c>
    </row>
    <row r="290">
      <c r="A290" s="6" t="n">
        <v>1997</v>
      </c>
      <c r="B290" s="6" t="inlineStr">
        <is>
          <t>barita</t>
        </is>
      </c>
      <c r="C290" s="6" t="inlineStr">
        <is>
          <t>E1 Crudo/molido</t>
        </is>
      </c>
      <c r="D290" s="6" t="inlineStr">
        <is>
          <t>X</t>
        </is>
      </c>
      <c r="E290" s="6" t="n">
        <v>4439673</v>
      </c>
    </row>
    <row r="291">
      <c r="A291" s="9" t="n">
        <v>1997</v>
      </c>
      <c r="B291" s="9" t="inlineStr">
        <is>
          <t>barita</t>
        </is>
      </c>
      <c r="C291" s="9" t="inlineStr">
        <is>
          <t>E2 Quimicos de bario</t>
        </is>
      </c>
      <c r="D291" s="9" t="inlineStr">
        <is>
          <t>M</t>
        </is>
      </c>
      <c r="E291" s="9" t="n">
        <v>1329093</v>
      </c>
    </row>
    <row r="292">
      <c r="A292" s="6" t="n">
        <v>1997</v>
      </c>
      <c r="B292" s="6" t="inlineStr">
        <is>
          <t>barita</t>
        </is>
      </c>
      <c r="C292" s="6" t="inlineStr">
        <is>
          <t>E2 Quimicos de bario</t>
        </is>
      </c>
      <c r="D292" s="6" t="inlineStr">
        <is>
          <t>X</t>
        </is>
      </c>
      <c r="E292" s="6" t="n">
        <v>8189142</v>
      </c>
    </row>
    <row r="293">
      <c r="A293" s="9" t="n">
        <v>1997</v>
      </c>
      <c r="B293" s="9" t="inlineStr">
        <is>
          <t>cobre</t>
        </is>
      </c>
      <c r="C293" s="9" t="inlineStr">
        <is>
          <t>E1 Mena/concentrado</t>
        </is>
      </c>
      <c r="D293" s="9" t="inlineStr">
        <is>
          <t>M</t>
        </is>
      </c>
      <c r="E293" s="9" t="n">
        <v>71556216</v>
      </c>
    </row>
    <row r="294">
      <c r="A294" s="6" t="n">
        <v>1997</v>
      </c>
      <c r="B294" s="6" t="inlineStr">
        <is>
          <t>cobre</t>
        </is>
      </c>
      <c r="C294" s="6" t="inlineStr">
        <is>
          <t>E1 Mena/concentrado</t>
        </is>
      </c>
      <c r="D294" s="6" t="inlineStr">
        <is>
          <t>X</t>
        </is>
      </c>
      <c r="E294" s="6" t="n">
        <v>18588480</v>
      </c>
    </row>
    <row r="295">
      <c r="A295" s="9" t="n">
        <v>1997</v>
      </c>
      <c r="B295" s="9" t="inlineStr">
        <is>
          <t>cobre</t>
        </is>
      </c>
      <c r="C295" s="9" t="inlineStr">
        <is>
          <t>E2 Metal en bruto/refinado</t>
        </is>
      </c>
      <c r="D295" s="9" t="inlineStr">
        <is>
          <t>M</t>
        </is>
      </c>
      <c r="E295" s="9" t="n">
        <v>192268946</v>
      </c>
    </row>
    <row r="296">
      <c r="A296" s="6" t="n">
        <v>1997</v>
      </c>
      <c r="B296" s="6" t="inlineStr">
        <is>
          <t>cobre</t>
        </is>
      </c>
      <c r="C296" s="6" t="inlineStr">
        <is>
          <t>E2 Metal en bruto/refinado</t>
        </is>
      </c>
      <c r="D296" s="6" t="inlineStr">
        <is>
          <t>X</t>
        </is>
      </c>
      <c r="E296" s="6" t="n">
        <v>508233791</v>
      </c>
    </row>
    <row r="297">
      <c r="A297" s="9" t="n">
        <v>1997</v>
      </c>
      <c r="B297" s="9" t="inlineStr">
        <is>
          <t>cobre</t>
        </is>
      </c>
      <c r="C297" s="9" t="inlineStr">
        <is>
          <t>E3 Semimanufacturas</t>
        </is>
      </c>
      <c r="D297" s="9" t="inlineStr">
        <is>
          <t>M</t>
        </is>
      </c>
      <c r="E297" s="9" t="n">
        <v>358012914</v>
      </c>
    </row>
    <row r="298">
      <c r="A298" s="6" t="n">
        <v>1997</v>
      </c>
      <c r="B298" s="6" t="inlineStr">
        <is>
          <t>cobre</t>
        </is>
      </c>
      <c r="C298" s="6" t="inlineStr">
        <is>
          <t>E3 Semimanufacturas</t>
        </is>
      </c>
      <c r="D298" s="6" t="inlineStr">
        <is>
          <t>X</t>
        </is>
      </c>
      <c r="E298" s="6" t="n">
        <v>144051405</v>
      </c>
    </row>
    <row r="299">
      <c r="A299" s="9" t="n">
        <v>1997</v>
      </c>
      <c r="B299" s="9" t="inlineStr">
        <is>
          <t>cobre</t>
        </is>
      </c>
      <c r="C299" s="9" t="inlineStr">
        <is>
          <t>E4 Manufacturas</t>
        </is>
      </c>
      <c r="D299" s="9" t="inlineStr">
        <is>
          <t>M</t>
        </is>
      </c>
      <c r="E299" s="9" t="n">
        <v>394298853</v>
      </c>
    </row>
    <row r="300">
      <c r="A300" s="6" t="n">
        <v>1997</v>
      </c>
      <c r="B300" s="6" t="inlineStr">
        <is>
          <t>cobre</t>
        </is>
      </c>
      <c r="C300" s="6" t="inlineStr">
        <is>
          <t>E4 Manufacturas</t>
        </is>
      </c>
      <c r="D300" s="6" t="inlineStr">
        <is>
          <t>X</t>
        </is>
      </c>
      <c r="E300" s="6" t="n">
        <v>72261513</v>
      </c>
    </row>
    <row r="301">
      <c r="A301" s="9" t="n">
        <v>1997</v>
      </c>
      <c r="B301" s="9" t="inlineStr">
        <is>
          <t>fluorita</t>
        </is>
      </c>
      <c r="C301" s="9" t="inlineStr">
        <is>
          <t>E1 Espato fluor (crudo)</t>
        </is>
      </c>
      <c r="D301" s="9" t="inlineStr">
        <is>
          <t>M</t>
        </is>
      </c>
      <c r="E301" s="9" t="n">
        <v>862890</v>
      </c>
    </row>
    <row r="302">
      <c r="A302" s="6" t="n">
        <v>1997</v>
      </c>
      <c r="B302" s="6" t="inlineStr">
        <is>
          <t>fluorita</t>
        </is>
      </c>
      <c r="C302" s="6" t="inlineStr">
        <is>
          <t>E1 Espato fluor (crudo)</t>
        </is>
      </c>
      <c r="D302" s="6" t="inlineStr">
        <is>
          <t>X</t>
        </is>
      </c>
      <c r="E302" s="6" t="n">
        <v>23322192</v>
      </c>
    </row>
    <row r="303">
      <c r="A303" s="9" t="n">
        <v>1997</v>
      </c>
      <c r="B303" s="9" t="inlineStr">
        <is>
          <t>fluorita</t>
        </is>
      </c>
      <c r="C303" s="9" t="inlineStr">
        <is>
          <t>E2 Fluoroquimica</t>
        </is>
      </c>
      <c r="D303" s="9" t="inlineStr">
        <is>
          <t>M</t>
        </is>
      </c>
      <c r="E303" s="9" t="n">
        <v>6522555</v>
      </c>
    </row>
    <row r="304">
      <c r="A304" s="6" t="n">
        <v>1997</v>
      </c>
      <c r="B304" s="6" t="inlineStr">
        <is>
          <t>fluorita</t>
        </is>
      </c>
      <c r="C304" s="6" t="inlineStr">
        <is>
          <t>E2 Fluoroquimica</t>
        </is>
      </c>
      <c r="D304" s="6" t="inlineStr">
        <is>
          <t>X</t>
        </is>
      </c>
      <c r="E304" s="6" t="n">
        <v>115420620</v>
      </c>
    </row>
    <row r="305">
      <c r="A305" s="9" t="n">
        <v>1997</v>
      </c>
      <c r="B305" s="9" t="inlineStr">
        <is>
          <t>grafito</t>
        </is>
      </c>
      <c r="C305" s="9" t="inlineStr">
        <is>
          <t>E1 Grafito natural</t>
        </is>
      </c>
      <c r="D305" s="9" t="inlineStr">
        <is>
          <t>M</t>
        </is>
      </c>
      <c r="E305" s="9" t="n">
        <v>6252207</v>
      </c>
    </row>
    <row r="306">
      <c r="A306" s="6" t="n">
        <v>1997</v>
      </c>
      <c r="B306" s="6" t="inlineStr">
        <is>
          <t>grafito</t>
        </is>
      </c>
      <c r="C306" s="6" t="inlineStr">
        <is>
          <t>E1 Grafito natural</t>
        </is>
      </c>
      <c r="D306" s="6" t="inlineStr">
        <is>
          <t>X</t>
        </is>
      </c>
      <c r="E306" s="6" t="n">
        <v>2299340</v>
      </c>
    </row>
    <row r="307">
      <c r="A307" s="9" t="n">
        <v>1997</v>
      </c>
      <c r="B307" s="9" t="inlineStr">
        <is>
          <t>grafito</t>
        </is>
      </c>
      <c r="C307" s="9" t="inlineStr">
        <is>
          <t>E2 Grafito artificial/prep.</t>
        </is>
      </c>
      <c r="D307" s="9" t="inlineStr">
        <is>
          <t>M</t>
        </is>
      </c>
      <c r="E307" s="9" t="n">
        <v>11461433</v>
      </c>
    </row>
    <row r="308">
      <c r="A308" s="6" t="n">
        <v>1997</v>
      </c>
      <c r="B308" s="6" t="inlineStr">
        <is>
          <t>grafito</t>
        </is>
      </c>
      <c r="C308" s="6" t="inlineStr">
        <is>
          <t>E2 Grafito artificial/prep.</t>
        </is>
      </c>
      <c r="D308" s="6" t="inlineStr">
        <is>
          <t>X</t>
        </is>
      </c>
      <c r="E308" s="6" t="n">
        <v>17296612</v>
      </c>
    </row>
    <row r="309">
      <c r="A309" s="9" t="n">
        <v>1997</v>
      </c>
      <c r="B309" s="9" t="inlineStr">
        <is>
          <t>grafito</t>
        </is>
      </c>
      <c r="C309" s="9" t="inlineStr">
        <is>
          <t>E3 Electrodos/articulos de carbono</t>
        </is>
      </c>
      <c r="D309" s="9" t="inlineStr">
        <is>
          <t>M</t>
        </is>
      </c>
      <c r="E309" s="9" t="n">
        <v>77598640</v>
      </c>
    </row>
    <row r="310">
      <c r="A310" s="6" t="n">
        <v>1997</v>
      </c>
      <c r="B310" s="6" t="inlineStr">
        <is>
          <t>grafito</t>
        </is>
      </c>
      <c r="C310" s="6" t="inlineStr">
        <is>
          <t>E3 Electrodos/articulos de carbono</t>
        </is>
      </c>
      <c r="D310" s="6" t="inlineStr">
        <is>
          <t>X</t>
        </is>
      </c>
      <c r="E310" s="6" t="n">
        <v>53374328</v>
      </c>
    </row>
    <row r="311">
      <c r="A311" s="9" t="n">
        <v>1997</v>
      </c>
      <c r="B311" s="9" t="inlineStr">
        <is>
          <t>manganeso</t>
        </is>
      </c>
      <c r="C311" s="9" t="inlineStr">
        <is>
          <t>E1 Mena/concentrado</t>
        </is>
      </c>
      <c r="D311" s="9" t="inlineStr">
        <is>
          <t>M</t>
        </is>
      </c>
      <c r="E311" s="9" t="n">
        <v>15531310</v>
      </c>
    </row>
    <row r="312">
      <c r="A312" s="6" t="n">
        <v>1997</v>
      </c>
      <c r="B312" s="6" t="inlineStr">
        <is>
          <t>manganeso</t>
        </is>
      </c>
      <c r="C312" s="6" t="inlineStr">
        <is>
          <t>E1 Mena/concentrado</t>
        </is>
      </c>
      <c r="D312" s="6" t="inlineStr">
        <is>
          <t>X</t>
        </is>
      </c>
      <c r="E312" s="6" t="n">
        <v>6756622</v>
      </c>
    </row>
    <row r="313">
      <c r="A313" s="9" t="n">
        <v>1997</v>
      </c>
      <c r="B313" s="9" t="inlineStr">
        <is>
          <t>manganeso</t>
        </is>
      </c>
      <c r="C313" s="9" t="inlineStr">
        <is>
          <t>E2 Ferroaleaciones</t>
        </is>
      </c>
      <c r="D313" s="9" t="inlineStr">
        <is>
          <t>M</t>
        </is>
      </c>
      <c r="E313" s="9" t="n">
        <v>19478960</v>
      </c>
    </row>
    <row r="314">
      <c r="A314" s="6" t="n">
        <v>1997</v>
      </c>
      <c r="B314" s="6" t="inlineStr">
        <is>
          <t>manganeso</t>
        </is>
      </c>
      <c r="C314" s="6" t="inlineStr">
        <is>
          <t>E2 Ferroaleaciones</t>
        </is>
      </c>
      <c r="D314" s="6" t="inlineStr">
        <is>
          <t>X</t>
        </is>
      </c>
      <c r="E314" s="6" t="n">
        <v>50073152</v>
      </c>
    </row>
    <row r="315">
      <c r="A315" s="9" t="n">
        <v>1997</v>
      </c>
      <c r="B315" s="9" t="inlineStr">
        <is>
          <t>manganeso</t>
        </is>
      </c>
      <c r="C315" s="9" t="inlineStr">
        <is>
          <t>E3 Quimicos/metal</t>
        </is>
      </c>
      <c r="D315" s="9" t="inlineStr">
        <is>
          <t>M</t>
        </is>
      </c>
      <c r="E315" s="9" t="n">
        <v>11544204</v>
      </c>
    </row>
    <row r="316">
      <c r="A316" s="6" t="n">
        <v>1997</v>
      </c>
      <c r="B316" s="6" t="inlineStr">
        <is>
          <t>manganeso</t>
        </is>
      </c>
      <c r="C316" s="6" t="inlineStr">
        <is>
          <t>E3 Quimicos/metal</t>
        </is>
      </c>
      <c r="D316" s="6" t="inlineStr">
        <is>
          <t>X</t>
        </is>
      </c>
      <c r="E316" s="6" t="n">
        <v>4913882</v>
      </c>
    </row>
    <row r="317">
      <c r="A317" s="9" t="n">
        <v>1997</v>
      </c>
      <c r="B317" s="9" t="inlineStr">
        <is>
          <t>oro</t>
        </is>
      </c>
      <c r="C317" s="9" t="inlineStr">
        <is>
          <t>E1 Mena/concentrado</t>
        </is>
      </c>
      <c r="D317" s="9" t="inlineStr">
        <is>
          <t>M</t>
        </is>
      </c>
      <c r="E317" s="9" t="n">
        <v>89</v>
      </c>
    </row>
    <row r="318">
      <c r="A318" s="6" t="n">
        <v>1997</v>
      </c>
      <c r="B318" s="6" t="inlineStr">
        <is>
          <t>oro</t>
        </is>
      </c>
      <c r="C318" s="6" t="inlineStr">
        <is>
          <t>E1 Mena/concentrado</t>
        </is>
      </c>
      <c r="D318" s="6" t="inlineStr">
        <is>
          <t>X</t>
        </is>
      </c>
      <c r="E318" s="6" t="n">
        <v>2865503</v>
      </c>
    </row>
    <row r="319">
      <c r="A319" s="9" t="n">
        <v>1997</v>
      </c>
      <c r="B319" s="9" t="inlineStr">
        <is>
          <t>oro</t>
        </is>
      </c>
      <c r="C319" s="9" t="inlineStr">
        <is>
          <t>E2 Bruto/semilabrado</t>
        </is>
      </c>
      <c r="D319" s="9" t="inlineStr">
        <is>
          <t>M</t>
        </is>
      </c>
      <c r="E319" s="9" t="n">
        <v>132854040</v>
      </c>
    </row>
    <row r="320">
      <c r="A320" s="6" t="n">
        <v>1997</v>
      </c>
      <c r="B320" s="6" t="inlineStr">
        <is>
          <t>oro</t>
        </is>
      </c>
      <c r="C320" s="6" t="inlineStr">
        <is>
          <t>E2 Bruto/semilabrado</t>
        </is>
      </c>
      <c r="D320" s="6" t="inlineStr">
        <is>
          <t>X</t>
        </is>
      </c>
      <c r="E320" s="6" t="n">
        <v>132110312</v>
      </c>
    </row>
    <row r="321">
      <c r="A321" s="9" t="n">
        <v>1997</v>
      </c>
      <c r="B321" s="9" t="inlineStr">
        <is>
          <t>oro-plata (manufacturas)</t>
        </is>
      </c>
      <c r="C321" s="9" t="inlineStr">
        <is>
          <t>E4 Joyeria/orfebreria</t>
        </is>
      </c>
      <c r="D321" s="9" t="inlineStr">
        <is>
          <t>M</t>
        </is>
      </c>
      <c r="E321" s="9" t="n">
        <v>88313319</v>
      </c>
    </row>
    <row r="322">
      <c r="A322" s="6" t="n">
        <v>1997</v>
      </c>
      <c r="B322" s="6" t="inlineStr">
        <is>
          <t>oro-plata (manufacturas)</t>
        </is>
      </c>
      <c r="C322" s="6" t="inlineStr">
        <is>
          <t>E4 Joyeria/orfebreria</t>
        </is>
      </c>
      <c r="D322" s="6" t="inlineStr">
        <is>
          <t>X</t>
        </is>
      </c>
      <c r="E322" s="6" t="n">
        <v>262748067</v>
      </c>
    </row>
    <row r="323">
      <c r="A323" s="9" t="n">
        <v>1997</v>
      </c>
      <c r="B323" s="9" t="inlineStr">
        <is>
          <t>plata</t>
        </is>
      </c>
      <c r="C323" s="9" t="inlineStr">
        <is>
          <t>E1 Mena/concentrado</t>
        </is>
      </c>
      <c r="D323" s="9" t="inlineStr">
        <is>
          <t>M</t>
        </is>
      </c>
      <c r="E323" s="9" t="n">
        <v>4747</v>
      </c>
    </row>
    <row r="324">
      <c r="A324" s="6" t="n">
        <v>1997</v>
      </c>
      <c r="B324" s="6" t="inlineStr">
        <is>
          <t>plata</t>
        </is>
      </c>
      <c r="C324" s="6" t="inlineStr">
        <is>
          <t>E1 Mena/concentrado</t>
        </is>
      </c>
      <c r="D324" s="6" t="inlineStr">
        <is>
          <t>X</t>
        </is>
      </c>
      <c r="E324" s="6" t="n">
        <v>232354</v>
      </c>
    </row>
    <row r="325">
      <c r="A325" s="9" t="n">
        <v>1997</v>
      </c>
      <c r="B325" s="9" t="inlineStr">
        <is>
          <t>plata</t>
        </is>
      </c>
      <c r="C325" s="9" t="inlineStr">
        <is>
          <t>E2 Bruto/semilabrado</t>
        </is>
      </c>
      <c r="D325" s="9" t="inlineStr">
        <is>
          <t>M</t>
        </is>
      </c>
      <c r="E325" s="9" t="n">
        <v>4766381</v>
      </c>
    </row>
    <row r="326">
      <c r="A326" s="6" t="n">
        <v>1997</v>
      </c>
      <c r="B326" s="6" t="inlineStr">
        <is>
          <t>plata</t>
        </is>
      </c>
      <c r="C326" s="6" t="inlineStr">
        <is>
          <t>E2 Bruto/semilabrado</t>
        </is>
      </c>
      <c r="D326" s="6" t="inlineStr">
        <is>
          <t>X</t>
        </is>
      </c>
      <c r="E326" s="6" t="n">
        <v>322043040</v>
      </c>
    </row>
    <row r="327">
      <c r="A327" s="9" t="n">
        <v>1997</v>
      </c>
      <c r="B327" s="9" t="inlineStr">
        <is>
          <t>plomo</t>
        </is>
      </c>
      <c r="C327" s="9" t="inlineStr">
        <is>
          <t>E1 Mena/concentrado</t>
        </is>
      </c>
      <c r="D327" s="9" t="inlineStr">
        <is>
          <t>M</t>
        </is>
      </c>
      <c r="E327" s="9" t="n">
        <v>14987782</v>
      </c>
    </row>
    <row r="328">
      <c r="A328" s="6" t="n">
        <v>1997</v>
      </c>
      <c r="B328" s="6" t="inlineStr">
        <is>
          <t>plomo</t>
        </is>
      </c>
      <c r="C328" s="6" t="inlineStr">
        <is>
          <t>E1 Mena/concentrado</t>
        </is>
      </c>
      <c r="D328" s="6" t="inlineStr">
        <is>
          <t>X</t>
        </is>
      </c>
      <c r="E328" s="6" t="n">
        <v>8020893</v>
      </c>
    </row>
    <row r="329">
      <c r="A329" s="9" t="n">
        <v>1997</v>
      </c>
      <c r="B329" s="9" t="inlineStr">
        <is>
          <t>plomo</t>
        </is>
      </c>
      <c r="C329" s="9" t="inlineStr">
        <is>
          <t>E2 Metal en bruto/refinado</t>
        </is>
      </c>
      <c r="D329" s="9" t="inlineStr">
        <is>
          <t>M</t>
        </is>
      </c>
      <c r="E329" s="9" t="n">
        <v>45291044</v>
      </c>
    </row>
    <row r="330">
      <c r="A330" s="6" t="n">
        <v>1997</v>
      </c>
      <c r="B330" s="6" t="inlineStr">
        <is>
          <t>plomo</t>
        </is>
      </c>
      <c r="C330" s="6" t="inlineStr">
        <is>
          <t>E2 Metal en bruto/refinado</t>
        </is>
      </c>
      <c r="D330" s="6" t="inlineStr">
        <is>
          <t>X</t>
        </is>
      </c>
      <c r="E330" s="6" t="n">
        <v>64738484</v>
      </c>
    </row>
    <row r="331">
      <c r="A331" s="9" t="n">
        <v>1997</v>
      </c>
      <c r="B331" s="9" t="inlineStr">
        <is>
          <t>plomo</t>
        </is>
      </c>
      <c r="C331" s="9" t="inlineStr">
        <is>
          <t>E3 Semimanufacturas</t>
        </is>
      </c>
      <c r="D331" s="9" t="inlineStr">
        <is>
          <t>M</t>
        </is>
      </c>
      <c r="E331" s="9" t="n">
        <v>4498247</v>
      </c>
    </row>
    <row r="332">
      <c r="A332" s="6" t="n">
        <v>1997</v>
      </c>
      <c r="B332" s="6" t="inlineStr">
        <is>
          <t>plomo</t>
        </is>
      </c>
      <c r="C332" s="6" t="inlineStr">
        <is>
          <t>E3 Semimanufacturas</t>
        </is>
      </c>
      <c r="D332" s="6" t="inlineStr">
        <is>
          <t>X</t>
        </is>
      </c>
      <c r="E332" s="6" t="n">
        <v>5500</v>
      </c>
    </row>
    <row r="333">
      <c r="A333" s="9" t="n">
        <v>1997</v>
      </c>
      <c r="B333" s="9" t="inlineStr">
        <is>
          <t>plomo</t>
        </is>
      </c>
      <c r="C333" s="9" t="inlineStr">
        <is>
          <t>E4 Manufacturas</t>
        </is>
      </c>
      <c r="D333" s="9" t="inlineStr">
        <is>
          <t>M</t>
        </is>
      </c>
      <c r="E333" s="9" t="n">
        <v>4302514</v>
      </c>
    </row>
    <row r="334">
      <c r="A334" s="6" t="n">
        <v>1997</v>
      </c>
      <c r="B334" s="6" t="inlineStr">
        <is>
          <t>plomo</t>
        </is>
      </c>
      <c r="C334" s="6" t="inlineStr">
        <is>
          <t>E4 Manufacturas</t>
        </is>
      </c>
      <c r="D334" s="6" t="inlineStr">
        <is>
          <t>X</t>
        </is>
      </c>
      <c r="E334" s="6" t="n">
        <v>1324887</v>
      </c>
    </row>
    <row r="335">
      <c r="A335" s="9" t="n">
        <v>1997</v>
      </c>
      <c r="B335" s="9" t="inlineStr">
        <is>
          <t>silice</t>
        </is>
      </c>
      <c r="C335" s="9" t="inlineStr">
        <is>
          <t>E1 Arena silica/cuarzo</t>
        </is>
      </c>
      <c r="D335" s="9" t="inlineStr">
        <is>
          <t>M</t>
        </is>
      </c>
      <c r="E335" s="9" t="n">
        <v>30041982</v>
      </c>
    </row>
    <row r="336">
      <c r="A336" s="6" t="n">
        <v>1997</v>
      </c>
      <c r="B336" s="6" t="inlineStr">
        <is>
          <t>silice</t>
        </is>
      </c>
      <c r="C336" s="6" t="inlineStr">
        <is>
          <t>E1 Arena silica/cuarzo</t>
        </is>
      </c>
      <c r="D336" s="6" t="inlineStr">
        <is>
          <t>X</t>
        </is>
      </c>
      <c r="E336" s="6" t="n">
        <v>271128</v>
      </c>
    </row>
    <row r="337">
      <c r="A337" s="9" t="n">
        <v>1997</v>
      </c>
      <c r="B337" s="9" t="inlineStr">
        <is>
          <t>silice</t>
        </is>
      </c>
      <c r="C337" s="9" t="inlineStr">
        <is>
          <t>E2 Silicio/ferrosilicio/SiO2</t>
        </is>
      </c>
      <c r="D337" s="9" t="inlineStr">
        <is>
          <t>M</t>
        </is>
      </c>
      <c r="E337" s="9" t="n">
        <v>58669643</v>
      </c>
    </row>
    <row r="338">
      <c r="A338" s="6" t="n">
        <v>1997</v>
      </c>
      <c r="B338" s="6" t="inlineStr">
        <is>
          <t>silice</t>
        </is>
      </c>
      <c r="C338" s="6" t="inlineStr">
        <is>
          <t>E2 Silicio/ferrosilicio/SiO2</t>
        </is>
      </c>
      <c r="D338" s="6" t="inlineStr">
        <is>
          <t>X</t>
        </is>
      </c>
      <c r="E338" s="6" t="n">
        <v>2184585</v>
      </c>
    </row>
    <row r="339">
      <c r="A339" s="9" t="n">
        <v>1997</v>
      </c>
      <c r="B339" s="9" t="inlineStr">
        <is>
          <t>zinc</t>
        </is>
      </c>
      <c r="C339" s="9" t="inlineStr">
        <is>
          <t>E1 Mena/concentrado</t>
        </is>
      </c>
      <c r="D339" s="9" t="inlineStr">
        <is>
          <t>M</t>
        </is>
      </c>
      <c r="E339" s="9" t="n">
        <v>103704</v>
      </c>
    </row>
    <row r="340">
      <c r="A340" s="6" t="n">
        <v>1997</v>
      </c>
      <c r="B340" s="6" t="inlineStr">
        <is>
          <t>zinc</t>
        </is>
      </c>
      <c r="C340" s="6" t="inlineStr">
        <is>
          <t>E1 Mena/concentrado</t>
        </is>
      </c>
      <c r="D340" s="6" t="inlineStr">
        <is>
          <t>X</t>
        </is>
      </c>
      <c r="E340" s="6" t="n">
        <v>80546680</v>
      </c>
    </row>
    <row r="341">
      <c r="A341" s="9" t="n">
        <v>1997</v>
      </c>
      <c r="B341" s="9" t="inlineStr">
        <is>
          <t>zinc</t>
        </is>
      </c>
      <c r="C341" s="9" t="inlineStr">
        <is>
          <t>E2 Metal en bruto/refinado</t>
        </is>
      </c>
      <c r="D341" s="9" t="inlineStr">
        <is>
          <t>M</t>
        </is>
      </c>
      <c r="E341" s="9" t="n">
        <v>16338950</v>
      </c>
    </row>
    <row r="342">
      <c r="A342" s="6" t="n">
        <v>1997</v>
      </c>
      <c r="B342" s="6" t="inlineStr">
        <is>
          <t>zinc</t>
        </is>
      </c>
      <c r="C342" s="6" t="inlineStr">
        <is>
          <t>E2 Metal en bruto/refinado</t>
        </is>
      </c>
      <c r="D342" s="6" t="inlineStr">
        <is>
          <t>X</t>
        </is>
      </c>
      <c r="E342" s="6" t="n">
        <v>96024088</v>
      </c>
    </row>
    <row r="343">
      <c r="A343" s="9" t="n">
        <v>1997</v>
      </c>
      <c r="B343" s="9" t="inlineStr">
        <is>
          <t>zinc</t>
        </is>
      </c>
      <c r="C343" s="9" t="inlineStr">
        <is>
          <t>E3 Semimanufacturas</t>
        </is>
      </c>
      <c r="D343" s="9" t="inlineStr">
        <is>
          <t>M</t>
        </is>
      </c>
      <c r="E343" s="9" t="n">
        <v>13597789</v>
      </c>
    </row>
    <row r="344">
      <c r="A344" s="6" t="n">
        <v>1997</v>
      </c>
      <c r="B344" s="6" t="inlineStr">
        <is>
          <t>zinc</t>
        </is>
      </c>
      <c r="C344" s="6" t="inlineStr">
        <is>
          <t>E3 Semimanufacturas</t>
        </is>
      </c>
      <c r="D344" s="6" t="inlineStr">
        <is>
          <t>X</t>
        </is>
      </c>
      <c r="E344" s="6" t="n">
        <v>52258335</v>
      </c>
    </row>
    <row r="345">
      <c r="A345" s="9" t="n">
        <v>1997</v>
      </c>
      <c r="B345" s="9" t="inlineStr">
        <is>
          <t>zinc</t>
        </is>
      </c>
      <c r="C345" s="9" t="inlineStr">
        <is>
          <t>E4 Manufacturas</t>
        </is>
      </c>
      <c r="D345" s="9" t="inlineStr">
        <is>
          <t>M</t>
        </is>
      </c>
      <c r="E345" s="9" t="n">
        <v>28619460</v>
      </c>
    </row>
    <row r="346">
      <c r="A346" s="6" t="n">
        <v>1997</v>
      </c>
      <c r="B346" s="6" t="inlineStr">
        <is>
          <t>zinc</t>
        </is>
      </c>
      <c r="C346" s="6" t="inlineStr">
        <is>
          <t>E4 Manufacturas</t>
        </is>
      </c>
      <c r="D346" s="6" t="inlineStr">
        <is>
          <t>X</t>
        </is>
      </c>
      <c r="E346" s="6" t="n">
        <v>2913503</v>
      </c>
    </row>
    <row r="347">
      <c r="A347" s="9" t="n">
        <v>1998</v>
      </c>
      <c r="B347" s="9" t="inlineStr">
        <is>
          <t>barita</t>
        </is>
      </c>
      <c r="C347" s="9" t="inlineStr">
        <is>
          <t>E1 Crudo/molido</t>
        </is>
      </c>
      <c r="D347" s="9" t="inlineStr">
        <is>
          <t>M</t>
        </is>
      </c>
      <c r="E347" s="9" t="n">
        <v>2487643</v>
      </c>
    </row>
    <row r="348">
      <c r="A348" s="6" t="n">
        <v>1998</v>
      </c>
      <c r="B348" s="6" t="inlineStr">
        <is>
          <t>barita</t>
        </is>
      </c>
      <c r="C348" s="6" t="inlineStr">
        <is>
          <t>E1 Crudo/molido</t>
        </is>
      </c>
      <c r="D348" s="6" t="inlineStr">
        <is>
          <t>X</t>
        </is>
      </c>
      <c r="E348" s="6" t="n">
        <v>1469473</v>
      </c>
    </row>
    <row r="349">
      <c r="A349" s="9" t="n">
        <v>1998</v>
      </c>
      <c r="B349" s="9" t="inlineStr">
        <is>
          <t>barita</t>
        </is>
      </c>
      <c r="C349" s="9" t="inlineStr">
        <is>
          <t>E2 Quimicos de bario</t>
        </is>
      </c>
      <c r="D349" s="9" t="inlineStr">
        <is>
          <t>M</t>
        </is>
      </c>
      <c r="E349" s="9" t="n">
        <v>1068855</v>
      </c>
    </row>
    <row r="350">
      <c r="A350" s="6" t="n">
        <v>1998</v>
      </c>
      <c r="B350" s="6" t="inlineStr">
        <is>
          <t>barita</t>
        </is>
      </c>
      <c r="C350" s="6" t="inlineStr">
        <is>
          <t>E2 Quimicos de bario</t>
        </is>
      </c>
      <c r="D350" s="6" t="inlineStr">
        <is>
          <t>X</t>
        </is>
      </c>
      <c r="E350" s="6" t="n">
        <v>7457958</v>
      </c>
    </row>
    <row r="351">
      <c r="A351" s="9" t="n">
        <v>1998</v>
      </c>
      <c r="B351" s="9" t="inlineStr">
        <is>
          <t>cobre</t>
        </is>
      </c>
      <c r="C351" s="9" t="inlineStr">
        <is>
          <t>E1 Mena/concentrado</t>
        </is>
      </c>
      <c r="D351" s="9" t="inlineStr">
        <is>
          <t>M</t>
        </is>
      </c>
      <c r="E351" s="9" t="n">
        <v>47495780</v>
      </c>
    </row>
    <row r="352">
      <c r="A352" s="6" t="n">
        <v>1998</v>
      </c>
      <c r="B352" s="6" t="inlineStr">
        <is>
          <t>cobre</t>
        </is>
      </c>
      <c r="C352" s="6" t="inlineStr">
        <is>
          <t>E1 Mena/concentrado</t>
        </is>
      </c>
      <c r="D352" s="6" t="inlineStr">
        <is>
          <t>X</t>
        </is>
      </c>
      <c r="E352" s="6" t="n">
        <v>25456432</v>
      </c>
    </row>
    <row r="353">
      <c r="A353" s="9" t="n">
        <v>1998</v>
      </c>
      <c r="B353" s="9" t="inlineStr">
        <is>
          <t>cobre</t>
        </is>
      </c>
      <c r="C353" s="9" t="inlineStr">
        <is>
          <t>E2 Metal en bruto/refinado</t>
        </is>
      </c>
      <c r="D353" s="9" t="inlineStr">
        <is>
          <t>M</t>
        </is>
      </c>
      <c r="E353" s="9" t="n">
        <v>322311150</v>
      </c>
    </row>
    <row r="354">
      <c r="A354" s="6" t="n">
        <v>1998</v>
      </c>
      <c r="B354" s="6" t="inlineStr">
        <is>
          <t>cobre</t>
        </is>
      </c>
      <c r="C354" s="6" t="inlineStr">
        <is>
          <t>E2 Metal en bruto/refinado</t>
        </is>
      </c>
      <c r="D354" s="6" t="inlineStr">
        <is>
          <t>X</t>
        </is>
      </c>
      <c r="E354" s="6" t="n">
        <v>474989593</v>
      </c>
    </row>
    <row r="355">
      <c r="A355" s="9" t="n">
        <v>1998</v>
      </c>
      <c r="B355" s="9" t="inlineStr">
        <is>
          <t>cobre</t>
        </is>
      </c>
      <c r="C355" s="9" t="inlineStr">
        <is>
          <t>E3 Semimanufacturas</t>
        </is>
      </c>
      <c r="D355" s="9" t="inlineStr">
        <is>
          <t>M</t>
        </is>
      </c>
      <c r="E355" s="9" t="n">
        <v>407576832</v>
      </c>
    </row>
    <row r="356">
      <c r="A356" s="6" t="n">
        <v>1998</v>
      </c>
      <c r="B356" s="6" t="inlineStr">
        <is>
          <t>cobre</t>
        </is>
      </c>
      <c r="C356" s="6" t="inlineStr">
        <is>
          <t>E3 Semimanufacturas</t>
        </is>
      </c>
      <c r="D356" s="6" t="inlineStr">
        <is>
          <t>X</t>
        </is>
      </c>
      <c r="E356" s="6" t="n">
        <v>184281113</v>
      </c>
    </row>
    <row r="357">
      <c r="A357" s="9" t="n">
        <v>1998</v>
      </c>
      <c r="B357" s="9" t="inlineStr">
        <is>
          <t>cobre</t>
        </is>
      </c>
      <c r="C357" s="9" t="inlineStr">
        <is>
          <t>E4 Manufacturas</t>
        </is>
      </c>
      <c r="D357" s="9" t="inlineStr">
        <is>
          <t>M</t>
        </is>
      </c>
      <c r="E357" s="9" t="n">
        <v>446216625</v>
      </c>
    </row>
    <row r="358">
      <c r="A358" s="6" t="n">
        <v>1998</v>
      </c>
      <c r="B358" s="6" t="inlineStr">
        <is>
          <t>cobre</t>
        </is>
      </c>
      <c r="C358" s="6" t="inlineStr">
        <is>
          <t>E4 Manufacturas</t>
        </is>
      </c>
      <c r="D358" s="6" t="inlineStr">
        <is>
          <t>X</t>
        </is>
      </c>
      <c r="E358" s="6" t="n">
        <v>33740049</v>
      </c>
    </row>
    <row r="359">
      <c r="A359" s="9" t="n">
        <v>1998</v>
      </c>
      <c r="B359" s="9" t="inlineStr">
        <is>
          <t>fluorita</t>
        </is>
      </c>
      <c r="C359" s="9" t="inlineStr">
        <is>
          <t>E1 Espato fluor (crudo)</t>
        </is>
      </c>
      <c r="D359" s="9" t="inlineStr">
        <is>
          <t>M</t>
        </is>
      </c>
      <c r="E359" s="9" t="n">
        <v>3799935</v>
      </c>
    </row>
    <row r="360">
      <c r="A360" s="6" t="n">
        <v>1998</v>
      </c>
      <c r="B360" s="6" t="inlineStr">
        <is>
          <t>fluorita</t>
        </is>
      </c>
      <c r="C360" s="6" t="inlineStr">
        <is>
          <t>E1 Espato fluor (crudo)</t>
        </is>
      </c>
      <c r="D360" s="6" t="inlineStr">
        <is>
          <t>X</t>
        </is>
      </c>
      <c r="E360" s="6" t="n">
        <v>25967668</v>
      </c>
    </row>
    <row r="361">
      <c r="A361" s="9" t="n">
        <v>1998</v>
      </c>
      <c r="B361" s="9" t="inlineStr">
        <is>
          <t>fluorita</t>
        </is>
      </c>
      <c r="C361" s="9" t="inlineStr">
        <is>
          <t>E2 Fluoroquimica</t>
        </is>
      </c>
      <c r="D361" s="9" t="inlineStr">
        <is>
          <t>M</t>
        </is>
      </c>
      <c r="E361" s="9" t="n">
        <v>6059626</v>
      </c>
    </row>
    <row r="362">
      <c r="A362" s="6" t="n">
        <v>1998</v>
      </c>
      <c r="B362" s="6" t="inlineStr">
        <is>
          <t>fluorita</t>
        </is>
      </c>
      <c r="C362" s="6" t="inlineStr">
        <is>
          <t>E2 Fluoroquimica</t>
        </is>
      </c>
      <c r="D362" s="6" t="inlineStr">
        <is>
          <t>X</t>
        </is>
      </c>
      <c r="E362" s="6" t="n">
        <v>103997082</v>
      </c>
    </row>
    <row r="363">
      <c r="A363" s="9" t="n">
        <v>1998</v>
      </c>
      <c r="B363" s="9" t="inlineStr">
        <is>
          <t>grafito</t>
        </is>
      </c>
      <c r="C363" s="9" t="inlineStr">
        <is>
          <t>E1 Grafito natural</t>
        </is>
      </c>
      <c r="D363" s="9" t="inlineStr">
        <is>
          <t>M</t>
        </is>
      </c>
      <c r="E363" s="9" t="n">
        <v>2787792</v>
      </c>
    </row>
    <row r="364">
      <c r="A364" s="6" t="n">
        <v>1998</v>
      </c>
      <c r="B364" s="6" t="inlineStr">
        <is>
          <t>grafito</t>
        </is>
      </c>
      <c r="C364" s="6" t="inlineStr">
        <is>
          <t>E1 Grafito natural</t>
        </is>
      </c>
      <c r="D364" s="6" t="inlineStr">
        <is>
          <t>X</t>
        </is>
      </c>
      <c r="E364" s="6" t="n">
        <v>2571031</v>
      </c>
    </row>
    <row r="365">
      <c r="A365" s="9" t="n">
        <v>1998</v>
      </c>
      <c r="B365" s="9" t="inlineStr">
        <is>
          <t>grafito</t>
        </is>
      </c>
      <c r="C365" s="9" t="inlineStr">
        <is>
          <t>E2 Grafito artificial/prep.</t>
        </is>
      </c>
      <c r="D365" s="9" t="inlineStr">
        <is>
          <t>M</t>
        </is>
      </c>
      <c r="E365" s="9" t="n">
        <v>9467145</v>
      </c>
    </row>
    <row r="366">
      <c r="A366" s="6" t="n">
        <v>1998</v>
      </c>
      <c r="B366" s="6" t="inlineStr">
        <is>
          <t>grafito</t>
        </is>
      </c>
      <c r="C366" s="6" t="inlineStr">
        <is>
          <t>E2 Grafito artificial/prep.</t>
        </is>
      </c>
      <c r="D366" s="6" t="inlineStr">
        <is>
          <t>X</t>
        </is>
      </c>
      <c r="E366" s="6" t="n">
        <v>12524260</v>
      </c>
    </row>
    <row r="367">
      <c r="A367" s="9" t="n">
        <v>1998</v>
      </c>
      <c r="B367" s="9" t="inlineStr">
        <is>
          <t>grafito</t>
        </is>
      </c>
      <c r="C367" s="9" t="inlineStr">
        <is>
          <t>E3 Electrodos/articulos de carbono</t>
        </is>
      </c>
      <c r="D367" s="9" t="inlineStr">
        <is>
          <t>M</t>
        </is>
      </c>
      <c r="E367" s="9" t="n">
        <v>81837880</v>
      </c>
    </row>
    <row r="368">
      <c r="A368" s="6" t="n">
        <v>1998</v>
      </c>
      <c r="B368" s="6" t="inlineStr">
        <is>
          <t>grafito</t>
        </is>
      </c>
      <c r="C368" s="6" t="inlineStr">
        <is>
          <t>E3 Electrodos/articulos de carbono</t>
        </is>
      </c>
      <c r="D368" s="6" t="inlineStr">
        <is>
          <t>X</t>
        </is>
      </c>
      <c r="E368" s="6" t="n">
        <v>47022712</v>
      </c>
    </row>
    <row r="369">
      <c r="A369" s="9" t="n">
        <v>1998</v>
      </c>
      <c r="B369" s="9" t="inlineStr">
        <is>
          <t>manganeso</t>
        </is>
      </c>
      <c r="C369" s="9" t="inlineStr">
        <is>
          <t>E1 Mena/concentrado</t>
        </is>
      </c>
      <c r="D369" s="9" t="inlineStr">
        <is>
          <t>M</t>
        </is>
      </c>
      <c r="E369" s="9" t="n">
        <v>8119599</v>
      </c>
    </row>
    <row r="370">
      <c r="A370" s="6" t="n">
        <v>1998</v>
      </c>
      <c r="B370" s="6" t="inlineStr">
        <is>
          <t>manganeso</t>
        </is>
      </c>
      <c r="C370" s="6" t="inlineStr">
        <is>
          <t>E1 Mena/concentrado</t>
        </is>
      </c>
      <c r="D370" s="6" t="inlineStr">
        <is>
          <t>X</t>
        </is>
      </c>
      <c r="E370" s="6" t="n">
        <v>5560749</v>
      </c>
    </row>
    <row r="371">
      <c r="A371" s="9" t="n">
        <v>1998</v>
      </c>
      <c r="B371" s="9" t="inlineStr">
        <is>
          <t>manganeso</t>
        </is>
      </c>
      <c r="C371" s="9" t="inlineStr">
        <is>
          <t>E2 Ferroaleaciones</t>
        </is>
      </c>
      <c r="D371" s="9" t="inlineStr">
        <is>
          <t>M</t>
        </is>
      </c>
      <c r="E371" s="9" t="n">
        <v>22549556</v>
      </c>
    </row>
    <row r="372">
      <c r="A372" s="6" t="n">
        <v>1998</v>
      </c>
      <c r="B372" s="6" t="inlineStr">
        <is>
          <t>manganeso</t>
        </is>
      </c>
      <c r="C372" s="6" t="inlineStr">
        <is>
          <t>E2 Ferroaleaciones</t>
        </is>
      </c>
      <c r="D372" s="6" t="inlineStr">
        <is>
          <t>X</t>
        </is>
      </c>
      <c r="E372" s="6" t="n">
        <v>45119422</v>
      </c>
    </row>
    <row r="373">
      <c r="A373" s="9" t="n">
        <v>1998</v>
      </c>
      <c r="B373" s="9" t="inlineStr">
        <is>
          <t>manganeso</t>
        </is>
      </c>
      <c r="C373" s="9" t="inlineStr">
        <is>
          <t>E3 Quimicos/metal</t>
        </is>
      </c>
      <c r="D373" s="9" t="inlineStr">
        <is>
          <t>M</t>
        </is>
      </c>
      <c r="E373" s="9" t="n">
        <v>11487277</v>
      </c>
    </row>
    <row r="374">
      <c r="A374" s="6" t="n">
        <v>1998</v>
      </c>
      <c r="B374" s="6" t="inlineStr">
        <is>
          <t>manganeso</t>
        </is>
      </c>
      <c r="C374" s="6" t="inlineStr">
        <is>
          <t>E3 Quimicos/metal</t>
        </is>
      </c>
      <c r="D374" s="6" t="inlineStr">
        <is>
          <t>X</t>
        </is>
      </c>
      <c r="E374" s="6" t="n">
        <v>1281013</v>
      </c>
    </row>
    <row r="375">
      <c r="A375" s="9" t="n">
        <v>1998</v>
      </c>
      <c r="B375" s="9" t="inlineStr">
        <is>
          <t>oro</t>
        </is>
      </c>
      <c r="C375" s="9" t="inlineStr">
        <is>
          <t>E1 Mena/concentrado</t>
        </is>
      </c>
      <c r="D375" s="9" t="inlineStr">
        <is>
          <t>M</t>
        </is>
      </c>
      <c r="E375" s="9" t="n">
        <v>1766045</v>
      </c>
    </row>
    <row r="376">
      <c r="A376" s="6" t="n">
        <v>1998</v>
      </c>
      <c r="B376" s="6" t="inlineStr">
        <is>
          <t>oro</t>
        </is>
      </c>
      <c r="C376" s="6" t="inlineStr">
        <is>
          <t>E1 Mena/concentrado</t>
        </is>
      </c>
      <c r="D376" s="6" t="inlineStr">
        <is>
          <t>X</t>
        </is>
      </c>
      <c r="E376" s="6" t="n">
        <v>5512786</v>
      </c>
    </row>
    <row r="377">
      <c r="A377" s="9" t="n">
        <v>1998</v>
      </c>
      <c r="B377" s="9" t="inlineStr">
        <is>
          <t>oro</t>
        </is>
      </c>
      <c r="C377" s="9" t="inlineStr">
        <is>
          <t>E2 Bruto/semilabrado</t>
        </is>
      </c>
      <c r="D377" s="9" t="inlineStr">
        <is>
          <t>M</t>
        </is>
      </c>
      <c r="E377" s="9" t="n">
        <v>262973040</v>
      </c>
    </row>
    <row r="378">
      <c r="A378" s="6" t="n">
        <v>1998</v>
      </c>
      <c r="B378" s="6" t="inlineStr">
        <is>
          <t>oro</t>
        </is>
      </c>
      <c r="C378" s="6" t="inlineStr">
        <is>
          <t>E2 Bruto/semilabrado</t>
        </is>
      </c>
      <c r="D378" s="6" t="inlineStr">
        <is>
          <t>X</t>
        </is>
      </c>
      <c r="E378" s="6" t="n">
        <v>110741496</v>
      </c>
    </row>
    <row r="379">
      <c r="A379" s="9" t="n">
        <v>1998</v>
      </c>
      <c r="B379" s="9" t="inlineStr">
        <is>
          <t>oro-plata (manufacturas)</t>
        </is>
      </c>
      <c r="C379" s="9" t="inlineStr">
        <is>
          <t>E4 Joyeria/orfebreria</t>
        </is>
      </c>
      <c r="D379" s="9" t="inlineStr">
        <is>
          <t>M</t>
        </is>
      </c>
      <c r="E379" s="9" t="n">
        <v>265527958</v>
      </c>
    </row>
    <row r="380">
      <c r="A380" s="6" t="n">
        <v>1998</v>
      </c>
      <c r="B380" s="6" t="inlineStr">
        <is>
          <t>oro-plata (manufacturas)</t>
        </is>
      </c>
      <c r="C380" s="6" t="inlineStr">
        <is>
          <t>E4 Joyeria/orfebreria</t>
        </is>
      </c>
      <c r="D380" s="6" t="inlineStr">
        <is>
          <t>X</t>
        </is>
      </c>
      <c r="E380" s="6" t="n">
        <v>316111215</v>
      </c>
    </row>
    <row r="381">
      <c r="A381" s="9" t="n">
        <v>1998</v>
      </c>
      <c r="B381" s="9" t="inlineStr">
        <is>
          <t>plata</t>
        </is>
      </c>
      <c r="C381" s="9" t="inlineStr">
        <is>
          <t>E1 Mena/concentrado</t>
        </is>
      </c>
      <c r="D381" s="9" t="inlineStr">
        <is>
          <t>M</t>
        </is>
      </c>
      <c r="E381" s="9" t="n">
        <v>1243470</v>
      </c>
    </row>
    <row r="382">
      <c r="A382" s="6" t="n">
        <v>1998</v>
      </c>
      <c r="B382" s="6" t="inlineStr">
        <is>
          <t>plata</t>
        </is>
      </c>
      <c r="C382" s="6" t="inlineStr">
        <is>
          <t>E1 Mena/concentrado</t>
        </is>
      </c>
      <c r="D382" s="6" t="inlineStr">
        <is>
          <t>X</t>
        </is>
      </c>
      <c r="E382" s="6" t="n">
        <v>115848</v>
      </c>
    </row>
    <row r="383">
      <c r="A383" s="9" t="n">
        <v>1998</v>
      </c>
      <c r="B383" s="9" t="inlineStr">
        <is>
          <t>plata</t>
        </is>
      </c>
      <c r="C383" s="9" t="inlineStr">
        <is>
          <t>E2 Bruto/semilabrado</t>
        </is>
      </c>
      <c r="D383" s="9" t="inlineStr">
        <is>
          <t>M</t>
        </is>
      </c>
      <c r="E383" s="9" t="n">
        <v>6618087</v>
      </c>
    </row>
    <row r="384">
      <c r="A384" s="6" t="n">
        <v>1998</v>
      </c>
      <c r="B384" s="6" t="inlineStr">
        <is>
          <t>plata</t>
        </is>
      </c>
      <c r="C384" s="6" t="inlineStr">
        <is>
          <t>E2 Bruto/semilabrado</t>
        </is>
      </c>
      <c r="D384" s="6" t="inlineStr">
        <is>
          <t>X</t>
        </is>
      </c>
      <c r="E384" s="6" t="n">
        <v>425559200</v>
      </c>
    </row>
    <row r="385">
      <c r="A385" s="9" t="n">
        <v>1998</v>
      </c>
      <c r="B385" s="9" t="inlineStr">
        <is>
          <t>plomo</t>
        </is>
      </c>
      <c r="C385" s="9" t="inlineStr">
        <is>
          <t>E1 Mena/concentrado</t>
        </is>
      </c>
      <c r="D385" s="9" t="inlineStr">
        <is>
          <t>M</t>
        </is>
      </c>
      <c r="E385" s="9" t="n">
        <v>30821808</v>
      </c>
    </row>
    <row r="386">
      <c r="A386" s="6" t="n">
        <v>1998</v>
      </c>
      <c r="B386" s="6" t="inlineStr">
        <is>
          <t>plomo</t>
        </is>
      </c>
      <c r="C386" s="6" t="inlineStr">
        <is>
          <t>E1 Mena/concentrado</t>
        </is>
      </c>
      <c r="D386" s="6" t="inlineStr">
        <is>
          <t>X</t>
        </is>
      </c>
      <c r="E386" s="6" t="n">
        <v>4415557</v>
      </c>
    </row>
    <row r="387">
      <c r="A387" s="9" t="n">
        <v>1998</v>
      </c>
      <c r="B387" s="9" t="inlineStr">
        <is>
          <t>plomo</t>
        </is>
      </c>
      <c r="C387" s="9" t="inlineStr">
        <is>
          <t>E2 Metal en bruto/refinado</t>
        </is>
      </c>
      <c r="D387" s="9" t="inlineStr">
        <is>
          <t>M</t>
        </is>
      </c>
      <c r="E387" s="9" t="n">
        <v>53648224</v>
      </c>
    </row>
    <row r="388">
      <c r="A388" s="6" t="n">
        <v>1998</v>
      </c>
      <c r="B388" s="6" t="inlineStr">
        <is>
          <t>plomo</t>
        </is>
      </c>
      <c r="C388" s="6" t="inlineStr">
        <is>
          <t>E2 Metal en bruto/refinado</t>
        </is>
      </c>
      <c r="D388" s="6" t="inlineStr">
        <is>
          <t>X</t>
        </is>
      </c>
      <c r="E388" s="6" t="n">
        <v>38417544</v>
      </c>
    </row>
    <row r="389">
      <c r="A389" s="9" t="n">
        <v>1998</v>
      </c>
      <c r="B389" s="9" t="inlineStr">
        <is>
          <t>plomo</t>
        </is>
      </c>
      <c r="C389" s="9" t="inlineStr">
        <is>
          <t>E3 Semimanufacturas</t>
        </is>
      </c>
      <c r="D389" s="9" t="inlineStr">
        <is>
          <t>M</t>
        </is>
      </c>
      <c r="E389" s="9" t="n">
        <v>4102224</v>
      </c>
    </row>
    <row r="390">
      <c r="A390" s="6" t="n">
        <v>1998</v>
      </c>
      <c r="B390" s="6" t="inlineStr">
        <is>
          <t>plomo</t>
        </is>
      </c>
      <c r="C390" s="6" t="inlineStr">
        <is>
          <t>E3 Semimanufacturas</t>
        </is>
      </c>
      <c r="D390" s="6" t="inlineStr">
        <is>
          <t>X</t>
        </is>
      </c>
      <c r="E390" s="6" t="n">
        <v>4183</v>
      </c>
    </row>
    <row r="391">
      <c r="A391" s="9" t="n">
        <v>1998</v>
      </c>
      <c r="B391" s="9" t="inlineStr">
        <is>
          <t>plomo</t>
        </is>
      </c>
      <c r="C391" s="9" t="inlineStr">
        <is>
          <t>E4 Manufacturas</t>
        </is>
      </c>
      <c r="D391" s="9" t="inlineStr">
        <is>
          <t>M</t>
        </is>
      </c>
      <c r="E391" s="9" t="n">
        <v>4361741</v>
      </c>
    </row>
    <row r="392">
      <c r="A392" s="6" t="n">
        <v>1998</v>
      </c>
      <c r="B392" s="6" t="inlineStr">
        <is>
          <t>plomo</t>
        </is>
      </c>
      <c r="C392" s="6" t="inlineStr">
        <is>
          <t>E4 Manufacturas</t>
        </is>
      </c>
      <c r="D392" s="6" t="inlineStr">
        <is>
          <t>X</t>
        </is>
      </c>
      <c r="E392" s="6" t="n">
        <v>1828299</v>
      </c>
    </row>
    <row r="393">
      <c r="A393" s="9" t="n">
        <v>1998</v>
      </c>
      <c r="B393" s="9" t="inlineStr">
        <is>
          <t>silice</t>
        </is>
      </c>
      <c r="C393" s="9" t="inlineStr">
        <is>
          <t>E1 Arena silica/cuarzo</t>
        </is>
      </c>
      <c r="D393" s="9" t="inlineStr">
        <is>
          <t>M</t>
        </is>
      </c>
      <c r="E393" s="9" t="n">
        <v>25813379</v>
      </c>
    </row>
    <row r="394">
      <c r="A394" s="6" t="n">
        <v>1998</v>
      </c>
      <c r="B394" s="6" t="inlineStr">
        <is>
          <t>silice</t>
        </is>
      </c>
      <c r="C394" s="6" t="inlineStr">
        <is>
          <t>E1 Arena silica/cuarzo</t>
        </is>
      </c>
      <c r="D394" s="6" t="inlineStr">
        <is>
          <t>X</t>
        </is>
      </c>
      <c r="E394" s="6" t="n">
        <v>282720</v>
      </c>
    </row>
    <row r="395">
      <c r="A395" s="9" t="n">
        <v>1998</v>
      </c>
      <c r="B395" s="9" t="inlineStr">
        <is>
          <t>silice</t>
        </is>
      </c>
      <c r="C395" s="9" t="inlineStr">
        <is>
          <t>E2 Silicio/ferrosilicio/SiO2</t>
        </is>
      </c>
      <c r="D395" s="9" t="inlineStr">
        <is>
          <t>M</t>
        </is>
      </c>
      <c r="E395" s="9" t="n">
        <v>50783444</v>
      </c>
    </row>
    <row r="396">
      <c r="A396" s="6" t="n">
        <v>1998</v>
      </c>
      <c r="B396" s="6" t="inlineStr">
        <is>
          <t>silice</t>
        </is>
      </c>
      <c r="C396" s="6" t="inlineStr">
        <is>
          <t>E2 Silicio/ferrosilicio/SiO2</t>
        </is>
      </c>
      <c r="D396" s="6" t="inlineStr">
        <is>
          <t>X</t>
        </is>
      </c>
      <c r="E396" s="6" t="n">
        <v>3758113</v>
      </c>
    </row>
    <row r="397">
      <c r="A397" s="9" t="n">
        <v>1998</v>
      </c>
      <c r="B397" s="9" t="inlineStr">
        <is>
          <t>zinc</t>
        </is>
      </c>
      <c r="C397" s="9" t="inlineStr">
        <is>
          <t>E1 Mena/concentrado</t>
        </is>
      </c>
      <c r="D397" s="9" t="inlineStr">
        <is>
          <t>M</t>
        </is>
      </c>
      <c r="E397" s="9" t="n">
        <v>158743</v>
      </c>
    </row>
    <row r="398">
      <c r="A398" s="6" t="n">
        <v>1998</v>
      </c>
      <c r="B398" s="6" t="inlineStr">
        <is>
          <t>zinc</t>
        </is>
      </c>
      <c r="C398" s="6" t="inlineStr">
        <is>
          <t>E1 Mena/concentrado</t>
        </is>
      </c>
      <c r="D398" s="6" t="inlineStr">
        <is>
          <t>X</t>
        </is>
      </c>
      <c r="E398" s="6" t="n">
        <v>71915376</v>
      </c>
    </row>
    <row r="399">
      <c r="A399" s="9" t="n">
        <v>1998</v>
      </c>
      <c r="B399" s="9" t="inlineStr">
        <is>
          <t>zinc</t>
        </is>
      </c>
      <c r="C399" s="9" t="inlineStr">
        <is>
          <t>E2 Metal en bruto/refinado</t>
        </is>
      </c>
      <c r="D399" s="9" t="inlineStr">
        <is>
          <t>M</t>
        </is>
      </c>
      <c r="E399" s="9" t="n">
        <v>27000012</v>
      </c>
    </row>
    <row r="400">
      <c r="A400" s="6" t="n">
        <v>1998</v>
      </c>
      <c r="B400" s="6" t="inlineStr">
        <is>
          <t>zinc</t>
        </is>
      </c>
      <c r="C400" s="6" t="inlineStr">
        <is>
          <t>E2 Metal en bruto/refinado</t>
        </is>
      </c>
      <c r="D400" s="6" t="inlineStr">
        <is>
          <t>X</t>
        </is>
      </c>
      <c r="E400" s="6" t="n">
        <v>74655632</v>
      </c>
    </row>
    <row r="401">
      <c r="A401" s="9" t="n">
        <v>1998</v>
      </c>
      <c r="B401" s="9" t="inlineStr">
        <is>
          <t>zinc</t>
        </is>
      </c>
      <c r="C401" s="9" t="inlineStr">
        <is>
          <t>E3 Semimanufacturas</t>
        </is>
      </c>
      <c r="D401" s="9" t="inlineStr">
        <is>
          <t>M</t>
        </is>
      </c>
      <c r="E401" s="9" t="n">
        <v>14072870</v>
      </c>
    </row>
    <row r="402">
      <c r="A402" s="6" t="n">
        <v>1998</v>
      </c>
      <c r="B402" s="6" t="inlineStr">
        <is>
          <t>zinc</t>
        </is>
      </c>
      <c r="C402" s="6" t="inlineStr">
        <is>
          <t>E3 Semimanufacturas</t>
        </is>
      </c>
      <c r="D402" s="6" t="inlineStr">
        <is>
          <t>X</t>
        </is>
      </c>
      <c r="E402" s="6" t="n">
        <v>35625231</v>
      </c>
    </row>
    <row r="403">
      <c r="A403" s="9" t="n">
        <v>1998</v>
      </c>
      <c r="B403" s="9" t="inlineStr">
        <is>
          <t>zinc</t>
        </is>
      </c>
      <c r="C403" s="9" t="inlineStr">
        <is>
          <t>E4 Manufacturas</t>
        </is>
      </c>
      <c r="D403" s="9" t="inlineStr">
        <is>
          <t>M</t>
        </is>
      </c>
      <c r="E403" s="9" t="n">
        <v>35608304</v>
      </c>
    </row>
    <row r="404">
      <c r="A404" s="6" t="n">
        <v>1998</v>
      </c>
      <c r="B404" s="6" t="inlineStr">
        <is>
          <t>zinc</t>
        </is>
      </c>
      <c r="C404" s="6" t="inlineStr">
        <is>
          <t>E4 Manufacturas</t>
        </is>
      </c>
      <c r="D404" s="6" t="inlineStr">
        <is>
          <t>X</t>
        </is>
      </c>
      <c r="E404" s="6" t="n">
        <v>2121948</v>
      </c>
    </row>
    <row r="405">
      <c r="A405" s="9" t="n">
        <v>1999</v>
      </c>
      <c r="B405" s="9" t="inlineStr">
        <is>
          <t>barita</t>
        </is>
      </c>
      <c r="C405" s="9" t="inlineStr">
        <is>
          <t>E1 Crudo/molido</t>
        </is>
      </c>
      <c r="D405" s="9" t="inlineStr">
        <is>
          <t>M</t>
        </is>
      </c>
      <c r="E405" s="9" t="n">
        <v>1072172</v>
      </c>
    </row>
    <row r="406">
      <c r="A406" s="6" t="n">
        <v>1999</v>
      </c>
      <c r="B406" s="6" t="inlineStr">
        <is>
          <t>barita</t>
        </is>
      </c>
      <c r="C406" s="6" t="inlineStr">
        <is>
          <t>E1 Crudo/molido</t>
        </is>
      </c>
      <c r="D406" s="6" t="inlineStr">
        <is>
          <t>X</t>
        </is>
      </c>
      <c r="E406" s="6" t="n">
        <v>1030666</v>
      </c>
    </row>
    <row r="407">
      <c r="A407" s="9" t="n">
        <v>1999</v>
      </c>
      <c r="B407" s="9" t="inlineStr">
        <is>
          <t>barita</t>
        </is>
      </c>
      <c r="C407" s="9" t="inlineStr">
        <is>
          <t>E2 Quimicos de bario</t>
        </is>
      </c>
      <c r="D407" s="9" t="inlineStr">
        <is>
          <t>M</t>
        </is>
      </c>
      <c r="E407" s="9" t="n">
        <v>1341212</v>
      </c>
    </row>
    <row r="408">
      <c r="A408" s="6" t="n">
        <v>1999</v>
      </c>
      <c r="B408" s="6" t="inlineStr">
        <is>
          <t>barita</t>
        </is>
      </c>
      <c r="C408" s="6" t="inlineStr">
        <is>
          <t>E2 Quimicos de bario</t>
        </is>
      </c>
      <c r="D408" s="6" t="inlineStr">
        <is>
          <t>X</t>
        </is>
      </c>
      <c r="E408" s="6" t="n">
        <v>7066859</v>
      </c>
    </row>
    <row r="409">
      <c r="A409" s="9" t="n">
        <v>1999</v>
      </c>
      <c r="B409" s="9" t="inlineStr">
        <is>
          <t>cobre</t>
        </is>
      </c>
      <c r="C409" s="9" t="inlineStr">
        <is>
          <t>E1 Mena/concentrado</t>
        </is>
      </c>
      <c r="D409" s="9" t="inlineStr">
        <is>
          <t>M</t>
        </is>
      </c>
      <c r="E409" s="9" t="n">
        <v>61506632</v>
      </c>
    </row>
    <row r="410">
      <c r="A410" s="6" t="n">
        <v>1999</v>
      </c>
      <c r="B410" s="6" t="inlineStr">
        <is>
          <t>cobre</t>
        </is>
      </c>
      <c r="C410" s="6" t="inlineStr">
        <is>
          <t>E1 Mena/concentrado</t>
        </is>
      </c>
      <c r="D410" s="6" t="inlineStr">
        <is>
          <t>X</t>
        </is>
      </c>
      <c r="E410" s="6" t="n">
        <v>24479468</v>
      </c>
    </row>
    <row r="411">
      <c r="A411" s="9" t="n">
        <v>1999</v>
      </c>
      <c r="B411" s="9" t="inlineStr">
        <is>
          <t>cobre</t>
        </is>
      </c>
      <c r="C411" s="9" t="inlineStr">
        <is>
          <t>E2 Metal en bruto/refinado</t>
        </is>
      </c>
      <c r="D411" s="9" t="inlineStr">
        <is>
          <t>M</t>
        </is>
      </c>
      <c r="E411" s="9" t="n">
        <v>313297570</v>
      </c>
    </row>
    <row r="412">
      <c r="A412" s="6" t="n">
        <v>1999</v>
      </c>
      <c r="B412" s="6" t="inlineStr">
        <is>
          <t>cobre</t>
        </is>
      </c>
      <c r="C412" s="6" t="inlineStr">
        <is>
          <t>E2 Metal en bruto/refinado</t>
        </is>
      </c>
      <c r="D412" s="6" t="inlineStr">
        <is>
          <t>X</t>
        </is>
      </c>
      <c r="E412" s="6" t="n">
        <v>259030925</v>
      </c>
    </row>
    <row r="413">
      <c r="A413" s="9" t="n">
        <v>1999</v>
      </c>
      <c r="B413" s="9" t="inlineStr">
        <is>
          <t>cobre</t>
        </is>
      </c>
      <c r="C413" s="9" t="inlineStr">
        <is>
          <t>E3 Semimanufacturas</t>
        </is>
      </c>
      <c r="D413" s="9" t="inlineStr">
        <is>
          <t>M</t>
        </is>
      </c>
      <c r="E413" s="9" t="n">
        <v>425286085</v>
      </c>
    </row>
    <row r="414">
      <c r="A414" s="6" t="n">
        <v>1999</v>
      </c>
      <c r="B414" s="6" t="inlineStr">
        <is>
          <t>cobre</t>
        </is>
      </c>
      <c r="C414" s="6" t="inlineStr">
        <is>
          <t>E3 Semimanufacturas</t>
        </is>
      </c>
      <c r="D414" s="6" t="inlineStr">
        <is>
          <t>X</t>
        </is>
      </c>
      <c r="E414" s="6" t="n">
        <v>266371165</v>
      </c>
    </row>
    <row r="415">
      <c r="A415" s="9" t="n">
        <v>1999</v>
      </c>
      <c r="B415" s="9" t="inlineStr">
        <is>
          <t>cobre</t>
        </is>
      </c>
      <c r="C415" s="9" t="inlineStr">
        <is>
          <t>E4 Manufacturas</t>
        </is>
      </c>
      <c r="D415" s="9" t="inlineStr">
        <is>
          <t>M</t>
        </is>
      </c>
      <c r="E415" s="9" t="n">
        <v>568074113</v>
      </c>
    </row>
    <row r="416">
      <c r="A416" s="6" t="n">
        <v>1999</v>
      </c>
      <c r="B416" s="6" t="inlineStr">
        <is>
          <t>cobre</t>
        </is>
      </c>
      <c r="C416" s="6" t="inlineStr">
        <is>
          <t>E4 Manufacturas</t>
        </is>
      </c>
      <c r="D416" s="6" t="inlineStr">
        <is>
          <t>X</t>
        </is>
      </c>
      <c r="E416" s="6" t="n">
        <v>38697639</v>
      </c>
    </row>
    <row r="417">
      <c r="A417" s="9" t="n">
        <v>1999</v>
      </c>
      <c r="B417" s="9" t="inlineStr">
        <is>
          <t>fluorita</t>
        </is>
      </c>
      <c r="C417" s="9" t="inlineStr">
        <is>
          <t>E1 Espato fluor (crudo)</t>
        </is>
      </c>
      <c r="D417" s="9" t="inlineStr">
        <is>
          <t>M</t>
        </is>
      </c>
      <c r="E417" s="9" t="n">
        <v>6037645</v>
      </c>
    </row>
    <row r="418">
      <c r="A418" s="6" t="n">
        <v>1999</v>
      </c>
      <c r="B418" s="6" t="inlineStr">
        <is>
          <t>fluorita</t>
        </is>
      </c>
      <c r="C418" s="6" t="inlineStr">
        <is>
          <t>E1 Espato fluor (crudo)</t>
        </is>
      </c>
      <c r="D418" s="6" t="inlineStr">
        <is>
          <t>X</t>
        </is>
      </c>
      <c r="E418" s="6" t="n">
        <v>26503055</v>
      </c>
    </row>
    <row r="419">
      <c r="A419" s="9" t="n">
        <v>1999</v>
      </c>
      <c r="B419" s="9" t="inlineStr">
        <is>
          <t>fluorita</t>
        </is>
      </c>
      <c r="C419" s="9" t="inlineStr">
        <is>
          <t>E2 Fluoroquimica</t>
        </is>
      </c>
      <c r="D419" s="9" t="inlineStr">
        <is>
          <t>M</t>
        </is>
      </c>
      <c r="E419" s="9" t="n">
        <v>7356569</v>
      </c>
    </row>
    <row r="420">
      <c r="A420" s="6" t="n">
        <v>1999</v>
      </c>
      <c r="B420" s="6" t="inlineStr">
        <is>
          <t>fluorita</t>
        </is>
      </c>
      <c r="C420" s="6" t="inlineStr">
        <is>
          <t>E2 Fluoroquimica</t>
        </is>
      </c>
      <c r="D420" s="6" t="inlineStr">
        <is>
          <t>X</t>
        </is>
      </c>
      <c r="E420" s="6" t="n">
        <v>104828952</v>
      </c>
    </row>
    <row r="421">
      <c r="A421" s="9" t="n">
        <v>1999</v>
      </c>
      <c r="B421" s="9" t="inlineStr">
        <is>
          <t>grafito</t>
        </is>
      </c>
      <c r="C421" s="9" t="inlineStr">
        <is>
          <t>E1 Grafito natural</t>
        </is>
      </c>
      <c r="D421" s="9" t="inlineStr">
        <is>
          <t>M</t>
        </is>
      </c>
      <c r="E421" s="9" t="n">
        <v>3283814</v>
      </c>
    </row>
    <row r="422">
      <c r="A422" s="6" t="n">
        <v>1999</v>
      </c>
      <c r="B422" s="6" t="inlineStr">
        <is>
          <t>grafito</t>
        </is>
      </c>
      <c r="C422" s="6" t="inlineStr">
        <is>
          <t>E1 Grafito natural</t>
        </is>
      </c>
      <c r="D422" s="6" t="inlineStr">
        <is>
          <t>X</t>
        </is>
      </c>
      <c r="E422" s="6" t="n">
        <v>2027221</v>
      </c>
    </row>
    <row r="423">
      <c r="A423" s="9" t="n">
        <v>1999</v>
      </c>
      <c r="B423" s="9" t="inlineStr">
        <is>
          <t>grafito</t>
        </is>
      </c>
      <c r="C423" s="9" t="inlineStr">
        <is>
          <t>E2 Grafito artificial/prep.</t>
        </is>
      </c>
      <c r="D423" s="9" t="inlineStr">
        <is>
          <t>M</t>
        </is>
      </c>
      <c r="E423" s="9" t="n">
        <v>11001472</v>
      </c>
    </row>
    <row r="424">
      <c r="A424" s="6" t="n">
        <v>1999</v>
      </c>
      <c r="B424" s="6" t="inlineStr">
        <is>
          <t>grafito</t>
        </is>
      </c>
      <c r="C424" s="6" t="inlineStr">
        <is>
          <t>E2 Grafito artificial/prep.</t>
        </is>
      </c>
      <c r="D424" s="6" t="inlineStr">
        <is>
          <t>X</t>
        </is>
      </c>
      <c r="E424" s="6" t="n">
        <v>10503553</v>
      </c>
    </row>
    <row r="425">
      <c r="A425" s="9" t="n">
        <v>1999</v>
      </c>
      <c r="B425" s="9" t="inlineStr">
        <is>
          <t>grafito</t>
        </is>
      </c>
      <c r="C425" s="9" t="inlineStr">
        <is>
          <t>E3 Electrodos/articulos de carbono</t>
        </is>
      </c>
      <c r="D425" s="9" t="inlineStr">
        <is>
          <t>M</t>
        </is>
      </c>
      <c r="E425" s="9" t="n">
        <v>86166304</v>
      </c>
    </row>
    <row r="426">
      <c r="A426" s="6" t="n">
        <v>1999</v>
      </c>
      <c r="B426" s="6" t="inlineStr">
        <is>
          <t>grafito</t>
        </is>
      </c>
      <c r="C426" s="6" t="inlineStr">
        <is>
          <t>E3 Electrodos/articulos de carbono</t>
        </is>
      </c>
      <c r="D426" s="6" t="inlineStr">
        <is>
          <t>X</t>
        </is>
      </c>
      <c r="E426" s="6" t="n">
        <v>53012948</v>
      </c>
    </row>
    <row r="427">
      <c r="A427" s="9" t="n">
        <v>1999</v>
      </c>
      <c r="B427" s="9" t="inlineStr">
        <is>
          <t>manganeso</t>
        </is>
      </c>
      <c r="C427" s="9" t="inlineStr">
        <is>
          <t>E1 Mena/concentrado</t>
        </is>
      </c>
      <c r="D427" s="9" t="inlineStr">
        <is>
          <t>M</t>
        </is>
      </c>
      <c r="E427" s="9" t="n">
        <v>7393816</v>
      </c>
    </row>
    <row r="428">
      <c r="A428" s="6" t="n">
        <v>1999</v>
      </c>
      <c r="B428" s="6" t="inlineStr">
        <is>
          <t>manganeso</t>
        </is>
      </c>
      <c r="C428" s="6" t="inlineStr">
        <is>
          <t>E1 Mena/concentrado</t>
        </is>
      </c>
      <c r="D428" s="6" t="inlineStr">
        <is>
          <t>X</t>
        </is>
      </c>
      <c r="E428" s="6" t="n">
        <v>4223878</v>
      </c>
    </row>
    <row r="429">
      <c r="A429" s="9" t="n">
        <v>1999</v>
      </c>
      <c r="B429" s="9" t="inlineStr">
        <is>
          <t>manganeso</t>
        </is>
      </c>
      <c r="C429" s="9" t="inlineStr">
        <is>
          <t>E2 Ferroaleaciones</t>
        </is>
      </c>
      <c r="D429" s="9" t="inlineStr">
        <is>
          <t>M</t>
        </is>
      </c>
      <c r="E429" s="9" t="n">
        <v>12324046</v>
      </c>
    </row>
    <row r="430">
      <c r="A430" s="6" t="n">
        <v>1999</v>
      </c>
      <c r="B430" s="6" t="inlineStr">
        <is>
          <t>manganeso</t>
        </is>
      </c>
      <c r="C430" s="6" t="inlineStr">
        <is>
          <t>E2 Ferroaleaciones</t>
        </is>
      </c>
      <c r="D430" s="6" t="inlineStr">
        <is>
          <t>X</t>
        </is>
      </c>
      <c r="E430" s="6" t="n">
        <v>40979925</v>
      </c>
    </row>
    <row r="431">
      <c r="A431" s="9" t="n">
        <v>1999</v>
      </c>
      <c r="B431" s="9" t="inlineStr">
        <is>
          <t>manganeso</t>
        </is>
      </c>
      <c r="C431" s="9" t="inlineStr">
        <is>
          <t>E3 Quimicos/metal</t>
        </is>
      </c>
      <c r="D431" s="9" t="inlineStr">
        <is>
          <t>M</t>
        </is>
      </c>
      <c r="E431" s="9" t="n">
        <v>6299990</v>
      </c>
    </row>
    <row r="432">
      <c r="A432" s="6" t="n">
        <v>1999</v>
      </c>
      <c r="B432" s="6" t="inlineStr">
        <is>
          <t>manganeso</t>
        </is>
      </c>
      <c r="C432" s="6" t="inlineStr">
        <is>
          <t>E3 Quimicos/metal</t>
        </is>
      </c>
      <c r="D432" s="6" t="inlineStr">
        <is>
          <t>X</t>
        </is>
      </c>
      <c r="E432" s="6" t="n">
        <v>1447625</v>
      </c>
    </row>
    <row r="433">
      <c r="A433" s="9" t="n">
        <v>1999</v>
      </c>
      <c r="B433" s="9" t="inlineStr">
        <is>
          <t>oro</t>
        </is>
      </c>
      <c r="C433" s="9" t="inlineStr">
        <is>
          <t>E1 Mena/concentrado</t>
        </is>
      </c>
      <c r="D433" s="9" t="inlineStr">
        <is>
          <t>M</t>
        </is>
      </c>
      <c r="E433" s="9" t="n">
        <v>9859581</v>
      </c>
    </row>
    <row r="434">
      <c r="A434" s="6" t="n">
        <v>1999</v>
      </c>
      <c r="B434" s="6" t="inlineStr">
        <is>
          <t>oro</t>
        </is>
      </c>
      <c r="C434" s="6" t="inlineStr">
        <is>
          <t>E1 Mena/concentrado</t>
        </is>
      </c>
      <c r="D434" s="6" t="inlineStr">
        <is>
          <t>X</t>
        </is>
      </c>
      <c r="E434" s="6" t="n">
        <v>11399621</v>
      </c>
    </row>
    <row r="435">
      <c r="A435" s="9" t="n">
        <v>1999</v>
      </c>
      <c r="B435" s="9" t="inlineStr">
        <is>
          <t>oro</t>
        </is>
      </c>
      <c r="C435" s="9" t="inlineStr">
        <is>
          <t>E2 Bruto/semilabrado</t>
        </is>
      </c>
      <c r="D435" s="9" t="inlineStr">
        <is>
          <t>M</t>
        </is>
      </c>
      <c r="E435" s="9" t="n">
        <v>393583712</v>
      </c>
    </row>
    <row r="436">
      <c r="A436" s="6" t="n">
        <v>1999</v>
      </c>
      <c r="B436" s="6" t="inlineStr">
        <is>
          <t>oro</t>
        </is>
      </c>
      <c r="C436" s="6" t="inlineStr">
        <is>
          <t>E2 Bruto/semilabrado</t>
        </is>
      </c>
      <c r="D436" s="6" t="inlineStr">
        <is>
          <t>X</t>
        </is>
      </c>
      <c r="E436" s="6" t="n">
        <v>91457360</v>
      </c>
    </row>
    <row r="437">
      <c r="A437" s="9" t="n">
        <v>1999</v>
      </c>
      <c r="B437" s="9" t="inlineStr">
        <is>
          <t>oro-plata (manufacturas)</t>
        </is>
      </c>
      <c r="C437" s="9" t="inlineStr">
        <is>
          <t>E4 Joyeria/orfebreria</t>
        </is>
      </c>
      <c r="D437" s="9" t="inlineStr">
        <is>
          <t>M</t>
        </is>
      </c>
      <c r="E437" s="9" t="n">
        <v>262082999</v>
      </c>
    </row>
    <row r="438">
      <c r="A438" s="6" t="n">
        <v>1999</v>
      </c>
      <c r="B438" s="6" t="inlineStr">
        <is>
          <t>oro-plata (manufacturas)</t>
        </is>
      </c>
      <c r="C438" s="6" t="inlineStr">
        <is>
          <t>E4 Joyeria/orfebreria</t>
        </is>
      </c>
      <c r="D438" s="6" t="inlineStr">
        <is>
          <t>X</t>
        </is>
      </c>
      <c r="E438" s="6" t="n">
        <v>364566621</v>
      </c>
    </row>
    <row r="439">
      <c r="A439" s="9" t="n">
        <v>1999</v>
      </c>
      <c r="B439" s="9" t="inlineStr">
        <is>
          <t>plata</t>
        </is>
      </c>
      <c r="C439" s="9" t="inlineStr">
        <is>
          <t>E1 Mena/concentrado</t>
        </is>
      </c>
      <c r="D439" s="9" t="inlineStr">
        <is>
          <t>M</t>
        </is>
      </c>
      <c r="E439" s="9" t="n">
        <v>26612968</v>
      </c>
    </row>
    <row r="440">
      <c r="A440" s="6" t="n">
        <v>1999</v>
      </c>
      <c r="B440" s="6" t="inlineStr">
        <is>
          <t>plata</t>
        </is>
      </c>
      <c r="C440" s="6" t="inlineStr">
        <is>
          <t>E1 Mena/concentrado</t>
        </is>
      </c>
      <c r="D440" s="6" t="inlineStr">
        <is>
          <t>X</t>
        </is>
      </c>
      <c r="E440" s="6" t="n">
        <v>69904</v>
      </c>
    </row>
    <row r="441">
      <c r="A441" s="9" t="n">
        <v>1999</v>
      </c>
      <c r="B441" s="9" t="inlineStr">
        <is>
          <t>plata</t>
        </is>
      </c>
      <c r="C441" s="9" t="inlineStr">
        <is>
          <t>E2 Bruto/semilabrado</t>
        </is>
      </c>
      <c r="D441" s="9" t="inlineStr">
        <is>
          <t>M</t>
        </is>
      </c>
      <c r="E441" s="9" t="n">
        <v>9217919</v>
      </c>
    </row>
    <row r="442">
      <c r="A442" s="6" t="n">
        <v>1999</v>
      </c>
      <c r="B442" s="6" t="inlineStr">
        <is>
          <t>plata</t>
        </is>
      </c>
      <c r="C442" s="6" t="inlineStr">
        <is>
          <t>E2 Bruto/semilabrado</t>
        </is>
      </c>
      <c r="D442" s="6" t="inlineStr">
        <is>
          <t>X</t>
        </is>
      </c>
      <c r="E442" s="6" t="n">
        <v>398687552</v>
      </c>
    </row>
    <row r="443">
      <c r="A443" s="9" t="n">
        <v>1999</v>
      </c>
      <c r="B443" s="9" t="inlineStr">
        <is>
          <t>plomo</t>
        </is>
      </c>
      <c r="C443" s="9" t="inlineStr">
        <is>
          <t>E1 Mena/concentrado</t>
        </is>
      </c>
      <c r="D443" s="9" t="inlineStr">
        <is>
          <t>M</t>
        </is>
      </c>
      <c r="E443" s="9" t="n">
        <v>24015528</v>
      </c>
    </row>
    <row r="444">
      <c r="A444" s="6" t="n">
        <v>1999</v>
      </c>
      <c r="B444" s="6" t="inlineStr">
        <is>
          <t>plomo</t>
        </is>
      </c>
      <c r="C444" s="6" t="inlineStr">
        <is>
          <t>E1 Mena/concentrado</t>
        </is>
      </c>
      <c r="D444" s="6" t="inlineStr">
        <is>
          <t>X</t>
        </is>
      </c>
      <c r="E444" s="6" t="n">
        <v>19056014</v>
      </c>
    </row>
    <row r="445">
      <c r="A445" s="9" t="n">
        <v>1999</v>
      </c>
      <c r="B445" s="9" t="inlineStr">
        <is>
          <t>plomo</t>
        </is>
      </c>
      <c r="C445" s="9" t="inlineStr">
        <is>
          <t>E2 Metal en bruto/refinado</t>
        </is>
      </c>
      <c r="D445" s="9" t="inlineStr">
        <is>
          <t>M</t>
        </is>
      </c>
      <c r="E445" s="9" t="n">
        <v>109415248</v>
      </c>
    </row>
    <row r="446">
      <c r="A446" s="6" t="n">
        <v>1999</v>
      </c>
      <c r="B446" s="6" t="inlineStr">
        <is>
          <t>plomo</t>
        </is>
      </c>
      <c r="C446" s="6" t="inlineStr">
        <is>
          <t>E2 Metal en bruto/refinado</t>
        </is>
      </c>
      <c r="D446" s="6" t="inlineStr">
        <is>
          <t>X</t>
        </is>
      </c>
      <c r="E446" s="6" t="n">
        <v>14698477</v>
      </c>
    </row>
    <row r="447">
      <c r="A447" s="9" t="n">
        <v>1999</v>
      </c>
      <c r="B447" s="9" t="inlineStr">
        <is>
          <t>plomo</t>
        </is>
      </c>
      <c r="C447" s="9" t="inlineStr">
        <is>
          <t>E3 Semimanufacturas</t>
        </is>
      </c>
      <c r="D447" s="9" t="inlineStr">
        <is>
          <t>M</t>
        </is>
      </c>
      <c r="E447" s="9" t="n">
        <v>5052306</v>
      </c>
    </row>
    <row r="448">
      <c r="A448" s="6" t="n">
        <v>1999</v>
      </c>
      <c r="B448" s="6" t="inlineStr">
        <is>
          <t>plomo</t>
        </is>
      </c>
      <c r="C448" s="6" t="inlineStr">
        <is>
          <t>E3 Semimanufacturas</t>
        </is>
      </c>
      <c r="D448" s="6" t="inlineStr">
        <is>
          <t>X</t>
        </is>
      </c>
      <c r="E448" s="6" t="n">
        <v>2765085</v>
      </c>
    </row>
    <row r="449">
      <c r="A449" s="9" t="n">
        <v>1999</v>
      </c>
      <c r="B449" s="9" t="inlineStr">
        <is>
          <t>plomo</t>
        </is>
      </c>
      <c r="C449" s="9" t="inlineStr">
        <is>
          <t>E4 Manufacturas</t>
        </is>
      </c>
      <c r="D449" s="9" t="inlineStr">
        <is>
          <t>M</t>
        </is>
      </c>
      <c r="E449" s="9" t="n">
        <v>3007372</v>
      </c>
    </row>
    <row r="450">
      <c r="A450" s="6" t="n">
        <v>1999</v>
      </c>
      <c r="B450" s="6" t="inlineStr">
        <is>
          <t>plomo</t>
        </is>
      </c>
      <c r="C450" s="6" t="inlineStr">
        <is>
          <t>E4 Manufacturas</t>
        </is>
      </c>
      <c r="D450" s="6" t="inlineStr">
        <is>
          <t>X</t>
        </is>
      </c>
      <c r="E450" s="6" t="n">
        <v>1465745</v>
      </c>
    </row>
    <row r="451">
      <c r="A451" s="9" t="n">
        <v>1999</v>
      </c>
      <c r="B451" s="9" t="inlineStr">
        <is>
          <t>silice</t>
        </is>
      </c>
      <c r="C451" s="9" t="inlineStr">
        <is>
          <t>E1 Arena silica/cuarzo</t>
        </is>
      </c>
      <c r="D451" s="9" t="inlineStr">
        <is>
          <t>M</t>
        </is>
      </c>
      <c r="E451" s="9" t="n">
        <v>24336059</v>
      </c>
    </row>
    <row r="452">
      <c r="A452" s="6" t="n">
        <v>1999</v>
      </c>
      <c r="B452" s="6" t="inlineStr">
        <is>
          <t>silice</t>
        </is>
      </c>
      <c r="C452" s="6" t="inlineStr">
        <is>
          <t>E1 Arena silica/cuarzo</t>
        </is>
      </c>
      <c r="D452" s="6" t="inlineStr">
        <is>
          <t>X</t>
        </is>
      </c>
      <c r="E452" s="6" t="n">
        <v>895176</v>
      </c>
    </row>
    <row r="453">
      <c r="A453" s="9" t="n">
        <v>1999</v>
      </c>
      <c r="B453" s="9" t="inlineStr">
        <is>
          <t>silice</t>
        </is>
      </c>
      <c r="C453" s="9" t="inlineStr">
        <is>
          <t>E2 Silicio/ferrosilicio/SiO2</t>
        </is>
      </c>
      <c r="D453" s="9" t="inlineStr">
        <is>
          <t>M</t>
        </is>
      </c>
      <c r="E453" s="9" t="n">
        <v>57214862</v>
      </c>
    </row>
    <row r="454">
      <c r="A454" s="6" t="n">
        <v>1999</v>
      </c>
      <c r="B454" s="6" t="inlineStr">
        <is>
          <t>silice</t>
        </is>
      </c>
      <c r="C454" s="6" t="inlineStr">
        <is>
          <t>E2 Silicio/ferrosilicio/SiO2</t>
        </is>
      </c>
      <c r="D454" s="6" t="inlineStr">
        <is>
          <t>X</t>
        </is>
      </c>
      <c r="E454" s="6" t="n">
        <v>5948237</v>
      </c>
    </row>
    <row r="455">
      <c r="A455" s="9" t="n">
        <v>1999</v>
      </c>
      <c r="B455" s="9" t="inlineStr">
        <is>
          <t>zinc</t>
        </is>
      </c>
      <c r="C455" s="9" t="inlineStr">
        <is>
          <t>E1 Mena/concentrado</t>
        </is>
      </c>
      <c r="D455" s="9" t="inlineStr">
        <is>
          <t>M</t>
        </is>
      </c>
      <c r="E455" s="9" t="n">
        <v>1213003</v>
      </c>
    </row>
    <row r="456">
      <c r="A456" s="6" t="n">
        <v>1999</v>
      </c>
      <c r="B456" s="6" t="inlineStr">
        <is>
          <t>zinc</t>
        </is>
      </c>
      <c r="C456" s="6" t="inlineStr">
        <is>
          <t>E1 Mena/concentrado</t>
        </is>
      </c>
      <c r="D456" s="6" t="inlineStr">
        <is>
          <t>X</t>
        </is>
      </c>
      <c r="E456" s="6" t="n">
        <v>75143568</v>
      </c>
    </row>
    <row r="457">
      <c r="A457" s="9" t="n">
        <v>1999</v>
      </c>
      <c r="B457" s="9" t="inlineStr">
        <is>
          <t>zinc</t>
        </is>
      </c>
      <c r="C457" s="9" t="inlineStr">
        <is>
          <t>E2 Metal en bruto/refinado</t>
        </is>
      </c>
      <c r="D457" s="9" t="inlineStr">
        <is>
          <t>M</t>
        </is>
      </c>
      <c r="E457" s="9" t="n">
        <v>50573136</v>
      </c>
    </row>
    <row r="458">
      <c r="A458" s="6" t="n">
        <v>1999</v>
      </c>
      <c r="B458" s="6" t="inlineStr">
        <is>
          <t>zinc</t>
        </is>
      </c>
      <c r="C458" s="6" t="inlineStr">
        <is>
          <t>E2 Metal en bruto/refinado</t>
        </is>
      </c>
      <c r="D458" s="6" t="inlineStr">
        <is>
          <t>X</t>
        </is>
      </c>
      <c r="E458" s="6" t="n">
        <v>91230552</v>
      </c>
    </row>
    <row r="459">
      <c r="A459" s="9" t="n">
        <v>1999</v>
      </c>
      <c r="B459" s="9" t="inlineStr">
        <is>
          <t>zinc</t>
        </is>
      </c>
      <c r="C459" s="9" t="inlineStr">
        <is>
          <t>E3 Semimanufacturas</t>
        </is>
      </c>
      <c r="D459" s="9" t="inlineStr">
        <is>
          <t>M</t>
        </is>
      </c>
      <c r="E459" s="9" t="n">
        <v>12724475</v>
      </c>
    </row>
    <row r="460">
      <c r="A460" s="6" t="n">
        <v>1999</v>
      </c>
      <c r="B460" s="6" t="inlineStr">
        <is>
          <t>zinc</t>
        </is>
      </c>
      <c r="C460" s="6" t="inlineStr">
        <is>
          <t>E3 Semimanufacturas</t>
        </is>
      </c>
      <c r="D460" s="6" t="inlineStr">
        <is>
          <t>X</t>
        </is>
      </c>
      <c r="E460" s="6" t="n">
        <v>41965874</v>
      </c>
    </row>
    <row r="461">
      <c r="A461" s="9" t="n">
        <v>1999</v>
      </c>
      <c r="B461" s="9" t="inlineStr">
        <is>
          <t>zinc</t>
        </is>
      </c>
      <c r="C461" s="9" t="inlineStr">
        <is>
          <t>E4 Manufacturas</t>
        </is>
      </c>
      <c r="D461" s="9" t="inlineStr">
        <is>
          <t>M</t>
        </is>
      </c>
      <c r="E461" s="9" t="n">
        <v>43916540</v>
      </c>
    </row>
    <row r="462">
      <c r="A462" s="6" t="n">
        <v>1999</v>
      </c>
      <c r="B462" s="6" t="inlineStr">
        <is>
          <t>zinc</t>
        </is>
      </c>
      <c r="C462" s="6" t="inlineStr">
        <is>
          <t>E4 Manufacturas</t>
        </is>
      </c>
      <c r="D462" s="6" t="inlineStr">
        <is>
          <t>X</t>
        </is>
      </c>
      <c r="E462" s="6" t="n">
        <v>4639034</v>
      </c>
    </row>
    <row r="463">
      <c r="A463" s="9" t="n">
        <v>2000</v>
      </c>
      <c r="B463" s="9" t="inlineStr">
        <is>
          <t>barita</t>
        </is>
      </c>
      <c r="C463" s="9" t="inlineStr">
        <is>
          <t>E1 Crudo/molido</t>
        </is>
      </c>
      <c r="D463" s="9" t="inlineStr">
        <is>
          <t>M</t>
        </is>
      </c>
      <c r="E463" s="9" t="n">
        <v>1436416</v>
      </c>
    </row>
    <row r="464">
      <c r="A464" s="6" t="n">
        <v>2000</v>
      </c>
      <c r="B464" s="6" t="inlineStr">
        <is>
          <t>barita</t>
        </is>
      </c>
      <c r="C464" s="6" t="inlineStr">
        <is>
          <t>E1 Crudo/molido</t>
        </is>
      </c>
      <c r="D464" s="6" t="inlineStr">
        <is>
          <t>X</t>
        </is>
      </c>
      <c r="E464" s="6" t="n">
        <v>767826</v>
      </c>
    </row>
    <row r="465">
      <c r="A465" s="9" t="n">
        <v>2000</v>
      </c>
      <c r="B465" s="9" t="inlineStr">
        <is>
          <t>barita</t>
        </is>
      </c>
      <c r="C465" s="9" t="inlineStr">
        <is>
          <t>E2 Quimicos de bario</t>
        </is>
      </c>
      <c r="D465" s="9" t="inlineStr">
        <is>
          <t>M</t>
        </is>
      </c>
      <c r="E465" s="9" t="n">
        <v>1133257</v>
      </c>
    </row>
    <row r="466">
      <c r="A466" s="6" t="n">
        <v>2000</v>
      </c>
      <c r="B466" s="6" t="inlineStr">
        <is>
          <t>barita</t>
        </is>
      </c>
      <c r="C466" s="6" t="inlineStr">
        <is>
          <t>E2 Quimicos de bario</t>
        </is>
      </c>
      <c r="D466" s="6" t="inlineStr">
        <is>
          <t>X</t>
        </is>
      </c>
      <c r="E466" s="6" t="n">
        <v>6493317</v>
      </c>
    </row>
    <row r="467">
      <c r="A467" s="9" t="n">
        <v>2000</v>
      </c>
      <c r="B467" s="9" t="inlineStr">
        <is>
          <t>cobre</t>
        </is>
      </c>
      <c r="C467" s="9" t="inlineStr">
        <is>
          <t>E1 Mena/concentrado</t>
        </is>
      </c>
      <c r="D467" s="9" t="inlineStr">
        <is>
          <t>M</t>
        </is>
      </c>
      <c r="E467" s="9" t="n">
        <v>87515611</v>
      </c>
    </row>
    <row r="468">
      <c r="A468" s="6" t="n">
        <v>2000</v>
      </c>
      <c r="B468" s="6" t="inlineStr">
        <is>
          <t>cobre</t>
        </is>
      </c>
      <c r="C468" s="6" t="inlineStr">
        <is>
          <t>E1 Mena/concentrado</t>
        </is>
      </c>
      <c r="D468" s="6" t="inlineStr">
        <is>
          <t>X</t>
        </is>
      </c>
      <c r="E468" s="6" t="n">
        <v>115701455</v>
      </c>
    </row>
    <row r="469">
      <c r="A469" s="9" t="n">
        <v>2000</v>
      </c>
      <c r="B469" s="9" t="inlineStr">
        <is>
          <t>cobre</t>
        </is>
      </c>
      <c r="C469" s="9" t="inlineStr">
        <is>
          <t>E2 Metal en bruto/refinado</t>
        </is>
      </c>
      <c r="D469" s="9" t="inlineStr">
        <is>
          <t>M</t>
        </is>
      </c>
      <c r="E469" s="9" t="n">
        <v>462671107</v>
      </c>
    </row>
    <row r="470">
      <c r="A470" s="6" t="n">
        <v>2000</v>
      </c>
      <c r="B470" s="6" t="inlineStr">
        <is>
          <t>cobre</t>
        </is>
      </c>
      <c r="C470" s="6" t="inlineStr">
        <is>
          <t>E2 Metal en bruto/refinado</t>
        </is>
      </c>
      <c r="D470" s="6" t="inlineStr">
        <is>
          <t>X</t>
        </is>
      </c>
      <c r="E470" s="6" t="n">
        <v>224508642</v>
      </c>
    </row>
    <row r="471">
      <c r="A471" s="9" t="n">
        <v>2000</v>
      </c>
      <c r="B471" s="9" t="inlineStr">
        <is>
          <t>cobre</t>
        </is>
      </c>
      <c r="C471" s="9" t="inlineStr">
        <is>
          <t>E3 Semimanufacturas</t>
        </is>
      </c>
      <c r="D471" s="9" t="inlineStr">
        <is>
          <t>M</t>
        </is>
      </c>
      <c r="E471" s="9" t="n">
        <v>492553936</v>
      </c>
    </row>
    <row r="472">
      <c r="A472" s="6" t="n">
        <v>2000</v>
      </c>
      <c r="B472" s="6" t="inlineStr">
        <is>
          <t>cobre</t>
        </is>
      </c>
      <c r="C472" s="6" t="inlineStr">
        <is>
          <t>E3 Semimanufacturas</t>
        </is>
      </c>
      <c r="D472" s="6" t="inlineStr">
        <is>
          <t>X</t>
        </is>
      </c>
      <c r="E472" s="6" t="n">
        <v>405534456</v>
      </c>
    </row>
    <row r="473">
      <c r="A473" s="9" t="n">
        <v>2000</v>
      </c>
      <c r="B473" s="9" t="inlineStr">
        <is>
          <t>cobre</t>
        </is>
      </c>
      <c r="C473" s="9" t="inlineStr">
        <is>
          <t>E4 Manufacturas</t>
        </is>
      </c>
      <c r="D473" s="9" t="inlineStr">
        <is>
          <t>M</t>
        </is>
      </c>
      <c r="E473" s="9" t="n">
        <v>595955555</v>
      </c>
    </row>
    <row r="474">
      <c r="A474" s="6" t="n">
        <v>2000</v>
      </c>
      <c r="B474" s="6" t="inlineStr">
        <is>
          <t>cobre</t>
        </is>
      </c>
      <c r="C474" s="6" t="inlineStr">
        <is>
          <t>E4 Manufacturas</t>
        </is>
      </c>
      <c r="D474" s="6" t="inlineStr">
        <is>
          <t>X</t>
        </is>
      </c>
      <c r="E474" s="6" t="n">
        <v>47581051</v>
      </c>
    </row>
    <row r="475">
      <c r="A475" s="9" t="n">
        <v>2000</v>
      </c>
      <c r="B475" s="9" t="inlineStr">
        <is>
          <t>fluorita</t>
        </is>
      </c>
      <c r="C475" s="9" t="inlineStr">
        <is>
          <t>E1 Espato fluor (crudo)</t>
        </is>
      </c>
      <c r="D475" s="9" t="inlineStr">
        <is>
          <t>M</t>
        </is>
      </c>
      <c r="E475" s="9" t="n">
        <v>5861398</v>
      </c>
    </row>
    <row r="476">
      <c r="A476" s="6" t="n">
        <v>2000</v>
      </c>
      <c r="B476" s="6" t="inlineStr">
        <is>
          <t>fluorita</t>
        </is>
      </c>
      <c r="C476" s="6" t="inlineStr">
        <is>
          <t>E1 Espato fluor (crudo)</t>
        </is>
      </c>
      <c r="D476" s="6" t="inlineStr">
        <is>
          <t>X</t>
        </is>
      </c>
      <c r="E476" s="6" t="n">
        <v>29324727</v>
      </c>
    </row>
    <row r="477">
      <c r="A477" s="9" t="n">
        <v>2000</v>
      </c>
      <c r="B477" s="9" t="inlineStr">
        <is>
          <t>fluorita</t>
        </is>
      </c>
      <c r="C477" s="9" t="inlineStr">
        <is>
          <t>E2 Fluoroquimica</t>
        </is>
      </c>
      <c r="D477" s="9" t="inlineStr">
        <is>
          <t>M</t>
        </is>
      </c>
      <c r="E477" s="9" t="n">
        <v>5266773</v>
      </c>
    </row>
    <row r="478">
      <c r="A478" s="6" t="n">
        <v>2000</v>
      </c>
      <c r="B478" s="6" t="inlineStr">
        <is>
          <t>fluorita</t>
        </is>
      </c>
      <c r="C478" s="6" t="inlineStr">
        <is>
          <t>E2 Fluoroquimica</t>
        </is>
      </c>
      <c r="D478" s="6" t="inlineStr">
        <is>
          <t>X</t>
        </is>
      </c>
      <c r="E478" s="6" t="n">
        <v>112474431</v>
      </c>
    </row>
    <row r="479">
      <c r="A479" s="9" t="n">
        <v>2000</v>
      </c>
      <c r="B479" s="9" t="inlineStr">
        <is>
          <t>grafito</t>
        </is>
      </c>
      <c r="C479" s="9" t="inlineStr">
        <is>
          <t>E1 Grafito natural</t>
        </is>
      </c>
      <c r="D479" s="9" t="inlineStr">
        <is>
          <t>M</t>
        </is>
      </c>
      <c r="E479" s="9" t="n">
        <v>2919029</v>
      </c>
    </row>
    <row r="480">
      <c r="A480" s="6" t="n">
        <v>2000</v>
      </c>
      <c r="B480" s="6" t="inlineStr">
        <is>
          <t>grafito</t>
        </is>
      </c>
      <c r="C480" s="6" t="inlineStr">
        <is>
          <t>E1 Grafito natural</t>
        </is>
      </c>
      <c r="D480" s="6" t="inlineStr">
        <is>
          <t>X</t>
        </is>
      </c>
      <c r="E480" s="6" t="n">
        <v>2392258</v>
      </c>
    </row>
    <row r="481">
      <c r="A481" s="9" t="n">
        <v>2000</v>
      </c>
      <c r="B481" s="9" t="inlineStr">
        <is>
          <t>grafito</t>
        </is>
      </c>
      <c r="C481" s="9" t="inlineStr">
        <is>
          <t>E2 Grafito artificial/prep.</t>
        </is>
      </c>
      <c r="D481" s="9" t="inlineStr">
        <is>
          <t>M</t>
        </is>
      </c>
      <c r="E481" s="9" t="n">
        <v>12506104</v>
      </c>
    </row>
    <row r="482">
      <c r="A482" s="6" t="n">
        <v>2000</v>
      </c>
      <c r="B482" s="6" t="inlineStr">
        <is>
          <t>grafito</t>
        </is>
      </c>
      <c r="C482" s="6" t="inlineStr">
        <is>
          <t>E2 Grafito artificial/prep.</t>
        </is>
      </c>
      <c r="D482" s="6" t="inlineStr">
        <is>
          <t>X</t>
        </is>
      </c>
      <c r="E482" s="6" t="n">
        <v>12771199</v>
      </c>
    </row>
    <row r="483">
      <c r="A483" s="9" t="n">
        <v>2000</v>
      </c>
      <c r="B483" s="9" t="inlineStr">
        <is>
          <t>grafito</t>
        </is>
      </c>
      <c r="C483" s="9" t="inlineStr">
        <is>
          <t>E3 Electrodos/articulos de carbono</t>
        </is>
      </c>
      <c r="D483" s="9" t="inlineStr">
        <is>
          <t>M</t>
        </is>
      </c>
      <c r="E483" s="9" t="n">
        <v>84532084</v>
      </c>
    </row>
    <row r="484">
      <c r="A484" s="6" t="n">
        <v>2000</v>
      </c>
      <c r="B484" s="6" t="inlineStr">
        <is>
          <t>grafito</t>
        </is>
      </c>
      <c r="C484" s="6" t="inlineStr">
        <is>
          <t>E3 Electrodos/articulos de carbono</t>
        </is>
      </c>
      <c r="D484" s="6" t="inlineStr">
        <is>
          <t>X</t>
        </is>
      </c>
      <c r="E484" s="6" t="n">
        <v>53957736</v>
      </c>
    </row>
    <row r="485">
      <c r="A485" s="9" t="n">
        <v>2000</v>
      </c>
      <c r="B485" s="9" t="inlineStr">
        <is>
          <t>manganeso</t>
        </is>
      </c>
      <c r="C485" s="9" t="inlineStr">
        <is>
          <t>E1 Mena/concentrado</t>
        </is>
      </c>
      <c r="D485" s="9" t="inlineStr">
        <is>
          <t>M</t>
        </is>
      </c>
      <c r="E485" s="9" t="n">
        <v>9065652</v>
      </c>
    </row>
    <row r="486">
      <c r="A486" s="6" t="n">
        <v>2000</v>
      </c>
      <c r="B486" s="6" t="inlineStr">
        <is>
          <t>manganeso</t>
        </is>
      </c>
      <c r="C486" s="6" t="inlineStr">
        <is>
          <t>E1 Mena/concentrado</t>
        </is>
      </c>
      <c r="D486" s="6" t="inlineStr">
        <is>
          <t>X</t>
        </is>
      </c>
      <c r="E486" s="6" t="n">
        <v>3726255</v>
      </c>
    </row>
    <row r="487">
      <c r="A487" s="9" t="n">
        <v>2000</v>
      </c>
      <c r="B487" s="9" t="inlineStr">
        <is>
          <t>manganeso</t>
        </is>
      </c>
      <c r="C487" s="9" t="inlineStr">
        <is>
          <t>E2 Ferroaleaciones</t>
        </is>
      </c>
      <c r="D487" s="9" t="inlineStr">
        <is>
          <t>M</t>
        </is>
      </c>
      <c r="E487" s="9" t="n">
        <v>14294653</v>
      </c>
    </row>
    <row r="488">
      <c r="A488" s="6" t="n">
        <v>2000</v>
      </c>
      <c r="B488" s="6" t="inlineStr">
        <is>
          <t>manganeso</t>
        </is>
      </c>
      <c r="C488" s="6" t="inlineStr">
        <is>
          <t>E2 Ferroaleaciones</t>
        </is>
      </c>
      <c r="D488" s="6" t="inlineStr">
        <is>
          <t>X</t>
        </is>
      </c>
      <c r="E488" s="6" t="n">
        <v>47135944</v>
      </c>
    </row>
    <row r="489">
      <c r="A489" s="9" t="n">
        <v>2000</v>
      </c>
      <c r="B489" s="9" t="inlineStr">
        <is>
          <t>manganeso</t>
        </is>
      </c>
      <c r="C489" s="9" t="inlineStr">
        <is>
          <t>E3 Quimicos/metal</t>
        </is>
      </c>
      <c r="D489" s="9" t="inlineStr">
        <is>
          <t>M</t>
        </is>
      </c>
      <c r="E489" s="9" t="n">
        <v>8424777</v>
      </c>
    </row>
    <row r="490">
      <c r="A490" s="6" t="n">
        <v>2000</v>
      </c>
      <c r="B490" s="6" t="inlineStr">
        <is>
          <t>manganeso</t>
        </is>
      </c>
      <c r="C490" s="6" t="inlineStr">
        <is>
          <t>E3 Quimicos/metal</t>
        </is>
      </c>
      <c r="D490" s="6" t="inlineStr">
        <is>
          <t>X</t>
        </is>
      </c>
      <c r="E490" s="6" t="n">
        <v>1953211</v>
      </c>
    </row>
    <row r="491">
      <c r="A491" s="9" t="n">
        <v>2000</v>
      </c>
      <c r="B491" s="9" t="inlineStr">
        <is>
          <t>oro</t>
        </is>
      </c>
      <c r="C491" s="9" t="inlineStr">
        <is>
          <t>E1 Mena/concentrado</t>
        </is>
      </c>
      <c r="D491" s="9" t="inlineStr">
        <is>
          <t>M</t>
        </is>
      </c>
      <c r="E491" s="9" t="n">
        <v>18869888</v>
      </c>
    </row>
    <row r="492">
      <c r="A492" s="6" t="n">
        <v>2000</v>
      </c>
      <c r="B492" s="6" t="inlineStr">
        <is>
          <t>oro</t>
        </is>
      </c>
      <c r="C492" s="6" t="inlineStr">
        <is>
          <t>E1 Mena/concentrado</t>
        </is>
      </c>
      <c r="D492" s="6" t="inlineStr">
        <is>
          <t>X</t>
        </is>
      </c>
      <c r="E492" s="6" t="n">
        <v>5583174</v>
      </c>
    </row>
    <row r="493">
      <c r="A493" s="9" t="n">
        <v>2000</v>
      </c>
      <c r="B493" s="9" t="inlineStr">
        <is>
          <t>oro</t>
        </is>
      </c>
      <c r="C493" s="9" t="inlineStr">
        <is>
          <t>E2 Bruto/semilabrado</t>
        </is>
      </c>
      <c r="D493" s="9" t="inlineStr">
        <is>
          <t>M</t>
        </is>
      </c>
      <c r="E493" s="9" t="n">
        <v>517511513</v>
      </c>
    </row>
    <row r="494">
      <c r="A494" s="6" t="n">
        <v>2000</v>
      </c>
      <c r="B494" s="6" t="inlineStr">
        <is>
          <t>oro</t>
        </is>
      </c>
      <c r="C494" s="6" t="inlineStr">
        <is>
          <t>E2 Bruto/semilabrado</t>
        </is>
      </c>
      <c r="D494" s="6" t="inlineStr">
        <is>
          <t>X</t>
        </is>
      </c>
      <c r="E494" s="6" t="n">
        <v>77883164</v>
      </c>
    </row>
    <row r="495">
      <c r="A495" s="9" t="n">
        <v>2000</v>
      </c>
      <c r="B495" s="9" t="inlineStr">
        <is>
          <t>oro-plata (manufacturas)</t>
        </is>
      </c>
      <c r="C495" s="9" t="inlineStr">
        <is>
          <t>E4 Joyeria/orfebreria</t>
        </is>
      </c>
      <c r="D495" s="9" t="inlineStr">
        <is>
          <t>M</t>
        </is>
      </c>
      <c r="E495" s="9" t="n">
        <v>180465148</v>
      </c>
    </row>
    <row r="496">
      <c r="A496" s="6" t="n">
        <v>2000</v>
      </c>
      <c r="B496" s="6" t="inlineStr">
        <is>
          <t>oro-plata (manufacturas)</t>
        </is>
      </c>
      <c r="C496" s="6" t="inlineStr">
        <is>
          <t>E4 Joyeria/orfebreria</t>
        </is>
      </c>
      <c r="D496" s="6" t="inlineStr">
        <is>
          <t>X</t>
        </is>
      </c>
      <c r="E496" s="6" t="n">
        <v>354905469</v>
      </c>
    </row>
    <row r="497">
      <c r="A497" s="9" t="n">
        <v>2000</v>
      </c>
      <c r="B497" s="9" t="inlineStr">
        <is>
          <t>plata</t>
        </is>
      </c>
      <c r="C497" s="9" t="inlineStr">
        <is>
          <t>E1 Mena/concentrado</t>
        </is>
      </c>
      <c r="D497" s="9" t="inlineStr">
        <is>
          <t>M</t>
        </is>
      </c>
      <c r="E497" s="9" t="n">
        <v>54777784</v>
      </c>
    </row>
    <row r="498">
      <c r="A498" s="6" t="n">
        <v>2000</v>
      </c>
      <c r="B498" s="6" t="inlineStr">
        <is>
          <t>plata</t>
        </is>
      </c>
      <c r="C498" s="6" t="inlineStr">
        <is>
          <t>E1 Mena/concentrado</t>
        </is>
      </c>
      <c r="D498" s="6" t="inlineStr">
        <is>
          <t>X</t>
        </is>
      </c>
      <c r="E498" s="6" t="n">
        <v>108222</v>
      </c>
    </row>
    <row r="499">
      <c r="A499" s="9" t="n">
        <v>2000</v>
      </c>
      <c r="B499" s="9" t="inlineStr">
        <is>
          <t>plata</t>
        </is>
      </c>
      <c r="C499" s="9" t="inlineStr">
        <is>
          <t>E2 Bruto/semilabrado</t>
        </is>
      </c>
      <c r="D499" s="9" t="inlineStr">
        <is>
          <t>M</t>
        </is>
      </c>
      <c r="E499" s="9" t="n">
        <v>10425481</v>
      </c>
    </row>
    <row r="500">
      <c r="A500" s="6" t="n">
        <v>2000</v>
      </c>
      <c r="B500" s="6" t="inlineStr">
        <is>
          <t>plata</t>
        </is>
      </c>
      <c r="C500" s="6" t="inlineStr">
        <is>
          <t>E2 Bruto/semilabrado</t>
        </is>
      </c>
      <c r="D500" s="6" t="inlineStr">
        <is>
          <t>X</t>
        </is>
      </c>
      <c r="E500" s="6" t="n">
        <v>431696439</v>
      </c>
    </row>
    <row r="501">
      <c r="A501" s="9" t="n">
        <v>2000</v>
      </c>
      <c r="B501" s="9" t="inlineStr">
        <is>
          <t>plomo</t>
        </is>
      </c>
      <c r="C501" s="9" t="inlineStr">
        <is>
          <t>E1 Mena/concentrado</t>
        </is>
      </c>
      <c r="D501" s="9" t="inlineStr">
        <is>
          <t>M</t>
        </is>
      </c>
      <c r="E501" s="9" t="n">
        <v>36649870</v>
      </c>
    </row>
    <row r="502">
      <c r="A502" s="6" t="n">
        <v>2000</v>
      </c>
      <c r="B502" s="6" t="inlineStr">
        <is>
          <t>plomo</t>
        </is>
      </c>
      <c r="C502" s="6" t="inlineStr">
        <is>
          <t>E1 Mena/concentrado</t>
        </is>
      </c>
      <c r="D502" s="6" t="inlineStr">
        <is>
          <t>X</t>
        </is>
      </c>
      <c r="E502" s="6" t="n">
        <v>13009691</v>
      </c>
    </row>
    <row r="503">
      <c r="A503" s="9" t="n">
        <v>2000</v>
      </c>
      <c r="B503" s="9" t="inlineStr">
        <is>
          <t>plomo</t>
        </is>
      </c>
      <c r="C503" s="9" t="inlineStr">
        <is>
          <t>E2 Metal en bruto/refinado</t>
        </is>
      </c>
      <c r="D503" s="9" t="inlineStr">
        <is>
          <t>M</t>
        </is>
      </c>
      <c r="E503" s="9" t="n">
        <v>77732328</v>
      </c>
    </row>
    <row r="504">
      <c r="A504" s="6" t="n">
        <v>2000</v>
      </c>
      <c r="B504" s="6" t="inlineStr">
        <is>
          <t>plomo</t>
        </is>
      </c>
      <c r="C504" s="6" t="inlineStr">
        <is>
          <t>E2 Metal en bruto/refinado</t>
        </is>
      </c>
      <c r="D504" s="6" t="inlineStr">
        <is>
          <t>X</t>
        </is>
      </c>
      <c r="E504" s="6" t="n">
        <v>10457702</v>
      </c>
    </row>
    <row r="505">
      <c r="A505" s="9" t="n">
        <v>2000</v>
      </c>
      <c r="B505" s="9" t="inlineStr">
        <is>
          <t>plomo</t>
        </is>
      </c>
      <c r="C505" s="9" t="inlineStr">
        <is>
          <t>E3 Semimanufacturas</t>
        </is>
      </c>
      <c r="D505" s="9" t="inlineStr">
        <is>
          <t>M</t>
        </is>
      </c>
      <c r="E505" s="9" t="n">
        <v>3944511</v>
      </c>
    </row>
    <row r="506">
      <c r="A506" s="6" t="n">
        <v>2000</v>
      </c>
      <c r="B506" s="6" t="inlineStr">
        <is>
          <t>plomo</t>
        </is>
      </c>
      <c r="C506" s="6" t="inlineStr">
        <is>
          <t>E3 Semimanufacturas</t>
        </is>
      </c>
      <c r="D506" s="6" t="inlineStr">
        <is>
          <t>X</t>
        </is>
      </c>
      <c r="E506" s="6" t="n">
        <v>50281</v>
      </c>
    </row>
    <row r="507">
      <c r="A507" s="9" t="n">
        <v>2000</v>
      </c>
      <c r="B507" s="9" t="inlineStr">
        <is>
          <t>plomo</t>
        </is>
      </c>
      <c r="C507" s="9" t="inlineStr">
        <is>
          <t>E4 Manufacturas</t>
        </is>
      </c>
      <c r="D507" s="9" t="inlineStr">
        <is>
          <t>M</t>
        </is>
      </c>
      <c r="E507" s="9" t="n">
        <v>4068251</v>
      </c>
    </row>
    <row r="508">
      <c r="A508" s="6" t="n">
        <v>2000</v>
      </c>
      <c r="B508" s="6" t="inlineStr">
        <is>
          <t>plomo</t>
        </is>
      </c>
      <c r="C508" s="6" t="inlineStr">
        <is>
          <t>E4 Manufacturas</t>
        </is>
      </c>
      <c r="D508" s="6" t="inlineStr">
        <is>
          <t>X</t>
        </is>
      </c>
      <c r="E508" s="6" t="n">
        <v>1329007</v>
      </c>
    </row>
    <row r="509">
      <c r="A509" s="9" t="n">
        <v>2000</v>
      </c>
      <c r="B509" s="9" t="inlineStr">
        <is>
          <t>silice</t>
        </is>
      </c>
      <c r="C509" s="9" t="inlineStr">
        <is>
          <t>E1 Arena silica/cuarzo</t>
        </is>
      </c>
      <c r="D509" s="9" t="inlineStr">
        <is>
          <t>M</t>
        </is>
      </c>
      <c r="E509" s="9" t="n">
        <v>26026818</v>
      </c>
    </row>
    <row r="510">
      <c r="A510" s="6" t="n">
        <v>2000</v>
      </c>
      <c r="B510" s="6" t="inlineStr">
        <is>
          <t>silice</t>
        </is>
      </c>
      <c r="C510" s="6" t="inlineStr">
        <is>
          <t>E1 Arena silica/cuarzo</t>
        </is>
      </c>
      <c r="D510" s="6" t="inlineStr">
        <is>
          <t>X</t>
        </is>
      </c>
      <c r="E510" s="6" t="n">
        <v>641074</v>
      </c>
    </row>
    <row r="511">
      <c r="A511" s="9" t="n">
        <v>2000</v>
      </c>
      <c r="B511" s="9" t="inlineStr">
        <is>
          <t>silice</t>
        </is>
      </c>
      <c r="C511" s="9" t="inlineStr">
        <is>
          <t>E2 Silicio/ferrosilicio/SiO2</t>
        </is>
      </c>
      <c r="D511" s="9" t="inlineStr">
        <is>
          <t>M</t>
        </is>
      </c>
      <c r="E511" s="9" t="n">
        <v>59642662</v>
      </c>
    </row>
    <row r="512">
      <c r="A512" s="6" t="n">
        <v>2000</v>
      </c>
      <c r="B512" s="6" t="inlineStr">
        <is>
          <t>silice</t>
        </is>
      </c>
      <c r="C512" s="6" t="inlineStr">
        <is>
          <t>E2 Silicio/ferrosilicio/SiO2</t>
        </is>
      </c>
      <c r="D512" s="6" t="inlineStr">
        <is>
          <t>X</t>
        </is>
      </c>
      <c r="E512" s="6" t="n">
        <v>7071376</v>
      </c>
    </row>
    <row r="513">
      <c r="A513" s="9" t="n">
        <v>2000</v>
      </c>
      <c r="B513" s="9" t="inlineStr">
        <is>
          <t>zinc</t>
        </is>
      </c>
      <c r="C513" s="9" t="inlineStr">
        <is>
          <t>E1 Mena/concentrado</t>
        </is>
      </c>
      <c r="D513" s="9" t="inlineStr">
        <is>
          <t>M</t>
        </is>
      </c>
      <c r="E513" s="9" t="n">
        <v>561133</v>
      </c>
    </row>
    <row r="514">
      <c r="A514" s="6" t="n">
        <v>2000</v>
      </c>
      <c r="B514" s="6" t="inlineStr">
        <is>
          <t>zinc</t>
        </is>
      </c>
      <c r="C514" s="6" t="inlineStr">
        <is>
          <t>E1 Mena/concentrado</t>
        </is>
      </c>
      <c r="D514" s="6" t="inlineStr">
        <is>
          <t>X</t>
        </is>
      </c>
      <c r="E514" s="6" t="n">
        <v>77057234</v>
      </c>
    </row>
    <row r="515">
      <c r="A515" s="9" t="n">
        <v>2000</v>
      </c>
      <c r="B515" s="9" t="inlineStr">
        <is>
          <t>zinc</t>
        </is>
      </c>
      <c r="C515" s="9" t="inlineStr">
        <is>
          <t>E2 Metal en bruto/refinado</t>
        </is>
      </c>
      <c r="D515" s="9" t="inlineStr">
        <is>
          <t>M</t>
        </is>
      </c>
      <c r="E515" s="9" t="n">
        <v>42083127</v>
      </c>
    </row>
    <row r="516">
      <c r="A516" s="6" t="n">
        <v>2000</v>
      </c>
      <c r="B516" s="6" t="inlineStr">
        <is>
          <t>zinc</t>
        </is>
      </c>
      <c r="C516" s="6" t="inlineStr">
        <is>
          <t>E2 Metal en bruto/refinado</t>
        </is>
      </c>
      <c r="D516" s="6" t="inlineStr">
        <is>
          <t>X</t>
        </is>
      </c>
      <c r="E516" s="6" t="n">
        <v>126606485</v>
      </c>
    </row>
    <row r="517">
      <c r="A517" s="9" t="n">
        <v>2000</v>
      </c>
      <c r="B517" s="9" t="inlineStr">
        <is>
          <t>zinc</t>
        </is>
      </c>
      <c r="C517" s="9" t="inlineStr">
        <is>
          <t>E3 Semimanufacturas</t>
        </is>
      </c>
      <c r="D517" s="9" t="inlineStr">
        <is>
          <t>M</t>
        </is>
      </c>
      <c r="E517" s="9" t="n">
        <v>14142422</v>
      </c>
    </row>
    <row r="518">
      <c r="A518" s="6" t="n">
        <v>2000</v>
      </c>
      <c r="B518" s="6" t="inlineStr">
        <is>
          <t>zinc</t>
        </is>
      </c>
      <c r="C518" s="6" t="inlineStr">
        <is>
          <t>E3 Semimanufacturas</t>
        </is>
      </c>
      <c r="D518" s="6" t="inlineStr">
        <is>
          <t>X</t>
        </is>
      </c>
      <c r="E518" s="6" t="n">
        <v>14230694</v>
      </c>
    </row>
    <row r="519">
      <c r="A519" s="9" t="n">
        <v>2000</v>
      </c>
      <c r="B519" s="9" t="inlineStr">
        <is>
          <t>zinc</t>
        </is>
      </c>
      <c r="C519" s="9" t="inlineStr">
        <is>
          <t>E4 Manufacturas</t>
        </is>
      </c>
      <c r="D519" s="9" t="inlineStr">
        <is>
          <t>M</t>
        </is>
      </c>
      <c r="E519" s="9" t="n">
        <v>51803944</v>
      </c>
    </row>
    <row r="520">
      <c r="A520" s="6" t="n">
        <v>2000</v>
      </c>
      <c r="B520" s="6" t="inlineStr">
        <is>
          <t>zinc</t>
        </is>
      </c>
      <c r="C520" s="6" t="inlineStr">
        <is>
          <t>E4 Manufacturas</t>
        </is>
      </c>
      <c r="D520" s="6" t="inlineStr">
        <is>
          <t>X</t>
        </is>
      </c>
      <c r="E520" s="6" t="n">
        <v>4177312</v>
      </c>
    </row>
    <row r="521">
      <c r="A521" s="9" t="n">
        <v>2001</v>
      </c>
      <c r="B521" s="9" t="inlineStr">
        <is>
          <t>barita</t>
        </is>
      </c>
      <c r="C521" s="9" t="inlineStr">
        <is>
          <t>E1 Crudo/molido</t>
        </is>
      </c>
      <c r="D521" s="9" t="inlineStr">
        <is>
          <t>M</t>
        </is>
      </c>
      <c r="E521" s="9" t="n">
        <v>1405133</v>
      </c>
    </row>
    <row r="522">
      <c r="A522" s="6" t="n">
        <v>2001</v>
      </c>
      <c r="B522" s="6" t="inlineStr">
        <is>
          <t>barita</t>
        </is>
      </c>
      <c r="C522" s="6" t="inlineStr">
        <is>
          <t>E1 Crudo/molido</t>
        </is>
      </c>
      <c r="D522" s="6" t="inlineStr">
        <is>
          <t>X</t>
        </is>
      </c>
      <c r="E522" s="6" t="n">
        <v>560838</v>
      </c>
    </row>
    <row r="523">
      <c r="A523" s="9" t="n">
        <v>2001</v>
      </c>
      <c r="B523" s="9" t="inlineStr">
        <is>
          <t>barita</t>
        </is>
      </c>
      <c r="C523" s="9" t="inlineStr">
        <is>
          <t>E2 Quimicos de bario</t>
        </is>
      </c>
      <c r="D523" s="9" t="inlineStr">
        <is>
          <t>M</t>
        </is>
      </c>
      <c r="E523" s="9" t="n">
        <v>1157115</v>
      </c>
    </row>
    <row r="524">
      <c r="A524" s="6" t="n">
        <v>2001</v>
      </c>
      <c r="B524" s="6" t="inlineStr">
        <is>
          <t>barita</t>
        </is>
      </c>
      <c r="C524" s="6" t="inlineStr">
        <is>
          <t>E2 Quimicos de bario</t>
        </is>
      </c>
      <c r="D524" s="6" t="inlineStr">
        <is>
          <t>X</t>
        </is>
      </c>
      <c r="E524" s="6" t="n">
        <v>4674324</v>
      </c>
    </row>
    <row r="525">
      <c r="A525" s="9" t="n">
        <v>2001</v>
      </c>
      <c r="B525" s="9" t="inlineStr">
        <is>
          <t>cobre</t>
        </is>
      </c>
      <c r="C525" s="9" t="inlineStr">
        <is>
          <t>E1 Mena/concentrado</t>
        </is>
      </c>
      <c r="D525" s="9" t="inlineStr">
        <is>
          <t>M</t>
        </is>
      </c>
      <c r="E525" s="9" t="n">
        <v>21794732</v>
      </c>
    </row>
    <row r="526">
      <c r="A526" s="6" t="n">
        <v>2001</v>
      </c>
      <c r="B526" s="6" t="inlineStr">
        <is>
          <t>cobre</t>
        </is>
      </c>
      <c r="C526" s="6" t="inlineStr">
        <is>
          <t>E1 Mena/concentrado</t>
        </is>
      </c>
      <c r="D526" s="6" t="inlineStr">
        <is>
          <t>X</t>
        </is>
      </c>
      <c r="E526" s="6" t="n">
        <v>39768255</v>
      </c>
    </row>
    <row r="527">
      <c r="A527" s="9" t="n">
        <v>2001</v>
      </c>
      <c r="B527" s="9" t="inlineStr">
        <is>
          <t>cobre</t>
        </is>
      </c>
      <c r="C527" s="9" t="inlineStr">
        <is>
          <t>E2 Metal en bruto/refinado</t>
        </is>
      </c>
      <c r="D527" s="9" t="inlineStr">
        <is>
          <t>M</t>
        </is>
      </c>
      <c r="E527" s="9" t="n">
        <v>437104208</v>
      </c>
    </row>
    <row r="528">
      <c r="A528" s="6" t="n">
        <v>2001</v>
      </c>
      <c r="B528" s="6" t="inlineStr">
        <is>
          <t>cobre</t>
        </is>
      </c>
      <c r="C528" s="6" t="inlineStr">
        <is>
          <t>E2 Metal en bruto/refinado</t>
        </is>
      </c>
      <c r="D528" s="6" t="inlineStr">
        <is>
          <t>X</t>
        </is>
      </c>
      <c r="E528" s="6" t="n">
        <v>292886149</v>
      </c>
    </row>
    <row r="529">
      <c r="A529" s="9" t="n">
        <v>2001</v>
      </c>
      <c r="B529" s="9" t="inlineStr">
        <is>
          <t>cobre</t>
        </is>
      </c>
      <c r="C529" s="9" t="inlineStr">
        <is>
          <t>E3 Semimanufacturas</t>
        </is>
      </c>
      <c r="D529" s="9" t="inlineStr">
        <is>
          <t>M</t>
        </is>
      </c>
      <c r="E529" s="9" t="n">
        <v>512404170</v>
      </c>
    </row>
    <row r="530">
      <c r="A530" s="6" t="n">
        <v>2001</v>
      </c>
      <c r="B530" s="6" t="inlineStr">
        <is>
          <t>cobre</t>
        </is>
      </c>
      <c r="C530" s="6" t="inlineStr">
        <is>
          <t>E3 Semimanufacturas</t>
        </is>
      </c>
      <c r="D530" s="6" t="inlineStr">
        <is>
          <t>X</t>
        </is>
      </c>
      <c r="E530" s="6" t="n">
        <v>324181483</v>
      </c>
    </row>
    <row r="531">
      <c r="A531" s="9" t="n">
        <v>2001</v>
      </c>
      <c r="B531" s="9" t="inlineStr">
        <is>
          <t>cobre</t>
        </is>
      </c>
      <c r="C531" s="9" t="inlineStr">
        <is>
          <t>E4 Manufacturas</t>
        </is>
      </c>
      <c r="D531" s="9" t="inlineStr">
        <is>
          <t>M</t>
        </is>
      </c>
      <c r="E531" s="9" t="n">
        <v>562024160</v>
      </c>
    </row>
    <row r="532">
      <c r="A532" s="6" t="n">
        <v>2001</v>
      </c>
      <c r="B532" s="6" t="inlineStr">
        <is>
          <t>cobre</t>
        </is>
      </c>
      <c r="C532" s="6" t="inlineStr">
        <is>
          <t>E4 Manufacturas</t>
        </is>
      </c>
      <c r="D532" s="6" t="inlineStr">
        <is>
          <t>X</t>
        </is>
      </c>
      <c r="E532" s="6" t="n">
        <v>50060449</v>
      </c>
    </row>
    <row r="533">
      <c r="A533" s="9" t="n">
        <v>2001</v>
      </c>
      <c r="B533" s="9" t="inlineStr">
        <is>
          <t>fluorita</t>
        </is>
      </c>
      <c r="C533" s="9" t="inlineStr">
        <is>
          <t>E1 Espato fluor (crudo)</t>
        </is>
      </c>
      <c r="D533" s="9" t="inlineStr">
        <is>
          <t>M</t>
        </is>
      </c>
      <c r="E533" s="9" t="n">
        <v>3795656</v>
      </c>
    </row>
    <row r="534">
      <c r="A534" s="6" t="n">
        <v>2001</v>
      </c>
      <c r="B534" s="6" t="inlineStr">
        <is>
          <t>fluorita</t>
        </is>
      </c>
      <c r="C534" s="6" t="inlineStr">
        <is>
          <t>E1 Espato fluor (crudo)</t>
        </is>
      </c>
      <c r="D534" s="6" t="inlineStr">
        <is>
          <t>X</t>
        </is>
      </c>
      <c r="E534" s="6" t="n">
        <v>29491564</v>
      </c>
    </row>
    <row r="535">
      <c r="A535" s="9" t="n">
        <v>2001</v>
      </c>
      <c r="B535" s="9" t="inlineStr">
        <is>
          <t>fluorita</t>
        </is>
      </c>
      <c r="C535" s="9" t="inlineStr">
        <is>
          <t>E2 Fluoroquimica</t>
        </is>
      </c>
      <c r="D535" s="9" t="inlineStr">
        <is>
          <t>M</t>
        </is>
      </c>
      <c r="E535" s="9" t="n">
        <v>6575219</v>
      </c>
    </row>
    <row r="536">
      <c r="A536" s="6" t="n">
        <v>2001</v>
      </c>
      <c r="B536" s="6" t="inlineStr">
        <is>
          <t>fluorita</t>
        </is>
      </c>
      <c r="C536" s="6" t="inlineStr">
        <is>
          <t>E2 Fluoroquimica</t>
        </is>
      </c>
      <c r="D536" s="6" t="inlineStr">
        <is>
          <t>X</t>
        </is>
      </c>
      <c r="E536" s="6" t="n">
        <v>98878508</v>
      </c>
    </row>
    <row r="537">
      <c r="A537" s="9" t="n">
        <v>2001</v>
      </c>
      <c r="B537" s="9" t="inlineStr">
        <is>
          <t>grafito</t>
        </is>
      </c>
      <c r="C537" s="9" t="inlineStr">
        <is>
          <t>E1 Grafito natural</t>
        </is>
      </c>
      <c r="D537" s="9" t="inlineStr">
        <is>
          <t>M</t>
        </is>
      </c>
      <c r="E537" s="9" t="n">
        <v>1795212</v>
      </c>
    </row>
    <row r="538">
      <c r="A538" s="6" t="n">
        <v>2001</v>
      </c>
      <c r="B538" s="6" t="inlineStr">
        <is>
          <t>grafito</t>
        </is>
      </c>
      <c r="C538" s="6" t="inlineStr">
        <is>
          <t>E1 Grafito natural</t>
        </is>
      </c>
      <c r="D538" s="6" t="inlineStr">
        <is>
          <t>X</t>
        </is>
      </c>
      <c r="E538" s="6" t="n">
        <v>2331722</v>
      </c>
    </row>
    <row r="539">
      <c r="A539" s="9" t="n">
        <v>2001</v>
      </c>
      <c r="B539" s="9" t="inlineStr">
        <is>
          <t>grafito</t>
        </is>
      </c>
      <c r="C539" s="9" t="inlineStr">
        <is>
          <t>E2 Grafito artificial/prep.</t>
        </is>
      </c>
      <c r="D539" s="9" t="inlineStr">
        <is>
          <t>M</t>
        </is>
      </c>
      <c r="E539" s="9" t="n">
        <v>10427550</v>
      </c>
    </row>
    <row r="540">
      <c r="A540" s="6" t="n">
        <v>2001</v>
      </c>
      <c r="B540" s="6" t="inlineStr">
        <is>
          <t>grafito</t>
        </is>
      </c>
      <c r="C540" s="6" t="inlineStr">
        <is>
          <t>E2 Grafito artificial/prep.</t>
        </is>
      </c>
      <c r="D540" s="6" t="inlineStr">
        <is>
          <t>X</t>
        </is>
      </c>
      <c r="E540" s="6" t="n">
        <v>15626905</v>
      </c>
    </row>
    <row r="541">
      <c r="A541" s="9" t="n">
        <v>2001</v>
      </c>
      <c r="B541" s="9" t="inlineStr">
        <is>
          <t>grafito</t>
        </is>
      </c>
      <c r="C541" s="9" t="inlineStr">
        <is>
          <t>E3 Electrodos/articulos de carbono</t>
        </is>
      </c>
      <c r="D541" s="9" t="inlineStr">
        <is>
          <t>M</t>
        </is>
      </c>
      <c r="E541" s="9" t="n">
        <v>64981547</v>
      </c>
    </row>
    <row r="542">
      <c r="A542" s="6" t="n">
        <v>2001</v>
      </c>
      <c r="B542" s="6" t="inlineStr">
        <is>
          <t>grafito</t>
        </is>
      </c>
      <c r="C542" s="6" t="inlineStr">
        <is>
          <t>E3 Electrodos/articulos de carbono</t>
        </is>
      </c>
      <c r="D542" s="6" t="inlineStr">
        <is>
          <t>X</t>
        </is>
      </c>
      <c r="E542" s="6" t="n">
        <v>51324785</v>
      </c>
    </row>
    <row r="543">
      <c r="A543" s="9" t="n">
        <v>2001</v>
      </c>
      <c r="B543" s="9" t="inlineStr">
        <is>
          <t>manganeso</t>
        </is>
      </c>
      <c r="C543" s="9" t="inlineStr">
        <is>
          <t>E1 Mena/concentrado</t>
        </is>
      </c>
      <c r="D543" s="9" t="inlineStr">
        <is>
          <t>M</t>
        </is>
      </c>
      <c r="E543" s="9" t="n">
        <v>5902160</v>
      </c>
    </row>
    <row r="544">
      <c r="A544" s="6" t="n">
        <v>2001</v>
      </c>
      <c r="B544" s="6" t="inlineStr">
        <is>
          <t>manganeso</t>
        </is>
      </c>
      <c r="C544" s="6" t="inlineStr">
        <is>
          <t>E1 Mena/concentrado</t>
        </is>
      </c>
      <c r="D544" s="6" t="inlineStr">
        <is>
          <t>X</t>
        </is>
      </c>
      <c r="E544" s="6" t="n">
        <v>1983995</v>
      </c>
    </row>
    <row r="545">
      <c r="A545" s="9" t="n">
        <v>2001</v>
      </c>
      <c r="B545" s="9" t="inlineStr">
        <is>
          <t>manganeso</t>
        </is>
      </c>
      <c r="C545" s="9" t="inlineStr">
        <is>
          <t>E2 Ferroaleaciones</t>
        </is>
      </c>
      <c r="D545" s="9" t="inlineStr">
        <is>
          <t>M</t>
        </is>
      </c>
      <c r="E545" s="9" t="n">
        <v>22694687</v>
      </c>
    </row>
    <row r="546">
      <c r="A546" s="6" t="n">
        <v>2001</v>
      </c>
      <c r="B546" s="6" t="inlineStr">
        <is>
          <t>manganeso</t>
        </is>
      </c>
      <c r="C546" s="6" t="inlineStr">
        <is>
          <t>E2 Ferroaleaciones</t>
        </is>
      </c>
      <c r="D546" s="6" t="inlineStr">
        <is>
          <t>X</t>
        </is>
      </c>
      <c r="E546" s="6" t="n">
        <v>28958764</v>
      </c>
    </row>
    <row r="547">
      <c r="A547" s="9" t="n">
        <v>2001</v>
      </c>
      <c r="B547" s="9" t="inlineStr">
        <is>
          <t>manganeso</t>
        </is>
      </c>
      <c r="C547" s="9" t="inlineStr">
        <is>
          <t>E3 Quimicos/metal</t>
        </is>
      </c>
      <c r="D547" s="9" t="inlineStr">
        <is>
          <t>M</t>
        </is>
      </c>
      <c r="E547" s="9" t="n">
        <v>7915705</v>
      </c>
    </row>
    <row r="548">
      <c r="A548" s="6" t="n">
        <v>2001</v>
      </c>
      <c r="B548" s="6" t="inlineStr">
        <is>
          <t>manganeso</t>
        </is>
      </c>
      <c r="C548" s="6" t="inlineStr">
        <is>
          <t>E3 Quimicos/metal</t>
        </is>
      </c>
      <c r="D548" s="6" t="inlineStr">
        <is>
          <t>X</t>
        </is>
      </c>
      <c r="E548" s="6" t="n">
        <v>2827867</v>
      </c>
    </row>
    <row r="549">
      <c r="A549" s="9" t="n">
        <v>2001</v>
      </c>
      <c r="B549" s="9" t="inlineStr">
        <is>
          <t>oro</t>
        </is>
      </c>
      <c r="C549" s="9" t="inlineStr">
        <is>
          <t>E1 Mena/concentrado</t>
        </is>
      </c>
      <c r="D549" s="9" t="inlineStr">
        <is>
          <t>M</t>
        </is>
      </c>
      <c r="E549" s="9" t="n">
        <v>86041036</v>
      </c>
    </row>
    <row r="550">
      <c r="A550" s="6" t="n">
        <v>2001</v>
      </c>
      <c r="B550" s="6" t="inlineStr">
        <is>
          <t>oro</t>
        </is>
      </c>
      <c r="C550" s="6" t="inlineStr">
        <is>
          <t>E2 Bruto/semilabrado</t>
        </is>
      </c>
      <c r="D550" s="6" t="inlineStr">
        <is>
          <t>M</t>
        </is>
      </c>
      <c r="E550" s="6" t="n">
        <v>486402671</v>
      </c>
    </row>
    <row r="551">
      <c r="A551" s="9" t="n">
        <v>2001</v>
      </c>
      <c r="B551" s="9" t="inlineStr">
        <is>
          <t>oro</t>
        </is>
      </c>
      <c r="C551" s="9" t="inlineStr">
        <is>
          <t>E2 Bruto/semilabrado</t>
        </is>
      </c>
      <c r="D551" s="9" t="inlineStr">
        <is>
          <t>X</t>
        </is>
      </c>
      <c r="E551" s="9" t="n">
        <v>54645214</v>
      </c>
    </row>
    <row r="552">
      <c r="A552" s="6" t="n">
        <v>2001</v>
      </c>
      <c r="B552" s="6" t="inlineStr">
        <is>
          <t>oro-plata (manufacturas)</t>
        </is>
      </c>
      <c r="C552" s="6" t="inlineStr">
        <is>
          <t>E4 Joyeria/orfebreria</t>
        </is>
      </c>
      <c r="D552" s="6" t="inlineStr">
        <is>
          <t>M</t>
        </is>
      </c>
      <c r="E552" s="6" t="n">
        <v>169112377</v>
      </c>
    </row>
    <row r="553">
      <c r="A553" s="9" t="n">
        <v>2001</v>
      </c>
      <c r="B553" s="9" t="inlineStr">
        <is>
          <t>oro-plata (manufacturas)</t>
        </is>
      </c>
      <c r="C553" s="9" t="inlineStr">
        <is>
          <t>E4 Joyeria/orfebreria</t>
        </is>
      </c>
      <c r="D553" s="9" t="inlineStr">
        <is>
          <t>X</t>
        </is>
      </c>
      <c r="E553" s="9" t="n">
        <v>324190068</v>
      </c>
    </row>
    <row r="554">
      <c r="A554" s="6" t="n">
        <v>2001</v>
      </c>
      <c r="B554" s="6" t="inlineStr">
        <is>
          <t>plata</t>
        </is>
      </c>
      <c r="C554" s="6" t="inlineStr">
        <is>
          <t>E1 Mena/concentrado</t>
        </is>
      </c>
      <c r="D554" s="6" t="inlineStr">
        <is>
          <t>M</t>
        </is>
      </c>
      <c r="E554" s="6" t="n">
        <v>47867310</v>
      </c>
    </row>
    <row r="555">
      <c r="A555" s="9" t="n">
        <v>2001</v>
      </c>
      <c r="B555" s="9" t="inlineStr">
        <is>
          <t>plata</t>
        </is>
      </c>
      <c r="C555" s="9" t="inlineStr">
        <is>
          <t>E2 Bruto/semilabrado</t>
        </is>
      </c>
      <c r="D555" s="9" t="inlineStr">
        <is>
          <t>M</t>
        </is>
      </c>
      <c r="E555" s="9" t="n">
        <v>10184107</v>
      </c>
    </row>
    <row r="556">
      <c r="A556" s="6" t="n">
        <v>2001</v>
      </c>
      <c r="B556" s="6" t="inlineStr">
        <is>
          <t>plata</t>
        </is>
      </c>
      <c r="C556" s="6" t="inlineStr">
        <is>
          <t>E2 Bruto/semilabrado</t>
        </is>
      </c>
      <c r="D556" s="6" t="inlineStr">
        <is>
          <t>X</t>
        </is>
      </c>
      <c r="E556" s="6" t="n">
        <v>357431843</v>
      </c>
    </row>
    <row r="557">
      <c r="A557" s="9" t="n">
        <v>2001</v>
      </c>
      <c r="B557" s="9" t="inlineStr">
        <is>
          <t>plomo</t>
        </is>
      </c>
      <c r="C557" s="9" t="inlineStr">
        <is>
          <t>E1 Mena/concentrado</t>
        </is>
      </c>
      <c r="D557" s="9" t="inlineStr">
        <is>
          <t>M</t>
        </is>
      </c>
      <c r="E557" s="9" t="n">
        <v>40451353</v>
      </c>
    </row>
    <row r="558">
      <c r="A558" s="6" t="n">
        <v>2001</v>
      </c>
      <c r="B558" s="6" t="inlineStr">
        <is>
          <t>plomo</t>
        </is>
      </c>
      <c r="C558" s="6" t="inlineStr">
        <is>
          <t>E1 Mena/concentrado</t>
        </is>
      </c>
      <c r="D558" s="6" t="inlineStr">
        <is>
          <t>X</t>
        </is>
      </c>
      <c r="E558" s="6" t="n">
        <v>3044231</v>
      </c>
    </row>
    <row r="559">
      <c r="A559" s="9" t="n">
        <v>2001</v>
      </c>
      <c r="B559" s="9" t="inlineStr">
        <is>
          <t>plomo</t>
        </is>
      </c>
      <c r="C559" s="9" t="inlineStr">
        <is>
          <t>E2 Metal en bruto/refinado</t>
        </is>
      </c>
      <c r="D559" s="9" t="inlineStr">
        <is>
          <t>M</t>
        </is>
      </c>
      <c r="E559" s="9" t="n">
        <v>30011191</v>
      </c>
    </row>
    <row r="560">
      <c r="A560" s="6" t="n">
        <v>2001</v>
      </c>
      <c r="B560" s="6" t="inlineStr">
        <is>
          <t>plomo</t>
        </is>
      </c>
      <c r="C560" s="6" t="inlineStr">
        <is>
          <t>E2 Metal en bruto/refinado</t>
        </is>
      </c>
      <c r="D560" s="6" t="inlineStr">
        <is>
          <t>X</t>
        </is>
      </c>
      <c r="E560" s="6" t="n">
        <v>9841842</v>
      </c>
    </row>
    <row r="561">
      <c r="A561" s="9" t="n">
        <v>2001</v>
      </c>
      <c r="B561" s="9" t="inlineStr">
        <is>
          <t>plomo</t>
        </is>
      </c>
      <c r="C561" s="9" t="inlineStr">
        <is>
          <t>E3 Semimanufacturas</t>
        </is>
      </c>
      <c r="D561" s="9" t="inlineStr">
        <is>
          <t>M</t>
        </is>
      </c>
      <c r="E561" s="9" t="n">
        <v>1536741</v>
      </c>
    </row>
    <row r="562">
      <c r="A562" s="6" t="n">
        <v>2001</v>
      </c>
      <c r="B562" s="6" t="inlineStr">
        <is>
          <t>plomo</t>
        </is>
      </c>
      <c r="C562" s="6" t="inlineStr">
        <is>
          <t>E3 Semimanufacturas</t>
        </is>
      </c>
      <c r="D562" s="6" t="inlineStr">
        <is>
          <t>X</t>
        </is>
      </c>
      <c r="E562" s="6" t="n">
        <v>59948</v>
      </c>
    </row>
    <row r="563">
      <c r="A563" s="9" t="n">
        <v>2001</v>
      </c>
      <c r="B563" s="9" t="inlineStr">
        <is>
          <t>plomo</t>
        </is>
      </c>
      <c r="C563" s="9" t="inlineStr">
        <is>
          <t>E4 Manufacturas</t>
        </is>
      </c>
      <c r="D563" s="9" t="inlineStr">
        <is>
          <t>M</t>
        </is>
      </c>
      <c r="E563" s="9" t="n">
        <v>3686207</v>
      </c>
    </row>
    <row r="564">
      <c r="A564" s="6" t="n">
        <v>2001</v>
      </c>
      <c r="B564" s="6" t="inlineStr">
        <is>
          <t>plomo</t>
        </is>
      </c>
      <c r="C564" s="6" t="inlineStr">
        <is>
          <t>E4 Manufacturas</t>
        </is>
      </c>
      <c r="D564" s="6" t="inlineStr">
        <is>
          <t>X</t>
        </is>
      </c>
      <c r="E564" s="6" t="n">
        <v>769632</v>
      </c>
    </row>
    <row r="565">
      <c r="A565" s="9" t="n">
        <v>2001</v>
      </c>
      <c r="B565" s="9" t="inlineStr">
        <is>
          <t>silice</t>
        </is>
      </c>
      <c r="C565" s="9" t="inlineStr">
        <is>
          <t>E1 Arena silica/cuarzo</t>
        </is>
      </c>
      <c r="D565" s="9" t="inlineStr">
        <is>
          <t>M</t>
        </is>
      </c>
      <c r="E565" s="9" t="n">
        <v>23458093</v>
      </c>
    </row>
    <row r="566">
      <c r="A566" s="6" t="n">
        <v>2001</v>
      </c>
      <c r="B566" s="6" t="inlineStr">
        <is>
          <t>silice</t>
        </is>
      </c>
      <c r="C566" s="6" t="inlineStr">
        <is>
          <t>E1 Arena silica/cuarzo</t>
        </is>
      </c>
      <c r="D566" s="6" t="inlineStr">
        <is>
          <t>X</t>
        </is>
      </c>
      <c r="E566" s="6" t="n">
        <v>625211</v>
      </c>
    </row>
    <row r="567">
      <c r="A567" s="9" t="n">
        <v>2001</v>
      </c>
      <c r="B567" s="9" t="inlineStr">
        <is>
          <t>silice</t>
        </is>
      </c>
      <c r="C567" s="9" t="inlineStr">
        <is>
          <t>E2 Silicio/ferrosilicio/SiO2</t>
        </is>
      </c>
      <c r="D567" s="9" t="inlineStr">
        <is>
          <t>M</t>
        </is>
      </c>
      <c r="E567" s="9" t="n">
        <v>50384036</v>
      </c>
    </row>
    <row r="568">
      <c r="A568" s="6" t="n">
        <v>2001</v>
      </c>
      <c r="B568" s="6" t="inlineStr">
        <is>
          <t>silice</t>
        </is>
      </c>
      <c r="C568" s="6" t="inlineStr">
        <is>
          <t>E2 Silicio/ferrosilicio/SiO2</t>
        </is>
      </c>
      <c r="D568" s="6" t="inlineStr">
        <is>
          <t>X</t>
        </is>
      </c>
      <c r="E568" s="6" t="n">
        <v>7518561</v>
      </c>
    </row>
    <row r="569">
      <c r="A569" s="9" t="n">
        <v>2001</v>
      </c>
      <c r="B569" s="9" t="inlineStr">
        <is>
          <t>zinc</t>
        </is>
      </c>
      <c r="C569" s="9" t="inlineStr">
        <is>
          <t>E1 Mena/concentrado</t>
        </is>
      </c>
      <c r="D569" s="9" t="inlineStr">
        <is>
          <t>M</t>
        </is>
      </c>
      <c r="E569" s="9" t="n">
        <v>354325</v>
      </c>
    </row>
    <row r="570">
      <c r="A570" s="6" t="n">
        <v>2001</v>
      </c>
      <c r="B570" s="6" t="inlineStr">
        <is>
          <t>zinc</t>
        </is>
      </c>
      <c r="C570" s="6" t="inlineStr">
        <is>
          <t>E1 Mena/concentrado</t>
        </is>
      </c>
      <c r="D570" s="6" t="inlineStr">
        <is>
          <t>X</t>
        </is>
      </c>
      <c r="E570" s="6" t="n">
        <v>57019713</v>
      </c>
    </row>
    <row r="571">
      <c r="A571" s="9" t="n">
        <v>2001</v>
      </c>
      <c r="B571" s="9" t="inlineStr">
        <is>
          <t>zinc</t>
        </is>
      </c>
      <c r="C571" s="9" t="inlineStr">
        <is>
          <t>E2 Metal en bruto/refinado</t>
        </is>
      </c>
      <c r="D571" s="9" t="inlineStr">
        <is>
          <t>M</t>
        </is>
      </c>
      <c r="E571" s="9" t="n">
        <v>1186899</v>
      </c>
    </row>
    <row r="572">
      <c r="A572" s="6" t="n">
        <v>2001</v>
      </c>
      <c r="B572" s="6" t="inlineStr">
        <is>
          <t>zinc</t>
        </is>
      </c>
      <c r="C572" s="6" t="inlineStr">
        <is>
          <t>E2 Metal en bruto/refinado</t>
        </is>
      </c>
      <c r="D572" s="6" t="inlineStr">
        <is>
          <t>X</t>
        </is>
      </c>
      <c r="E572" s="6" t="n">
        <v>146840871</v>
      </c>
    </row>
    <row r="573">
      <c r="A573" s="9" t="n">
        <v>2001</v>
      </c>
      <c r="B573" s="9" t="inlineStr">
        <is>
          <t>zinc</t>
        </is>
      </c>
      <c r="C573" s="9" t="inlineStr">
        <is>
          <t>E3 Semimanufacturas</t>
        </is>
      </c>
      <c r="D573" s="9" t="inlineStr">
        <is>
          <t>M</t>
        </is>
      </c>
      <c r="E573" s="9" t="n">
        <v>15545094</v>
      </c>
    </row>
    <row r="574">
      <c r="A574" s="6" t="n">
        <v>2001</v>
      </c>
      <c r="B574" s="6" t="inlineStr">
        <is>
          <t>zinc</t>
        </is>
      </c>
      <c r="C574" s="6" t="inlineStr">
        <is>
          <t>E3 Semimanufacturas</t>
        </is>
      </c>
      <c r="D574" s="6" t="inlineStr">
        <is>
          <t>X</t>
        </is>
      </c>
      <c r="E574" s="6" t="n">
        <v>16308435</v>
      </c>
    </row>
    <row r="575">
      <c r="A575" s="9" t="n">
        <v>2001</v>
      </c>
      <c r="B575" s="9" t="inlineStr">
        <is>
          <t>zinc</t>
        </is>
      </c>
      <c r="C575" s="9" t="inlineStr">
        <is>
          <t>E4 Manufacturas</t>
        </is>
      </c>
      <c r="D575" s="9" t="inlineStr">
        <is>
          <t>M</t>
        </is>
      </c>
      <c r="E575" s="9" t="n">
        <v>42790600</v>
      </c>
    </row>
    <row r="576">
      <c r="A576" s="6" t="n">
        <v>2001</v>
      </c>
      <c r="B576" s="6" t="inlineStr">
        <is>
          <t>zinc</t>
        </is>
      </c>
      <c r="C576" s="6" t="inlineStr">
        <is>
          <t>E4 Manufacturas</t>
        </is>
      </c>
      <c r="D576" s="6" t="inlineStr">
        <is>
          <t>X</t>
        </is>
      </c>
      <c r="E576" s="6" t="n">
        <v>5068460</v>
      </c>
    </row>
    <row r="577">
      <c r="A577" s="9" t="n">
        <v>2002</v>
      </c>
      <c r="B577" s="9" t="inlineStr">
        <is>
          <t>barita</t>
        </is>
      </c>
      <c r="C577" s="9" t="inlineStr">
        <is>
          <t>E1 Crudo/molido</t>
        </is>
      </c>
      <c r="D577" s="9" t="inlineStr">
        <is>
          <t>M</t>
        </is>
      </c>
      <c r="E577" s="9" t="n">
        <v>3320508</v>
      </c>
    </row>
    <row r="578">
      <c r="A578" s="6" t="n">
        <v>2002</v>
      </c>
      <c r="B578" s="6" t="inlineStr">
        <is>
          <t>barita</t>
        </is>
      </c>
      <c r="C578" s="6" t="inlineStr">
        <is>
          <t>E1 Crudo/molido</t>
        </is>
      </c>
      <c r="D578" s="6" t="inlineStr">
        <is>
          <t>X</t>
        </is>
      </c>
      <c r="E578" s="6" t="n">
        <v>295067</v>
      </c>
    </row>
    <row r="579">
      <c r="A579" s="9" t="n">
        <v>2002</v>
      </c>
      <c r="B579" s="9" t="inlineStr">
        <is>
          <t>barita</t>
        </is>
      </c>
      <c r="C579" s="9" t="inlineStr">
        <is>
          <t>E2 Quimicos de bario</t>
        </is>
      </c>
      <c r="D579" s="9" t="inlineStr">
        <is>
          <t>M</t>
        </is>
      </c>
      <c r="E579" s="9" t="n">
        <v>1411989</v>
      </c>
    </row>
    <row r="580">
      <c r="A580" s="6" t="n">
        <v>2002</v>
      </c>
      <c r="B580" s="6" t="inlineStr">
        <is>
          <t>barita</t>
        </is>
      </c>
      <c r="C580" s="6" t="inlineStr">
        <is>
          <t>E2 Quimicos de bario</t>
        </is>
      </c>
      <c r="D580" s="6" t="inlineStr">
        <is>
          <t>X</t>
        </is>
      </c>
      <c r="E580" s="6" t="n">
        <v>1102191</v>
      </c>
    </row>
    <row r="581">
      <c r="A581" s="9" t="n">
        <v>2002</v>
      </c>
      <c r="B581" s="9" t="inlineStr">
        <is>
          <t>cobre</t>
        </is>
      </c>
      <c r="C581" s="9" t="inlineStr">
        <is>
          <t>E1 Mena/concentrado</t>
        </is>
      </c>
      <c r="D581" s="9" t="inlineStr">
        <is>
          <t>M</t>
        </is>
      </c>
      <c r="E581" s="9" t="n">
        <v>4336574</v>
      </c>
    </row>
    <row r="582">
      <c r="A582" s="6" t="n">
        <v>2002</v>
      </c>
      <c r="B582" s="6" t="inlineStr">
        <is>
          <t>cobre</t>
        </is>
      </c>
      <c r="C582" s="6" t="inlineStr">
        <is>
          <t>E1 Mena/concentrado</t>
        </is>
      </c>
      <c r="D582" s="6" t="inlineStr">
        <is>
          <t>X</t>
        </is>
      </c>
      <c r="E582" s="6" t="n">
        <v>48017012</v>
      </c>
    </row>
    <row r="583">
      <c r="A583" s="9" t="n">
        <v>2002</v>
      </c>
      <c r="B583" s="9" t="inlineStr">
        <is>
          <t>cobre</t>
        </is>
      </c>
      <c r="C583" s="9" t="inlineStr">
        <is>
          <t>E2 Metal en bruto/refinado</t>
        </is>
      </c>
      <c r="D583" s="9" t="inlineStr">
        <is>
          <t>M</t>
        </is>
      </c>
      <c r="E583" s="9" t="n">
        <v>233622475</v>
      </c>
    </row>
    <row r="584">
      <c r="A584" s="6" t="n">
        <v>2002</v>
      </c>
      <c r="B584" s="6" t="inlineStr">
        <is>
          <t>cobre</t>
        </is>
      </c>
      <c r="C584" s="6" t="inlineStr">
        <is>
          <t>E2 Metal en bruto/refinado</t>
        </is>
      </c>
      <c r="D584" s="6" t="inlineStr">
        <is>
          <t>X</t>
        </is>
      </c>
      <c r="E584" s="6" t="n">
        <v>149454604</v>
      </c>
    </row>
    <row r="585">
      <c r="A585" s="9" t="n">
        <v>2002</v>
      </c>
      <c r="B585" s="9" t="inlineStr">
        <is>
          <t>cobre</t>
        </is>
      </c>
      <c r="C585" s="9" t="inlineStr">
        <is>
          <t>E3 Semimanufacturas</t>
        </is>
      </c>
      <c r="D585" s="9" t="inlineStr">
        <is>
          <t>M</t>
        </is>
      </c>
      <c r="E585" s="9" t="n">
        <v>520399971</v>
      </c>
    </row>
    <row r="586">
      <c r="A586" s="6" t="n">
        <v>2002</v>
      </c>
      <c r="B586" s="6" t="inlineStr">
        <is>
          <t>cobre</t>
        </is>
      </c>
      <c r="C586" s="6" t="inlineStr">
        <is>
          <t>E3 Semimanufacturas</t>
        </is>
      </c>
      <c r="D586" s="6" t="inlineStr">
        <is>
          <t>X</t>
        </is>
      </c>
      <c r="E586" s="6" t="n">
        <v>231802524</v>
      </c>
    </row>
    <row r="587">
      <c r="A587" s="9" t="n">
        <v>2002</v>
      </c>
      <c r="B587" s="9" t="inlineStr">
        <is>
          <t>cobre</t>
        </is>
      </c>
      <c r="C587" s="9" t="inlineStr">
        <is>
          <t>E4 Manufacturas</t>
        </is>
      </c>
      <c r="D587" s="9" t="inlineStr">
        <is>
          <t>M</t>
        </is>
      </c>
      <c r="E587" s="9" t="n">
        <v>439314286</v>
      </c>
    </row>
    <row r="588">
      <c r="A588" s="6" t="n">
        <v>2002</v>
      </c>
      <c r="B588" s="6" t="inlineStr">
        <is>
          <t>cobre</t>
        </is>
      </c>
      <c r="C588" s="6" t="inlineStr">
        <is>
          <t>E4 Manufacturas</t>
        </is>
      </c>
      <c r="D588" s="6" t="inlineStr">
        <is>
          <t>X</t>
        </is>
      </c>
      <c r="E588" s="6" t="n">
        <v>45013842</v>
      </c>
    </row>
    <row r="589">
      <c r="A589" s="9" t="n">
        <v>2002</v>
      </c>
      <c r="B589" s="9" t="inlineStr">
        <is>
          <t>fluorita</t>
        </is>
      </c>
      <c r="C589" s="9" t="inlineStr">
        <is>
          <t>E1 Espato fluor (crudo)</t>
        </is>
      </c>
      <c r="D589" s="9" t="inlineStr">
        <is>
          <t>M</t>
        </is>
      </c>
      <c r="E589" s="9" t="n">
        <v>3016017</v>
      </c>
    </row>
    <row r="590">
      <c r="A590" s="6" t="n">
        <v>2002</v>
      </c>
      <c r="B590" s="6" t="inlineStr">
        <is>
          <t>fluorita</t>
        </is>
      </c>
      <c r="C590" s="6" t="inlineStr">
        <is>
          <t>E1 Espato fluor (crudo)</t>
        </is>
      </c>
      <c r="D590" s="6" t="inlineStr">
        <is>
          <t>X</t>
        </is>
      </c>
      <c r="E590" s="6" t="n">
        <v>29185599</v>
      </c>
    </row>
    <row r="591">
      <c r="A591" s="9" t="n">
        <v>2002</v>
      </c>
      <c r="B591" s="9" t="inlineStr">
        <is>
          <t>fluorita</t>
        </is>
      </c>
      <c r="C591" s="9" t="inlineStr">
        <is>
          <t>E2 Fluoroquimica</t>
        </is>
      </c>
      <c r="D591" s="9" t="inlineStr">
        <is>
          <t>M</t>
        </is>
      </c>
      <c r="E591" s="9" t="n">
        <v>14581026</v>
      </c>
    </row>
    <row r="592">
      <c r="A592" s="6" t="n">
        <v>2002</v>
      </c>
      <c r="B592" s="6" t="inlineStr">
        <is>
          <t>fluorita</t>
        </is>
      </c>
      <c r="C592" s="6" t="inlineStr">
        <is>
          <t>E2 Fluoroquimica</t>
        </is>
      </c>
      <c r="D592" s="6" t="inlineStr">
        <is>
          <t>X</t>
        </is>
      </c>
      <c r="E592" s="6" t="n">
        <v>100848531</v>
      </c>
    </row>
    <row r="593">
      <c r="A593" s="9" t="n">
        <v>2002</v>
      </c>
      <c r="B593" s="9" t="inlineStr">
        <is>
          <t>grafito</t>
        </is>
      </c>
      <c r="C593" s="9" t="inlineStr">
        <is>
          <t>E1 Grafito natural</t>
        </is>
      </c>
      <c r="D593" s="9" t="inlineStr">
        <is>
          <t>M</t>
        </is>
      </c>
      <c r="E593" s="9" t="n">
        <v>36696347</v>
      </c>
    </row>
    <row r="594">
      <c r="A594" s="6" t="n">
        <v>2002</v>
      </c>
      <c r="B594" s="6" t="inlineStr">
        <is>
          <t>grafito</t>
        </is>
      </c>
      <c r="C594" s="6" t="inlineStr">
        <is>
          <t>E1 Grafito natural</t>
        </is>
      </c>
      <c r="D594" s="6" t="inlineStr">
        <is>
          <t>X</t>
        </is>
      </c>
      <c r="E594" s="6" t="n">
        <v>1540744</v>
      </c>
    </row>
    <row r="595">
      <c r="A595" s="9" t="n">
        <v>2002</v>
      </c>
      <c r="B595" s="9" t="inlineStr">
        <is>
          <t>grafito</t>
        </is>
      </c>
      <c r="C595" s="9" t="inlineStr">
        <is>
          <t>E2 Grafito artificial/prep.</t>
        </is>
      </c>
      <c r="D595" s="9" t="inlineStr">
        <is>
          <t>M</t>
        </is>
      </c>
      <c r="E595" s="9" t="n">
        <v>12741220</v>
      </c>
    </row>
    <row r="596">
      <c r="A596" s="6" t="n">
        <v>2002</v>
      </c>
      <c r="B596" s="6" t="inlineStr">
        <is>
          <t>grafito</t>
        </is>
      </c>
      <c r="C596" s="6" t="inlineStr">
        <is>
          <t>E2 Grafito artificial/prep.</t>
        </is>
      </c>
      <c r="D596" s="6" t="inlineStr">
        <is>
          <t>X</t>
        </is>
      </c>
      <c r="E596" s="6" t="n">
        <v>14493558</v>
      </c>
    </row>
    <row r="597">
      <c r="A597" s="9" t="n">
        <v>2002</v>
      </c>
      <c r="B597" s="9" t="inlineStr">
        <is>
          <t>grafito</t>
        </is>
      </c>
      <c r="C597" s="9" t="inlineStr">
        <is>
          <t>E3 Electrodos/articulos de carbono</t>
        </is>
      </c>
      <c r="D597" s="9" t="inlineStr">
        <is>
          <t>M</t>
        </is>
      </c>
      <c r="E597" s="9" t="n">
        <v>67523311</v>
      </c>
    </row>
    <row r="598">
      <c r="A598" s="6" t="n">
        <v>2002</v>
      </c>
      <c r="B598" s="6" t="inlineStr">
        <is>
          <t>grafito</t>
        </is>
      </c>
      <c r="C598" s="6" t="inlineStr">
        <is>
          <t>E3 Electrodos/articulos de carbono</t>
        </is>
      </c>
      <c r="D598" s="6" t="inlineStr">
        <is>
          <t>X</t>
        </is>
      </c>
      <c r="E598" s="6" t="n">
        <v>73026697</v>
      </c>
    </row>
    <row r="599">
      <c r="A599" s="9" t="n">
        <v>2002</v>
      </c>
      <c r="B599" s="9" t="inlineStr">
        <is>
          <t>manganeso</t>
        </is>
      </c>
      <c r="C599" s="9" t="inlineStr">
        <is>
          <t>E1 Mena/concentrado</t>
        </is>
      </c>
      <c r="D599" s="9" t="inlineStr">
        <is>
          <t>M</t>
        </is>
      </c>
      <c r="E599" s="9" t="n">
        <v>5581467</v>
      </c>
    </row>
    <row r="600">
      <c r="A600" s="6" t="n">
        <v>2002</v>
      </c>
      <c r="B600" s="6" t="inlineStr">
        <is>
          <t>manganeso</t>
        </is>
      </c>
      <c r="C600" s="6" t="inlineStr">
        <is>
          <t>E1 Mena/concentrado</t>
        </is>
      </c>
      <c r="D600" s="6" t="inlineStr">
        <is>
          <t>X</t>
        </is>
      </c>
      <c r="E600" s="6" t="n">
        <v>2499186</v>
      </c>
    </row>
    <row r="601">
      <c r="A601" s="9" t="n">
        <v>2002</v>
      </c>
      <c r="B601" s="9" t="inlineStr">
        <is>
          <t>manganeso</t>
        </is>
      </c>
      <c r="C601" s="9" t="inlineStr">
        <is>
          <t>E2 Ferroaleaciones</t>
        </is>
      </c>
      <c r="D601" s="9" t="inlineStr">
        <is>
          <t>M</t>
        </is>
      </c>
      <c r="E601" s="9" t="n">
        <v>21130409</v>
      </c>
    </row>
    <row r="602">
      <c r="A602" s="6" t="n">
        <v>2002</v>
      </c>
      <c r="B602" s="6" t="inlineStr">
        <is>
          <t>manganeso</t>
        </is>
      </c>
      <c r="C602" s="6" t="inlineStr">
        <is>
          <t>E2 Ferroaleaciones</t>
        </is>
      </c>
      <c r="D602" s="6" t="inlineStr">
        <is>
          <t>X</t>
        </is>
      </c>
      <c r="E602" s="6" t="n">
        <v>14871798</v>
      </c>
    </row>
    <row r="603">
      <c r="A603" s="9" t="n">
        <v>2002</v>
      </c>
      <c r="B603" s="9" t="inlineStr">
        <is>
          <t>manganeso</t>
        </is>
      </c>
      <c r="C603" s="9" t="inlineStr">
        <is>
          <t>E3 Quimicos/metal</t>
        </is>
      </c>
      <c r="D603" s="9" t="inlineStr">
        <is>
          <t>M</t>
        </is>
      </c>
      <c r="E603" s="9" t="n">
        <v>4232621</v>
      </c>
    </row>
    <row r="604">
      <c r="A604" s="6" t="n">
        <v>2002</v>
      </c>
      <c r="B604" s="6" t="inlineStr">
        <is>
          <t>manganeso</t>
        </is>
      </c>
      <c r="C604" s="6" t="inlineStr">
        <is>
          <t>E3 Quimicos/metal</t>
        </is>
      </c>
      <c r="D604" s="6" t="inlineStr">
        <is>
          <t>X</t>
        </is>
      </c>
      <c r="E604" s="6" t="n">
        <v>1654855</v>
      </c>
    </row>
    <row r="605">
      <c r="A605" s="9" t="n">
        <v>2002</v>
      </c>
      <c r="B605" s="9" t="inlineStr">
        <is>
          <t>oro</t>
        </is>
      </c>
      <c r="C605" s="9" t="inlineStr">
        <is>
          <t>E1 Mena/concentrado</t>
        </is>
      </c>
      <c r="D605" s="9" t="inlineStr">
        <is>
          <t>M</t>
        </is>
      </c>
      <c r="E605" s="9" t="n">
        <v>126586349</v>
      </c>
    </row>
    <row r="606">
      <c r="A606" s="6" t="n">
        <v>2002</v>
      </c>
      <c r="B606" s="6" t="inlineStr">
        <is>
          <t>oro</t>
        </is>
      </c>
      <c r="C606" s="6" t="inlineStr">
        <is>
          <t>E2 Bruto/semilabrado</t>
        </is>
      </c>
      <c r="D606" s="6" t="inlineStr">
        <is>
          <t>M</t>
        </is>
      </c>
      <c r="E606" s="6" t="n">
        <v>290071067</v>
      </c>
    </row>
    <row r="607">
      <c r="A607" s="9" t="n">
        <v>2002</v>
      </c>
      <c r="B607" s="9" t="inlineStr">
        <is>
          <t>oro</t>
        </is>
      </c>
      <c r="C607" s="9" t="inlineStr">
        <is>
          <t>E2 Bruto/semilabrado</t>
        </is>
      </c>
      <c r="D607" s="9" t="inlineStr">
        <is>
          <t>X</t>
        </is>
      </c>
      <c r="E607" s="9" t="n">
        <v>80204403</v>
      </c>
    </row>
    <row r="608">
      <c r="A608" s="6" t="n">
        <v>2002</v>
      </c>
      <c r="B608" s="6" t="inlineStr">
        <is>
          <t>oro-plata (manufacturas)</t>
        </is>
      </c>
      <c r="C608" s="6" t="inlineStr">
        <is>
          <t>E4 Joyeria/orfebreria</t>
        </is>
      </c>
      <c r="D608" s="6" t="inlineStr">
        <is>
          <t>M</t>
        </is>
      </c>
      <c r="E608" s="6" t="n">
        <v>219020443</v>
      </c>
    </row>
    <row r="609">
      <c r="A609" s="9" t="n">
        <v>2002</v>
      </c>
      <c r="B609" s="9" t="inlineStr">
        <is>
          <t>oro-plata (manufacturas)</t>
        </is>
      </c>
      <c r="C609" s="9" t="inlineStr">
        <is>
          <t>E4 Joyeria/orfebreria</t>
        </is>
      </c>
      <c r="D609" s="9" t="inlineStr">
        <is>
          <t>X</t>
        </is>
      </c>
      <c r="E609" s="9" t="n">
        <v>337614943</v>
      </c>
    </row>
    <row r="610">
      <c r="A610" s="6" t="n">
        <v>2002</v>
      </c>
      <c r="B610" s="6" t="inlineStr">
        <is>
          <t>plata</t>
        </is>
      </c>
      <c r="C610" s="6" t="inlineStr">
        <is>
          <t>E1 Mena/concentrado</t>
        </is>
      </c>
      <c r="D610" s="6" t="inlineStr">
        <is>
          <t>M</t>
        </is>
      </c>
      <c r="E610" s="6" t="n">
        <v>95976856</v>
      </c>
    </row>
    <row r="611">
      <c r="A611" s="9" t="n">
        <v>2002</v>
      </c>
      <c r="B611" s="9" t="inlineStr">
        <is>
          <t>plata</t>
        </is>
      </c>
      <c r="C611" s="9" t="inlineStr">
        <is>
          <t>E1 Mena/concentrado</t>
        </is>
      </c>
      <c r="D611" s="9" t="inlineStr">
        <is>
          <t>X</t>
        </is>
      </c>
      <c r="E611" s="9" t="n">
        <v>628644</v>
      </c>
    </row>
    <row r="612">
      <c r="A612" s="6" t="n">
        <v>2002</v>
      </c>
      <c r="B612" s="6" t="inlineStr">
        <is>
          <t>plata</t>
        </is>
      </c>
      <c r="C612" s="6" t="inlineStr">
        <is>
          <t>E2 Bruto/semilabrado</t>
        </is>
      </c>
      <c r="D612" s="6" t="inlineStr">
        <is>
          <t>M</t>
        </is>
      </c>
      <c r="E612" s="6" t="n">
        <v>35094157</v>
      </c>
    </row>
    <row r="613">
      <c r="A613" s="9" t="n">
        <v>2002</v>
      </c>
      <c r="B613" s="9" t="inlineStr">
        <is>
          <t>plata</t>
        </is>
      </c>
      <c r="C613" s="9" t="inlineStr">
        <is>
          <t>E2 Bruto/semilabrado</t>
        </is>
      </c>
      <c r="D613" s="9" t="inlineStr">
        <is>
          <t>X</t>
        </is>
      </c>
      <c r="E613" s="9" t="n">
        <v>531368930</v>
      </c>
    </row>
    <row r="614">
      <c r="A614" s="6" t="n">
        <v>2002</v>
      </c>
      <c r="B614" s="6" t="inlineStr">
        <is>
          <t>plomo</t>
        </is>
      </c>
      <c r="C614" s="6" t="inlineStr">
        <is>
          <t>E1 Mena/concentrado</t>
        </is>
      </c>
      <c r="D614" s="6" t="inlineStr">
        <is>
          <t>M</t>
        </is>
      </c>
      <c r="E614" s="6" t="n">
        <v>55745001</v>
      </c>
    </row>
    <row r="615">
      <c r="A615" s="9" t="n">
        <v>2002</v>
      </c>
      <c r="B615" s="9" t="inlineStr">
        <is>
          <t>plomo</t>
        </is>
      </c>
      <c r="C615" s="9" t="inlineStr">
        <is>
          <t>E1 Mena/concentrado</t>
        </is>
      </c>
      <c r="D615" s="9" t="inlineStr">
        <is>
          <t>X</t>
        </is>
      </c>
      <c r="E615" s="9" t="n">
        <v>690361</v>
      </c>
    </row>
    <row r="616">
      <c r="A616" s="6" t="n">
        <v>2002</v>
      </c>
      <c r="B616" s="6" t="inlineStr">
        <is>
          <t>plomo</t>
        </is>
      </c>
      <c r="C616" s="6" t="inlineStr">
        <is>
          <t>E2 Metal en bruto/refinado</t>
        </is>
      </c>
      <c r="D616" s="6" t="inlineStr">
        <is>
          <t>M</t>
        </is>
      </c>
      <c r="E616" s="6" t="n">
        <v>27476387</v>
      </c>
    </row>
    <row r="617">
      <c r="A617" s="9" t="n">
        <v>2002</v>
      </c>
      <c r="B617" s="9" t="inlineStr">
        <is>
          <t>plomo</t>
        </is>
      </c>
      <c r="C617" s="9" t="inlineStr">
        <is>
          <t>E2 Metal en bruto/refinado</t>
        </is>
      </c>
      <c r="D617" s="9" t="inlineStr">
        <is>
          <t>X</t>
        </is>
      </c>
      <c r="E617" s="9" t="n">
        <v>5307047</v>
      </c>
    </row>
    <row r="618">
      <c r="A618" s="6" t="n">
        <v>2002</v>
      </c>
      <c r="B618" s="6" t="inlineStr">
        <is>
          <t>plomo</t>
        </is>
      </c>
      <c r="C618" s="6" t="inlineStr">
        <is>
          <t>E3 Semimanufacturas</t>
        </is>
      </c>
      <c r="D618" s="6" t="inlineStr">
        <is>
          <t>M</t>
        </is>
      </c>
      <c r="E618" s="6" t="n">
        <v>1153423</v>
      </c>
    </row>
    <row r="619">
      <c r="A619" s="9" t="n">
        <v>2002</v>
      </c>
      <c r="B619" s="9" t="inlineStr">
        <is>
          <t>plomo</t>
        </is>
      </c>
      <c r="C619" s="9" t="inlineStr">
        <is>
          <t>E3 Semimanufacturas</t>
        </is>
      </c>
      <c r="D619" s="9" t="inlineStr">
        <is>
          <t>X</t>
        </is>
      </c>
      <c r="E619" s="9" t="n">
        <v>167820</v>
      </c>
    </row>
    <row r="620">
      <c r="A620" s="6" t="n">
        <v>2002</v>
      </c>
      <c r="B620" s="6" t="inlineStr">
        <is>
          <t>plomo</t>
        </is>
      </c>
      <c r="C620" s="6" t="inlineStr">
        <is>
          <t>E4 Manufacturas</t>
        </is>
      </c>
      <c r="D620" s="6" t="inlineStr">
        <is>
          <t>M</t>
        </is>
      </c>
      <c r="E620" s="6" t="n">
        <v>3782065</v>
      </c>
    </row>
    <row r="621">
      <c r="A621" s="9" t="n">
        <v>2002</v>
      </c>
      <c r="B621" s="9" t="inlineStr">
        <is>
          <t>plomo</t>
        </is>
      </c>
      <c r="C621" s="9" t="inlineStr">
        <is>
          <t>E4 Manufacturas</t>
        </is>
      </c>
      <c r="D621" s="9" t="inlineStr">
        <is>
          <t>X</t>
        </is>
      </c>
      <c r="E621" s="9" t="n">
        <v>669643</v>
      </c>
    </row>
    <row r="622">
      <c r="A622" s="6" t="n">
        <v>2002</v>
      </c>
      <c r="B622" s="6" t="inlineStr">
        <is>
          <t>silice</t>
        </is>
      </c>
      <c r="C622" s="6" t="inlineStr">
        <is>
          <t>E1 Arena silica/cuarzo</t>
        </is>
      </c>
      <c r="D622" s="6" t="inlineStr">
        <is>
          <t>M</t>
        </is>
      </c>
      <c r="E622" s="6" t="n">
        <v>28535857</v>
      </c>
    </row>
    <row r="623">
      <c r="A623" s="9" t="n">
        <v>2002</v>
      </c>
      <c r="B623" s="9" t="inlineStr">
        <is>
          <t>silice</t>
        </is>
      </c>
      <c r="C623" s="9" t="inlineStr">
        <is>
          <t>E1 Arena silica/cuarzo</t>
        </is>
      </c>
      <c r="D623" s="9" t="inlineStr">
        <is>
          <t>X</t>
        </is>
      </c>
      <c r="E623" s="9" t="n">
        <v>339074</v>
      </c>
    </row>
    <row r="624">
      <c r="A624" s="6" t="n">
        <v>2002</v>
      </c>
      <c r="B624" s="6" t="inlineStr">
        <is>
          <t>silice</t>
        </is>
      </c>
      <c r="C624" s="6" t="inlineStr">
        <is>
          <t>E2 Silicio/ferrosilicio/SiO2</t>
        </is>
      </c>
      <c r="D624" s="6" t="inlineStr">
        <is>
          <t>M</t>
        </is>
      </c>
      <c r="E624" s="6" t="n">
        <v>53627912</v>
      </c>
    </row>
    <row r="625">
      <c r="A625" s="9" t="n">
        <v>2002</v>
      </c>
      <c r="B625" s="9" t="inlineStr">
        <is>
          <t>silice</t>
        </is>
      </c>
      <c r="C625" s="9" t="inlineStr">
        <is>
          <t>E2 Silicio/ferrosilicio/SiO2</t>
        </is>
      </c>
      <c r="D625" s="9" t="inlineStr">
        <is>
          <t>X</t>
        </is>
      </c>
      <c r="E625" s="9" t="n">
        <v>5684154</v>
      </c>
    </row>
    <row r="626">
      <c r="A626" s="6" t="n">
        <v>2002</v>
      </c>
      <c r="B626" s="6" t="inlineStr">
        <is>
          <t>zinc</t>
        </is>
      </c>
      <c r="C626" s="6" t="inlineStr">
        <is>
          <t>E1 Mena/concentrado</t>
        </is>
      </c>
      <c r="D626" s="6" t="inlineStr">
        <is>
          <t>M</t>
        </is>
      </c>
      <c r="E626" s="6" t="n">
        <v>22654</v>
      </c>
    </row>
    <row r="627">
      <c r="A627" s="9" t="n">
        <v>2002</v>
      </c>
      <c r="B627" s="9" t="inlineStr">
        <is>
          <t>zinc</t>
        </is>
      </c>
      <c r="C627" s="9" t="inlineStr">
        <is>
          <t>E1 Mena/concentrado</t>
        </is>
      </c>
      <c r="D627" s="9" t="inlineStr">
        <is>
          <t>X</t>
        </is>
      </c>
      <c r="E627" s="9" t="n">
        <v>54149930</v>
      </c>
    </row>
    <row r="628">
      <c r="A628" s="6" t="n">
        <v>2002</v>
      </c>
      <c r="B628" s="6" t="inlineStr">
        <is>
          <t>zinc</t>
        </is>
      </c>
      <c r="C628" s="6" t="inlineStr">
        <is>
          <t>E2 Metal en bruto/refinado</t>
        </is>
      </c>
      <c r="D628" s="6" t="inlineStr">
        <is>
          <t>M</t>
        </is>
      </c>
      <c r="E628" s="6" t="n">
        <v>812599</v>
      </c>
    </row>
    <row r="629">
      <c r="A629" s="9" t="n">
        <v>2002</v>
      </c>
      <c r="B629" s="9" t="inlineStr">
        <is>
          <t>zinc</t>
        </is>
      </c>
      <c r="C629" s="9" t="inlineStr">
        <is>
          <t>E2 Metal en bruto/refinado</t>
        </is>
      </c>
      <c r="D629" s="9" t="inlineStr">
        <is>
          <t>X</t>
        </is>
      </c>
      <c r="E629" s="9" t="n">
        <v>140721783</v>
      </c>
    </row>
    <row r="630">
      <c r="A630" s="6" t="n">
        <v>2002</v>
      </c>
      <c r="B630" s="6" t="inlineStr">
        <is>
          <t>zinc</t>
        </is>
      </c>
      <c r="C630" s="6" t="inlineStr">
        <is>
          <t>E3 Semimanufacturas</t>
        </is>
      </c>
      <c r="D630" s="6" t="inlineStr">
        <is>
          <t>M</t>
        </is>
      </c>
      <c r="E630" s="6" t="n">
        <v>17327671</v>
      </c>
    </row>
    <row r="631">
      <c r="A631" s="9" t="n">
        <v>2002</v>
      </c>
      <c r="B631" s="9" t="inlineStr">
        <is>
          <t>zinc</t>
        </is>
      </c>
      <c r="C631" s="9" t="inlineStr">
        <is>
          <t>E3 Semimanufacturas</t>
        </is>
      </c>
      <c r="D631" s="9" t="inlineStr">
        <is>
          <t>X</t>
        </is>
      </c>
      <c r="E631" s="9" t="n">
        <v>497806</v>
      </c>
    </row>
    <row r="632">
      <c r="A632" s="6" t="n">
        <v>2002</v>
      </c>
      <c r="B632" s="6" t="inlineStr">
        <is>
          <t>zinc</t>
        </is>
      </c>
      <c r="C632" s="6" t="inlineStr">
        <is>
          <t>E4 Manufacturas</t>
        </is>
      </c>
      <c r="D632" s="6" t="inlineStr">
        <is>
          <t>M</t>
        </is>
      </c>
      <c r="E632" s="6" t="n">
        <v>29196836</v>
      </c>
    </row>
    <row r="633">
      <c r="A633" s="9" t="n">
        <v>2002</v>
      </c>
      <c r="B633" s="9" t="inlineStr">
        <is>
          <t>zinc</t>
        </is>
      </c>
      <c r="C633" s="9" t="inlineStr">
        <is>
          <t>E4 Manufacturas</t>
        </is>
      </c>
      <c r="D633" s="9" t="inlineStr">
        <is>
          <t>X</t>
        </is>
      </c>
      <c r="E633" s="9" t="n">
        <v>20310677</v>
      </c>
    </row>
    <row r="634">
      <c r="A634" s="6" t="n">
        <v>2003</v>
      </c>
      <c r="B634" s="6" t="inlineStr">
        <is>
          <t>barita</t>
        </is>
      </c>
      <c r="C634" s="6" t="inlineStr">
        <is>
          <t>E1 Crudo/molido</t>
        </is>
      </c>
      <c r="D634" s="6" t="inlineStr">
        <is>
          <t>M</t>
        </is>
      </c>
      <c r="E634" s="6" t="n">
        <v>9568479</v>
      </c>
    </row>
    <row r="635">
      <c r="A635" s="9" t="n">
        <v>2003</v>
      </c>
      <c r="B635" s="9" t="inlineStr">
        <is>
          <t>barita</t>
        </is>
      </c>
      <c r="C635" s="9" t="inlineStr">
        <is>
          <t>E1 Crudo/molido</t>
        </is>
      </c>
      <c r="D635" s="9" t="inlineStr">
        <is>
          <t>X</t>
        </is>
      </c>
      <c r="E635" s="9" t="n">
        <v>158568</v>
      </c>
    </row>
    <row r="636">
      <c r="A636" s="6" t="n">
        <v>2003</v>
      </c>
      <c r="B636" s="6" t="inlineStr">
        <is>
          <t>barita</t>
        </is>
      </c>
      <c r="C636" s="6" t="inlineStr">
        <is>
          <t>E2 Quimicos de bario</t>
        </is>
      </c>
      <c r="D636" s="6" t="inlineStr">
        <is>
          <t>M</t>
        </is>
      </c>
      <c r="E636" s="6" t="n">
        <v>1659397</v>
      </c>
    </row>
    <row r="637">
      <c r="A637" s="9" t="n">
        <v>2003</v>
      </c>
      <c r="B637" s="9" t="inlineStr">
        <is>
          <t>barita</t>
        </is>
      </c>
      <c r="C637" s="9" t="inlineStr">
        <is>
          <t>E2 Quimicos de bario</t>
        </is>
      </c>
      <c r="D637" s="9" t="inlineStr">
        <is>
          <t>X</t>
        </is>
      </c>
      <c r="E637" s="9" t="n">
        <v>2856761</v>
      </c>
    </row>
    <row r="638">
      <c r="A638" s="6" t="n">
        <v>2003</v>
      </c>
      <c r="B638" s="6" t="inlineStr">
        <is>
          <t>cobre</t>
        </is>
      </c>
      <c r="C638" s="6" t="inlineStr">
        <is>
          <t>E1 Mena/concentrado</t>
        </is>
      </c>
      <c r="D638" s="6" t="inlineStr">
        <is>
          <t>M</t>
        </is>
      </c>
      <c r="E638" s="6" t="n">
        <v>49285</v>
      </c>
    </row>
    <row r="639">
      <c r="A639" s="9" t="n">
        <v>2003</v>
      </c>
      <c r="B639" s="9" t="inlineStr">
        <is>
          <t>cobre</t>
        </is>
      </c>
      <c r="C639" s="9" t="inlineStr">
        <is>
          <t>E1 Mena/concentrado</t>
        </is>
      </c>
      <c r="D639" s="9" t="inlineStr">
        <is>
          <t>X</t>
        </is>
      </c>
      <c r="E639" s="9" t="n">
        <v>55865611</v>
      </c>
    </row>
    <row r="640">
      <c r="A640" s="6" t="n">
        <v>2003</v>
      </c>
      <c r="B640" s="6" t="inlineStr">
        <is>
          <t>cobre</t>
        </is>
      </c>
      <c r="C640" s="6" t="inlineStr">
        <is>
          <t>E2 Metal en bruto/refinado</t>
        </is>
      </c>
      <c r="D640" s="6" t="inlineStr">
        <is>
          <t>M</t>
        </is>
      </c>
      <c r="E640" s="6" t="n">
        <v>234595409</v>
      </c>
    </row>
    <row r="641">
      <c r="A641" s="9" t="n">
        <v>2003</v>
      </c>
      <c r="B641" s="9" t="inlineStr">
        <is>
          <t>cobre</t>
        </is>
      </c>
      <c r="C641" s="9" t="inlineStr">
        <is>
          <t>E2 Metal en bruto/refinado</t>
        </is>
      </c>
      <c r="D641" s="9" t="inlineStr">
        <is>
          <t>X</t>
        </is>
      </c>
      <c r="E641" s="9" t="n">
        <v>95820988</v>
      </c>
    </row>
    <row r="642">
      <c r="A642" s="6" t="n">
        <v>2003</v>
      </c>
      <c r="B642" s="6" t="inlineStr">
        <is>
          <t>cobre</t>
        </is>
      </c>
      <c r="C642" s="6" t="inlineStr">
        <is>
          <t>E3 Semimanufacturas</t>
        </is>
      </c>
      <c r="D642" s="6" t="inlineStr">
        <is>
          <t>M</t>
        </is>
      </c>
      <c r="E642" s="6" t="n">
        <v>532673983</v>
      </c>
    </row>
    <row r="643">
      <c r="A643" s="9" t="n">
        <v>2003</v>
      </c>
      <c r="B643" s="9" t="inlineStr">
        <is>
          <t>cobre</t>
        </is>
      </c>
      <c r="C643" s="9" t="inlineStr">
        <is>
          <t>E3 Semimanufacturas</t>
        </is>
      </c>
      <c r="D643" s="9" t="inlineStr">
        <is>
          <t>X</t>
        </is>
      </c>
      <c r="E643" s="9" t="n">
        <v>231848154</v>
      </c>
    </row>
    <row r="644">
      <c r="A644" s="6" t="n">
        <v>2003</v>
      </c>
      <c r="B644" s="6" t="inlineStr">
        <is>
          <t>cobre</t>
        </is>
      </c>
      <c r="C644" s="6" t="inlineStr">
        <is>
          <t>E4 Manufacturas</t>
        </is>
      </c>
      <c r="D644" s="6" t="inlineStr">
        <is>
          <t>M</t>
        </is>
      </c>
      <c r="E644" s="6" t="n">
        <v>441731514</v>
      </c>
    </row>
    <row r="645">
      <c r="A645" s="9" t="n">
        <v>2003</v>
      </c>
      <c r="B645" s="9" t="inlineStr">
        <is>
          <t>cobre</t>
        </is>
      </c>
      <c r="C645" s="9" t="inlineStr">
        <is>
          <t>E4 Manufacturas</t>
        </is>
      </c>
      <c r="D645" s="9" t="inlineStr">
        <is>
          <t>X</t>
        </is>
      </c>
      <c r="E645" s="9" t="n">
        <v>36465117</v>
      </c>
    </row>
    <row r="646">
      <c r="A646" s="6" t="n">
        <v>2003</v>
      </c>
      <c r="B646" s="6" t="inlineStr">
        <is>
          <t>fluorita</t>
        </is>
      </c>
      <c r="C646" s="6" t="inlineStr">
        <is>
          <t>E1 Espato fluor (crudo)</t>
        </is>
      </c>
      <c r="D646" s="6" t="inlineStr">
        <is>
          <t>M</t>
        </is>
      </c>
      <c r="E646" s="6" t="n">
        <v>2214955</v>
      </c>
    </row>
    <row r="647">
      <c r="A647" s="9" t="n">
        <v>2003</v>
      </c>
      <c r="B647" s="9" t="inlineStr">
        <is>
          <t>fluorita</t>
        </is>
      </c>
      <c r="C647" s="9" t="inlineStr">
        <is>
          <t>E1 Espato fluor (crudo)</t>
        </is>
      </c>
      <c r="D647" s="9" t="inlineStr">
        <is>
          <t>X</t>
        </is>
      </c>
      <c r="E647" s="9" t="n">
        <v>39306023</v>
      </c>
    </row>
    <row r="648">
      <c r="A648" s="6" t="n">
        <v>2003</v>
      </c>
      <c r="B648" s="6" t="inlineStr">
        <is>
          <t>fluorita</t>
        </is>
      </c>
      <c r="C648" s="6" t="inlineStr">
        <is>
          <t>E2 Fluoroquimica</t>
        </is>
      </c>
      <c r="D648" s="6" t="inlineStr">
        <is>
          <t>M</t>
        </is>
      </c>
      <c r="E648" s="6" t="n">
        <v>16800532</v>
      </c>
    </row>
    <row r="649">
      <c r="A649" s="9" t="n">
        <v>2003</v>
      </c>
      <c r="B649" s="9" t="inlineStr">
        <is>
          <t>fluorita</t>
        </is>
      </c>
      <c r="C649" s="9" t="inlineStr">
        <is>
          <t>E2 Fluoroquimica</t>
        </is>
      </c>
      <c r="D649" s="9" t="inlineStr">
        <is>
          <t>X</t>
        </is>
      </c>
      <c r="E649" s="9" t="n">
        <v>94480357</v>
      </c>
    </row>
    <row r="650">
      <c r="A650" s="6" t="n">
        <v>2003</v>
      </c>
      <c r="B650" s="6" t="inlineStr">
        <is>
          <t>grafito</t>
        </is>
      </c>
      <c r="C650" s="6" t="inlineStr">
        <is>
          <t>E1 Grafito natural</t>
        </is>
      </c>
      <c r="D650" s="6" t="inlineStr">
        <is>
          <t>M</t>
        </is>
      </c>
      <c r="E650" s="6" t="n">
        <v>1813564</v>
      </c>
    </row>
    <row r="651">
      <c r="A651" s="9" t="n">
        <v>2003</v>
      </c>
      <c r="B651" s="9" t="inlineStr">
        <is>
          <t>grafito</t>
        </is>
      </c>
      <c r="C651" s="9" t="inlineStr">
        <is>
          <t>E1 Grafito natural</t>
        </is>
      </c>
      <c r="D651" s="9" t="inlineStr">
        <is>
          <t>X</t>
        </is>
      </c>
      <c r="E651" s="9" t="n">
        <v>1493698</v>
      </c>
    </row>
    <row r="652">
      <c r="A652" s="6" t="n">
        <v>2003</v>
      </c>
      <c r="B652" s="6" t="inlineStr">
        <is>
          <t>grafito</t>
        </is>
      </c>
      <c r="C652" s="6" t="inlineStr">
        <is>
          <t>E2 Grafito artificial/prep.</t>
        </is>
      </c>
      <c r="D652" s="6" t="inlineStr">
        <is>
          <t>M</t>
        </is>
      </c>
      <c r="E652" s="6" t="n">
        <v>16760381</v>
      </c>
    </row>
    <row r="653">
      <c r="A653" s="9" t="n">
        <v>2003</v>
      </c>
      <c r="B653" s="9" t="inlineStr">
        <is>
          <t>grafito</t>
        </is>
      </c>
      <c r="C653" s="9" t="inlineStr">
        <is>
          <t>E2 Grafito artificial/prep.</t>
        </is>
      </c>
      <c r="D653" s="9" t="inlineStr">
        <is>
          <t>X</t>
        </is>
      </c>
      <c r="E653" s="9" t="n">
        <v>10553422</v>
      </c>
    </row>
    <row r="654">
      <c r="A654" s="6" t="n">
        <v>2003</v>
      </c>
      <c r="B654" s="6" t="inlineStr">
        <is>
          <t>grafito</t>
        </is>
      </c>
      <c r="C654" s="6" t="inlineStr">
        <is>
          <t>E3 Electrodos/articulos de carbono</t>
        </is>
      </c>
      <c r="D654" s="6" t="inlineStr">
        <is>
          <t>M</t>
        </is>
      </c>
      <c r="E654" s="6" t="n">
        <v>76176123</v>
      </c>
    </row>
    <row r="655">
      <c r="A655" s="9" t="n">
        <v>2003</v>
      </c>
      <c r="B655" s="9" t="inlineStr">
        <is>
          <t>grafito</t>
        </is>
      </c>
      <c r="C655" s="9" t="inlineStr">
        <is>
          <t>E3 Electrodos/articulos de carbono</t>
        </is>
      </c>
      <c r="D655" s="9" t="inlineStr">
        <is>
          <t>X</t>
        </is>
      </c>
      <c r="E655" s="9" t="n">
        <v>108394185</v>
      </c>
    </row>
    <row r="656">
      <c r="A656" s="6" t="n">
        <v>2003</v>
      </c>
      <c r="B656" s="6" t="inlineStr">
        <is>
          <t>manganeso</t>
        </is>
      </c>
      <c r="C656" s="6" t="inlineStr">
        <is>
          <t>E1 Mena/concentrado</t>
        </is>
      </c>
      <c r="D656" s="6" t="inlineStr">
        <is>
          <t>M</t>
        </is>
      </c>
      <c r="E656" s="6" t="n">
        <v>8919599</v>
      </c>
    </row>
    <row r="657">
      <c r="A657" s="9" t="n">
        <v>2003</v>
      </c>
      <c r="B657" s="9" t="inlineStr">
        <is>
          <t>manganeso</t>
        </is>
      </c>
      <c r="C657" s="9" t="inlineStr">
        <is>
          <t>E1 Mena/concentrado</t>
        </is>
      </c>
      <c r="D657" s="9" t="inlineStr">
        <is>
          <t>X</t>
        </is>
      </c>
      <c r="E657" s="9" t="n">
        <v>2311065</v>
      </c>
    </row>
    <row r="658">
      <c r="A658" s="6" t="n">
        <v>2003</v>
      </c>
      <c r="B658" s="6" t="inlineStr">
        <is>
          <t>manganeso</t>
        </is>
      </c>
      <c r="C658" s="6" t="inlineStr">
        <is>
          <t>E2 Ferroaleaciones</t>
        </is>
      </c>
      <c r="D658" s="6" t="inlineStr">
        <is>
          <t>M</t>
        </is>
      </c>
      <c r="E658" s="6" t="n">
        <v>16833540</v>
      </c>
    </row>
    <row r="659">
      <c r="A659" s="9" t="n">
        <v>2003</v>
      </c>
      <c r="B659" s="9" t="inlineStr">
        <is>
          <t>manganeso</t>
        </is>
      </c>
      <c r="C659" s="9" t="inlineStr">
        <is>
          <t>E2 Ferroaleaciones</t>
        </is>
      </c>
      <c r="D659" s="9" t="inlineStr">
        <is>
          <t>X</t>
        </is>
      </c>
      <c r="E659" s="9" t="n">
        <v>23184846</v>
      </c>
    </row>
    <row r="660">
      <c r="A660" s="6" t="n">
        <v>2003</v>
      </c>
      <c r="B660" s="6" t="inlineStr">
        <is>
          <t>manganeso</t>
        </is>
      </c>
      <c r="C660" s="6" t="inlineStr">
        <is>
          <t>E3 Quimicos/metal</t>
        </is>
      </c>
      <c r="D660" s="6" t="inlineStr">
        <is>
          <t>M</t>
        </is>
      </c>
      <c r="E660" s="6" t="n">
        <v>3558251</v>
      </c>
    </row>
    <row r="661">
      <c r="A661" s="9" t="n">
        <v>2003</v>
      </c>
      <c r="B661" s="9" t="inlineStr">
        <is>
          <t>manganeso</t>
        </is>
      </c>
      <c r="C661" s="9" t="inlineStr">
        <is>
          <t>E3 Quimicos/metal</t>
        </is>
      </c>
      <c r="D661" s="9" t="inlineStr">
        <is>
          <t>X</t>
        </is>
      </c>
      <c r="E661" s="9" t="n">
        <v>973944</v>
      </c>
    </row>
    <row r="662">
      <c r="A662" s="6" t="n">
        <v>2003</v>
      </c>
      <c r="B662" s="6" t="inlineStr">
        <is>
          <t>oro</t>
        </is>
      </c>
      <c r="C662" s="6" t="inlineStr">
        <is>
          <t>E1 Mena/concentrado</t>
        </is>
      </c>
      <c r="D662" s="6" t="inlineStr">
        <is>
          <t>M</t>
        </is>
      </c>
      <c r="E662" s="6" t="n">
        <v>64009451</v>
      </c>
    </row>
    <row r="663">
      <c r="A663" s="9" t="n">
        <v>2003</v>
      </c>
      <c r="B663" s="9" t="inlineStr">
        <is>
          <t>oro</t>
        </is>
      </c>
      <c r="C663" s="9" t="inlineStr">
        <is>
          <t>E2 Bruto/semilabrado</t>
        </is>
      </c>
      <c r="D663" s="9" t="inlineStr">
        <is>
          <t>M</t>
        </is>
      </c>
      <c r="E663" s="9" t="n">
        <v>260938511</v>
      </c>
    </row>
    <row r="664">
      <c r="A664" s="6" t="n">
        <v>2003</v>
      </c>
      <c r="B664" s="6" t="inlineStr">
        <is>
          <t>oro</t>
        </is>
      </c>
      <c r="C664" s="6" t="inlineStr">
        <is>
          <t>E2 Bruto/semilabrado</t>
        </is>
      </c>
      <c r="D664" s="6" t="inlineStr">
        <is>
          <t>X</t>
        </is>
      </c>
      <c r="E664" s="6" t="n">
        <v>156753172</v>
      </c>
    </row>
    <row r="665">
      <c r="A665" s="9" t="n">
        <v>2003</v>
      </c>
      <c r="B665" s="9" t="inlineStr">
        <is>
          <t>oro-plata (manufacturas)</t>
        </is>
      </c>
      <c r="C665" s="9" t="inlineStr">
        <is>
          <t>E4 Joyeria/orfebreria</t>
        </is>
      </c>
      <c r="D665" s="9" t="inlineStr">
        <is>
          <t>M</t>
        </is>
      </c>
      <c r="E665" s="9" t="n">
        <v>258332154</v>
      </c>
    </row>
    <row r="666">
      <c r="A666" s="6" t="n">
        <v>2003</v>
      </c>
      <c r="B666" s="6" t="inlineStr">
        <is>
          <t>oro-plata (manufacturas)</t>
        </is>
      </c>
      <c r="C666" s="6" t="inlineStr">
        <is>
          <t>E4 Joyeria/orfebreria</t>
        </is>
      </c>
      <c r="D666" s="6" t="inlineStr">
        <is>
          <t>X</t>
        </is>
      </c>
      <c r="E666" s="6" t="n">
        <v>363424846</v>
      </c>
    </row>
    <row r="667">
      <c r="A667" s="9" t="n">
        <v>2003</v>
      </c>
      <c r="B667" s="9" t="inlineStr">
        <is>
          <t>plata</t>
        </is>
      </c>
      <c r="C667" s="9" t="inlineStr">
        <is>
          <t>E1 Mena/concentrado</t>
        </is>
      </c>
      <c r="D667" s="9" t="inlineStr">
        <is>
          <t>M</t>
        </is>
      </c>
      <c r="E667" s="9" t="n">
        <v>169638822</v>
      </c>
    </row>
    <row r="668">
      <c r="A668" s="6" t="n">
        <v>2003</v>
      </c>
      <c r="B668" s="6" t="inlineStr">
        <is>
          <t>plata</t>
        </is>
      </c>
      <c r="C668" s="6" t="inlineStr">
        <is>
          <t>E1 Mena/concentrado</t>
        </is>
      </c>
      <c r="D668" s="6" t="inlineStr">
        <is>
          <t>X</t>
        </is>
      </c>
      <c r="E668" s="6" t="n">
        <v>879148</v>
      </c>
    </row>
    <row r="669">
      <c r="A669" s="9" t="n">
        <v>2003</v>
      </c>
      <c r="B669" s="9" t="inlineStr">
        <is>
          <t>plata</t>
        </is>
      </c>
      <c r="C669" s="9" t="inlineStr">
        <is>
          <t>E2 Bruto/semilabrado</t>
        </is>
      </c>
      <c r="D669" s="9" t="inlineStr">
        <is>
          <t>M</t>
        </is>
      </c>
      <c r="E669" s="9" t="n">
        <v>15915860</v>
      </c>
    </row>
    <row r="670">
      <c r="A670" s="6" t="n">
        <v>2003</v>
      </c>
      <c r="B670" s="6" t="inlineStr">
        <is>
          <t>plata</t>
        </is>
      </c>
      <c r="C670" s="6" t="inlineStr">
        <is>
          <t>E2 Bruto/semilabrado</t>
        </is>
      </c>
      <c r="D670" s="6" t="inlineStr">
        <is>
          <t>X</t>
        </is>
      </c>
      <c r="E670" s="6" t="n">
        <v>511538513</v>
      </c>
    </row>
    <row r="671">
      <c r="A671" s="9" t="n">
        <v>2003</v>
      </c>
      <c r="B671" s="9" t="inlineStr">
        <is>
          <t>plomo</t>
        </is>
      </c>
      <c r="C671" s="9" t="inlineStr">
        <is>
          <t>E1 Mena/concentrado</t>
        </is>
      </c>
      <c r="D671" s="9" t="inlineStr">
        <is>
          <t>M</t>
        </is>
      </c>
      <c r="E671" s="9" t="n">
        <v>37859211</v>
      </c>
    </row>
    <row r="672">
      <c r="A672" s="6" t="n">
        <v>2003</v>
      </c>
      <c r="B672" s="6" t="inlineStr">
        <is>
          <t>plomo</t>
        </is>
      </c>
      <c r="C672" s="6" t="inlineStr">
        <is>
          <t>E1 Mena/concentrado</t>
        </is>
      </c>
      <c r="D672" s="6" t="inlineStr">
        <is>
          <t>X</t>
        </is>
      </c>
      <c r="E672" s="6" t="n">
        <v>11557733</v>
      </c>
    </row>
    <row r="673">
      <c r="A673" s="9" t="n">
        <v>2003</v>
      </c>
      <c r="B673" s="9" t="inlineStr">
        <is>
          <t>plomo</t>
        </is>
      </c>
      <c r="C673" s="9" t="inlineStr">
        <is>
          <t>E2 Metal en bruto/refinado</t>
        </is>
      </c>
      <c r="D673" s="9" t="inlineStr">
        <is>
          <t>M</t>
        </is>
      </c>
      <c r="E673" s="9" t="n">
        <v>21778342</v>
      </c>
    </row>
    <row r="674">
      <c r="A674" s="6" t="n">
        <v>2003</v>
      </c>
      <c r="B674" s="6" t="inlineStr">
        <is>
          <t>plomo</t>
        </is>
      </c>
      <c r="C674" s="6" t="inlineStr">
        <is>
          <t>E2 Metal en bruto/refinado</t>
        </is>
      </c>
      <c r="D674" s="6" t="inlineStr">
        <is>
          <t>X</t>
        </is>
      </c>
      <c r="E674" s="6" t="n">
        <v>6707125</v>
      </c>
    </row>
    <row r="675">
      <c r="A675" s="9" t="n">
        <v>2003</v>
      </c>
      <c r="B675" s="9" t="inlineStr">
        <is>
          <t>plomo</t>
        </is>
      </c>
      <c r="C675" s="9" t="inlineStr">
        <is>
          <t>E3 Semimanufacturas</t>
        </is>
      </c>
      <c r="D675" s="9" t="inlineStr">
        <is>
          <t>M</t>
        </is>
      </c>
      <c r="E675" s="9" t="n">
        <v>1386480</v>
      </c>
    </row>
    <row r="676">
      <c r="A676" s="6" t="n">
        <v>2003</v>
      </c>
      <c r="B676" s="6" t="inlineStr">
        <is>
          <t>plomo</t>
        </is>
      </c>
      <c r="C676" s="6" t="inlineStr">
        <is>
          <t>E3 Semimanufacturas</t>
        </is>
      </c>
      <c r="D676" s="6" t="inlineStr">
        <is>
          <t>X</t>
        </is>
      </c>
      <c r="E676" s="6" t="n">
        <v>110449</v>
      </c>
    </row>
    <row r="677">
      <c r="A677" s="9" t="n">
        <v>2003</v>
      </c>
      <c r="B677" s="9" t="inlineStr">
        <is>
          <t>plomo</t>
        </is>
      </c>
      <c r="C677" s="9" t="inlineStr">
        <is>
          <t>E4 Manufacturas</t>
        </is>
      </c>
      <c r="D677" s="9" t="inlineStr">
        <is>
          <t>M</t>
        </is>
      </c>
      <c r="E677" s="9" t="n">
        <v>4350390</v>
      </c>
    </row>
    <row r="678">
      <c r="A678" s="6" t="n">
        <v>2003</v>
      </c>
      <c r="B678" s="6" t="inlineStr">
        <is>
          <t>plomo</t>
        </is>
      </c>
      <c r="C678" s="6" t="inlineStr">
        <is>
          <t>E4 Manufacturas</t>
        </is>
      </c>
      <c r="D678" s="6" t="inlineStr">
        <is>
          <t>X</t>
        </is>
      </c>
      <c r="E678" s="6" t="n">
        <v>721839</v>
      </c>
    </row>
    <row r="679">
      <c r="A679" s="9" t="n">
        <v>2003</v>
      </c>
      <c r="B679" s="9" t="inlineStr">
        <is>
          <t>silice</t>
        </is>
      </c>
      <c r="C679" s="9" t="inlineStr">
        <is>
          <t>E1 Arena silica/cuarzo</t>
        </is>
      </c>
      <c r="D679" s="9" t="inlineStr">
        <is>
          <t>M</t>
        </is>
      </c>
      <c r="E679" s="9" t="n">
        <v>38264441</v>
      </c>
    </row>
    <row r="680">
      <c r="A680" s="6" t="n">
        <v>2003</v>
      </c>
      <c r="B680" s="6" t="inlineStr">
        <is>
          <t>silice</t>
        </is>
      </c>
      <c r="C680" s="6" t="inlineStr">
        <is>
          <t>E1 Arena silica/cuarzo</t>
        </is>
      </c>
      <c r="D680" s="6" t="inlineStr">
        <is>
          <t>X</t>
        </is>
      </c>
      <c r="E680" s="6" t="n">
        <v>339166</v>
      </c>
    </row>
    <row r="681">
      <c r="A681" s="9" t="n">
        <v>2003</v>
      </c>
      <c r="B681" s="9" t="inlineStr">
        <is>
          <t>silice</t>
        </is>
      </c>
      <c r="C681" s="9" t="inlineStr">
        <is>
          <t>E2 Silicio/ferrosilicio/SiO2</t>
        </is>
      </c>
      <c r="D681" s="9" t="inlineStr">
        <is>
          <t>M</t>
        </is>
      </c>
      <c r="E681" s="9" t="n">
        <v>59349418</v>
      </c>
    </row>
    <row r="682">
      <c r="A682" s="6" t="n">
        <v>2003</v>
      </c>
      <c r="B682" s="6" t="inlineStr">
        <is>
          <t>silice</t>
        </is>
      </c>
      <c r="C682" s="6" t="inlineStr">
        <is>
          <t>E2 Silicio/ferrosilicio/SiO2</t>
        </is>
      </c>
      <c r="D682" s="6" t="inlineStr">
        <is>
          <t>X</t>
        </is>
      </c>
      <c r="E682" s="6" t="n">
        <v>5099616</v>
      </c>
    </row>
    <row r="683">
      <c r="A683" s="9" t="n">
        <v>2003</v>
      </c>
      <c r="B683" s="9" t="inlineStr">
        <is>
          <t>zinc</t>
        </is>
      </c>
      <c r="C683" s="9" t="inlineStr">
        <is>
          <t>E1 Mena/concentrado</t>
        </is>
      </c>
      <c r="D683" s="9" t="inlineStr">
        <is>
          <t>M</t>
        </is>
      </c>
      <c r="E683" s="9" t="n">
        <v>2560672</v>
      </c>
    </row>
    <row r="684">
      <c r="A684" s="6" t="n">
        <v>2003</v>
      </c>
      <c r="B684" s="6" t="inlineStr">
        <is>
          <t>zinc</t>
        </is>
      </c>
      <c r="C684" s="6" t="inlineStr">
        <is>
          <t>E1 Mena/concentrado</t>
        </is>
      </c>
      <c r="D684" s="6" t="inlineStr">
        <is>
          <t>X</t>
        </is>
      </c>
      <c r="E684" s="6" t="n">
        <v>54195655</v>
      </c>
    </row>
    <row r="685">
      <c r="A685" s="9" t="n">
        <v>2003</v>
      </c>
      <c r="B685" s="9" t="inlineStr">
        <is>
          <t>zinc</t>
        </is>
      </c>
      <c r="C685" s="9" t="inlineStr">
        <is>
          <t>E2 Metal en bruto/refinado</t>
        </is>
      </c>
      <c r="D685" s="9" t="inlineStr">
        <is>
          <t>M</t>
        </is>
      </c>
      <c r="E685" s="9" t="n">
        <v>1525599</v>
      </c>
    </row>
    <row r="686">
      <c r="A686" s="6" t="n">
        <v>2003</v>
      </c>
      <c r="B686" s="6" t="inlineStr">
        <is>
          <t>zinc</t>
        </is>
      </c>
      <c r="C686" s="6" t="inlineStr">
        <is>
          <t>E2 Metal en bruto/refinado</t>
        </is>
      </c>
      <c r="D686" s="6" t="inlineStr">
        <is>
          <t>X</t>
        </is>
      </c>
      <c r="E686" s="6" t="n">
        <v>164691470</v>
      </c>
    </row>
    <row r="687">
      <c r="A687" s="9" t="n">
        <v>2003</v>
      </c>
      <c r="B687" s="9" t="inlineStr">
        <is>
          <t>zinc</t>
        </is>
      </c>
      <c r="C687" s="9" t="inlineStr">
        <is>
          <t>E3 Semimanufacturas</t>
        </is>
      </c>
      <c r="D687" s="9" t="inlineStr">
        <is>
          <t>M</t>
        </is>
      </c>
      <c r="E687" s="9" t="n">
        <v>15539599</v>
      </c>
    </row>
    <row r="688">
      <c r="A688" s="6" t="n">
        <v>2003</v>
      </c>
      <c r="B688" s="6" t="inlineStr">
        <is>
          <t>zinc</t>
        </is>
      </c>
      <c r="C688" s="6" t="inlineStr">
        <is>
          <t>E3 Semimanufacturas</t>
        </is>
      </c>
      <c r="D688" s="6" t="inlineStr">
        <is>
          <t>X</t>
        </is>
      </c>
      <c r="E688" s="6" t="n">
        <v>490938</v>
      </c>
    </row>
    <row r="689">
      <c r="A689" s="9" t="n">
        <v>2003</v>
      </c>
      <c r="B689" s="9" t="inlineStr">
        <is>
          <t>zinc</t>
        </is>
      </c>
      <c r="C689" s="9" t="inlineStr">
        <is>
          <t>E4 Manufacturas</t>
        </is>
      </c>
      <c r="D689" s="9" t="inlineStr">
        <is>
          <t>M</t>
        </is>
      </c>
      <c r="E689" s="9" t="n">
        <v>19838004</v>
      </c>
    </row>
    <row r="690">
      <c r="A690" s="6" t="n">
        <v>2003</v>
      </c>
      <c r="B690" s="6" t="inlineStr">
        <is>
          <t>zinc</t>
        </is>
      </c>
      <c r="C690" s="6" t="inlineStr">
        <is>
          <t>E4 Manufacturas</t>
        </is>
      </c>
      <c r="D690" s="6" t="inlineStr">
        <is>
          <t>X</t>
        </is>
      </c>
      <c r="E690" s="6" t="n">
        <v>15257973</v>
      </c>
    </row>
    <row r="691">
      <c r="A691" s="9" t="n">
        <v>2004</v>
      </c>
      <c r="B691" s="9" t="inlineStr">
        <is>
          <t>barita</t>
        </is>
      </c>
      <c r="C691" s="9" t="inlineStr">
        <is>
          <t>E1 Crudo/molido</t>
        </is>
      </c>
      <c r="D691" s="9" t="inlineStr">
        <is>
          <t>M</t>
        </is>
      </c>
      <c r="E691" s="9" t="n">
        <v>14660982</v>
      </c>
    </row>
    <row r="692">
      <c r="A692" s="6" t="n">
        <v>2004</v>
      </c>
      <c r="B692" s="6" t="inlineStr">
        <is>
          <t>barita</t>
        </is>
      </c>
      <c r="C692" s="6" t="inlineStr">
        <is>
          <t>E1 Crudo/molido</t>
        </is>
      </c>
      <c r="D692" s="6" t="inlineStr">
        <is>
          <t>X</t>
        </is>
      </c>
      <c r="E692" s="6" t="n">
        <v>329427</v>
      </c>
    </row>
    <row r="693">
      <c r="A693" s="9" t="n">
        <v>2004</v>
      </c>
      <c r="B693" s="9" t="inlineStr">
        <is>
          <t>barita</t>
        </is>
      </c>
      <c r="C693" s="9" t="inlineStr">
        <is>
          <t>E2 Quimicos de bario</t>
        </is>
      </c>
      <c r="D693" s="9" t="inlineStr">
        <is>
          <t>M</t>
        </is>
      </c>
      <c r="E693" s="9" t="n">
        <v>956308</v>
      </c>
    </row>
    <row r="694">
      <c r="A694" s="6" t="n">
        <v>2004</v>
      </c>
      <c r="B694" s="6" t="inlineStr">
        <is>
          <t>barita</t>
        </is>
      </c>
      <c r="C694" s="6" t="inlineStr">
        <is>
          <t>E2 Quimicos de bario</t>
        </is>
      </c>
      <c r="D694" s="6" t="inlineStr">
        <is>
          <t>X</t>
        </is>
      </c>
      <c r="E694" s="6" t="n">
        <v>1923072</v>
      </c>
    </row>
    <row r="695">
      <c r="A695" s="9" t="n">
        <v>2004</v>
      </c>
      <c r="B695" s="9" t="inlineStr">
        <is>
          <t>cobre</t>
        </is>
      </c>
      <c r="C695" s="9" t="inlineStr">
        <is>
          <t>E1 Mena/concentrado</t>
        </is>
      </c>
      <c r="D695" s="9" t="inlineStr">
        <is>
          <t>M</t>
        </is>
      </c>
      <c r="E695" s="9" t="n">
        <v>66430</v>
      </c>
    </row>
    <row r="696">
      <c r="A696" s="6" t="n">
        <v>2004</v>
      </c>
      <c r="B696" s="6" t="inlineStr">
        <is>
          <t>cobre</t>
        </is>
      </c>
      <c r="C696" s="6" t="inlineStr">
        <is>
          <t>E1 Mena/concentrado</t>
        </is>
      </c>
      <c r="D696" s="6" t="inlineStr">
        <is>
          <t>X</t>
        </is>
      </c>
      <c r="E696" s="6" t="n">
        <v>142696018</v>
      </c>
    </row>
    <row r="697">
      <c r="A697" s="9" t="n">
        <v>2004</v>
      </c>
      <c r="B697" s="9" t="inlineStr">
        <is>
          <t>cobre</t>
        </is>
      </c>
      <c r="C697" s="9" t="inlineStr">
        <is>
          <t>E2 Metal en bruto/refinado</t>
        </is>
      </c>
      <c r="D697" s="9" t="inlineStr">
        <is>
          <t>M</t>
        </is>
      </c>
      <c r="E697" s="9" t="n">
        <v>370184910</v>
      </c>
    </row>
    <row r="698">
      <c r="A698" s="6" t="n">
        <v>2004</v>
      </c>
      <c r="B698" s="6" t="inlineStr">
        <is>
          <t>cobre</t>
        </is>
      </c>
      <c r="C698" s="6" t="inlineStr">
        <is>
          <t>E2 Metal en bruto/refinado</t>
        </is>
      </c>
      <c r="D698" s="6" t="inlineStr">
        <is>
          <t>X</t>
        </is>
      </c>
      <c r="E698" s="6" t="n">
        <v>180404616</v>
      </c>
    </row>
    <row r="699">
      <c r="A699" s="9" t="n">
        <v>2004</v>
      </c>
      <c r="B699" s="9" t="inlineStr">
        <is>
          <t>cobre</t>
        </is>
      </c>
      <c r="C699" s="9" t="inlineStr">
        <is>
          <t>E3 Semimanufacturas</t>
        </is>
      </c>
      <c r="D699" s="9" t="inlineStr">
        <is>
          <t>M</t>
        </is>
      </c>
      <c r="E699" s="9" t="n">
        <v>795978014</v>
      </c>
    </row>
    <row r="700">
      <c r="A700" s="6" t="n">
        <v>2004</v>
      </c>
      <c r="B700" s="6" t="inlineStr">
        <is>
          <t>cobre</t>
        </is>
      </c>
      <c r="C700" s="6" t="inlineStr">
        <is>
          <t>E3 Semimanufacturas</t>
        </is>
      </c>
      <c r="D700" s="6" t="inlineStr">
        <is>
          <t>X</t>
        </is>
      </c>
      <c r="E700" s="6" t="n">
        <v>386745985</v>
      </c>
    </row>
    <row r="701">
      <c r="A701" s="9" t="n">
        <v>2004</v>
      </c>
      <c r="B701" s="9" t="inlineStr">
        <is>
          <t>cobre</t>
        </is>
      </c>
      <c r="C701" s="9" t="inlineStr">
        <is>
          <t>E4 Manufacturas</t>
        </is>
      </c>
      <c r="D701" s="9" t="inlineStr">
        <is>
          <t>M</t>
        </is>
      </c>
      <c r="E701" s="9" t="n">
        <v>502134814</v>
      </c>
    </row>
    <row r="702">
      <c r="A702" s="6" t="n">
        <v>2004</v>
      </c>
      <c r="B702" s="6" t="inlineStr">
        <is>
          <t>cobre</t>
        </is>
      </c>
      <c r="C702" s="6" t="inlineStr">
        <is>
          <t>E4 Manufacturas</t>
        </is>
      </c>
      <c r="D702" s="6" t="inlineStr">
        <is>
          <t>X</t>
        </is>
      </c>
      <c r="E702" s="6" t="n">
        <v>19801435</v>
      </c>
    </row>
    <row r="703">
      <c r="A703" s="9" t="n">
        <v>2004</v>
      </c>
      <c r="B703" s="9" t="inlineStr">
        <is>
          <t>fluorita</t>
        </is>
      </c>
      <c r="C703" s="9" t="inlineStr">
        <is>
          <t>E1 Espato fluor (crudo)</t>
        </is>
      </c>
      <c r="D703" s="9" t="inlineStr">
        <is>
          <t>M</t>
        </is>
      </c>
      <c r="E703" s="9" t="n">
        <v>465818</v>
      </c>
    </row>
    <row r="704">
      <c r="A704" s="6" t="n">
        <v>2004</v>
      </c>
      <c r="B704" s="6" t="inlineStr">
        <is>
          <t>fluorita</t>
        </is>
      </c>
      <c r="C704" s="6" t="inlineStr">
        <is>
          <t>E1 Espato fluor (crudo)</t>
        </is>
      </c>
      <c r="D704" s="6" t="inlineStr">
        <is>
          <t>X</t>
        </is>
      </c>
      <c r="E704" s="6" t="n">
        <v>49277614</v>
      </c>
    </row>
    <row r="705">
      <c r="A705" s="9" t="n">
        <v>2004</v>
      </c>
      <c r="B705" s="9" t="inlineStr">
        <is>
          <t>fluorita</t>
        </is>
      </c>
      <c r="C705" s="9" t="inlineStr">
        <is>
          <t>E2 Fluoroquimica</t>
        </is>
      </c>
      <c r="D705" s="9" t="inlineStr">
        <is>
          <t>M</t>
        </is>
      </c>
      <c r="E705" s="9" t="n">
        <v>16653591</v>
      </c>
    </row>
    <row r="706">
      <c r="A706" s="6" t="n">
        <v>2004</v>
      </c>
      <c r="B706" s="6" t="inlineStr">
        <is>
          <t>fluorita</t>
        </is>
      </c>
      <c r="C706" s="6" t="inlineStr">
        <is>
          <t>E2 Fluoroquimica</t>
        </is>
      </c>
      <c r="D706" s="6" t="inlineStr">
        <is>
          <t>X</t>
        </is>
      </c>
      <c r="E706" s="6" t="n">
        <v>87079015</v>
      </c>
    </row>
    <row r="707">
      <c r="A707" s="9" t="n">
        <v>2004</v>
      </c>
      <c r="B707" s="9" t="inlineStr">
        <is>
          <t>grafito</t>
        </is>
      </c>
      <c r="C707" s="9" t="inlineStr">
        <is>
          <t>E1 Grafito natural</t>
        </is>
      </c>
      <c r="D707" s="9" t="inlineStr">
        <is>
          <t>M</t>
        </is>
      </c>
      <c r="E707" s="9" t="n">
        <v>1529160</v>
      </c>
    </row>
    <row r="708">
      <c r="A708" s="6" t="n">
        <v>2004</v>
      </c>
      <c r="B708" s="6" t="inlineStr">
        <is>
          <t>grafito</t>
        </is>
      </c>
      <c r="C708" s="6" t="inlineStr">
        <is>
          <t>E1 Grafito natural</t>
        </is>
      </c>
      <c r="D708" s="6" t="inlineStr">
        <is>
          <t>X</t>
        </is>
      </c>
      <c r="E708" s="6" t="n">
        <v>2862457</v>
      </c>
    </row>
    <row r="709">
      <c r="A709" s="9" t="n">
        <v>2004</v>
      </c>
      <c r="B709" s="9" t="inlineStr">
        <is>
          <t>grafito</t>
        </is>
      </c>
      <c r="C709" s="9" t="inlineStr">
        <is>
          <t>E2 Grafito artificial/prep.</t>
        </is>
      </c>
      <c r="D709" s="9" t="inlineStr">
        <is>
          <t>M</t>
        </is>
      </c>
      <c r="E709" s="9" t="n">
        <v>18982949</v>
      </c>
    </row>
    <row r="710">
      <c r="A710" s="6" t="n">
        <v>2004</v>
      </c>
      <c r="B710" s="6" t="inlineStr">
        <is>
          <t>grafito</t>
        </is>
      </c>
      <c r="C710" s="6" t="inlineStr">
        <is>
          <t>E2 Grafito artificial/prep.</t>
        </is>
      </c>
      <c r="D710" s="6" t="inlineStr">
        <is>
          <t>X</t>
        </is>
      </c>
      <c r="E710" s="6" t="n">
        <v>11097371</v>
      </c>
    </row>
    <row r="711">
      <c r="A711" s="9" t="n">
        <v>2004</v>
      </c>
      <c r="B711" s="9" t="inlineStr">
        <is>
          <t>grafito</t>
        </is>
      </c>
      <c r="C711" s="9" t="inlineStr">
        <is>
          <t>E3 Electrodos/articulos de carbono</t>
        </is>
      </c>
      <c r="D711" s="9" t="inlineStr">
        <is>
          <t>M</t>
        </is>
      </c>
      <c r="E711" s="9" t="n">
        <v>86338722</v>
      </c>
    </row>
    <row r="712">
      <c r="A712" s="6" t="n">
        <v>2004</v>
      </c>
      <c r="B712" s="6" t="inlineStr">
        <is>
          <t>grafito</t>
        </is>
      </c>
      <c r="C712" s="6" t="inlineStr">
        <is>
          <t>E3 Electrodos/articulos de carbono</t>
        </is>
      </c>
      <c r="D712" s="6" t="inlineStr">
        <is>
          <t>X</t>
        </is>
      </c>
      <c r="E712" s="6" t="n">
        <v>82879316</v>
      </c>
    </row>
    <row r="713">
      <c r="A713" s="9" t="n">
        <v>2004</v>
      </c>
      <c r="B713" s="9" t="inlineStr">
        <is>
          <t>manganeso</t>
        </is>
      </c>
      <c r="C713" s="9" t="inlineStr">
        <is>
          <t>E1 Mena/concentrado</t>
        </is>
      </c>
      <c r="D713" s="9" t="inlineStr">
        <is>
          <t>M</t>
        </is>
      </c>
      <c r="E713" s="9" t="n">
        <v>14386747</v>
      </c>
    </row>
    <row r="714">
      <c r="A714" s="6" t="n">
        <v>2004</v>
      </c>
      <c r="B714" s="6" t="inlineStr">
        <is>
          <t>manganeso</t>
        </is>
      </c>
      <c r="C714" s="6" t="inlineStr">
        <is>
          <t>E1 Mena/concentrado</t>
        </is>
      </c>
      <c r="D714" s="6" t="inlineStr">
        <is>
          <t>X</t>
        </is>
      </c>
      <c r="E714" s="6" t="n">
        <v>2135077</v>
      </c>
    </row>
    <row r="715">
      <c r="A715" s="9" t="n">
        <v>2004</v>
      </c>
      <c r="B715" s="9" t="inlineStr">
        <is>
          <t>manganeso</t>
        </is>
      </c>
      <c r="C715" s="9" t="inlineStr">
        <is>
          <t>E2 Ferroaleaciones</t>
        </is>
      </c>
      <c r="D715" s="9" t="inlineStr">
        <is>
          <t>M</t>
        </is>
      </c>
      <c r="E715" s="9" t="n">
        <v>35104199</v>
      </c>
    </row>
    <row r="716">
      <c r="A716" s="6" t="n">
        <v>2004</v>
      </c>
      <c r="B716" s="6" t="inlineStr">
        <is>
          <t>manganeso</t>
        </is>
      </c>
      <c r="C716" s="6" t="inlineStr">
        <is>
          <t>E2 Ferroaleaciones</t>
        </is>
      </c>
      <c r="D716" s="6" t="inlineStr">
        <is>
          <t>X</t>
        </is>
      </c>
      <c r="E716" s="6" t="n">
        <v>30747282</v>
      </c>
    </row>
    <row r="717">
      <c r="A717" s="9" t="n">
        <v>2004</v>
      </c>
      <c r="B717" s="9" t="inlineStr">
        <is>
          <t>manganeso</t>
        </is>
      </c>
      <c r="C717" s="9" t="inlineStr">
        <is>
          <t>E3 Quimicos/metal</t>
        </is>
      </c>
      <c r="D717" s="9" t="inlineStr">
        <is>
          <t>M</t>
        </is>
      </c>
      <c r="E717" s="9" t="n">
        <v>9404155</v>
      </c>
    </row>
    <row r="718">
      <c r="A718" s="6" t="n">
        <v>2004</v>
      </c>
      <c r="B718" s="6" t="inlineStr">
        <is>
          <t>manganeso</t>
        </is>
      </c>
      <c r="C718" s="6" t="inlineStr">
        <is>
          <t>E3 Quimicos/metal</t>
        </is>
      </c>
      <c r="D718" s="6" t="inlineStr">
        <is>
          <t>X</t>
        </is>
      </c>
      <c r="E718" s="6" t="n">
        <v>1903742</v>
      </c>
    </row>
    <row r="719">
      <c r="A719" s="9" t="n">
        <v>2004</v>
      </c>
      <c r="B719" s="9" t="inlineStr">
        <is>
          <t>oro</t>
        </is>
      </c>
      <c r="C719" s="9" t="inlineStr">
        <is>
          <t>E1 Mena/concentrado</t>
        </is>
      </c>
      <c r="D719" s="9" t="inlineStr">
        <is>
          <t>M</t>
        </is>
      </c>
      <c r="E719" s="9" t="n">
        <v>51309643</v>
      </c>
    </row>
    <row r="720">
      <c r="A720" s="6" t="n">
        <v>2004</v>
      </c>
      <c r="B720" s="6" t="inlineStr">
        <is>
          <t>oro</t>
        </is>
      </c>
      <c r="C720" s="6" t="inlineStr">
        <is>
          <t>E1 Mena/concentrado</t>
        </is>
      </c>
      <c r="D720" s="6" t="inlineStr">
        <is>
          <t>X</t>
        </is>
      </c>
      <c r="E720" s="6" t="n">
        <v>18333</v>
      </c>
    </row>
    <row r="721">
      <c r="A721" s="9" t="n">
        <v>2004</v>
      </c>
      <c r="B721" s="9" t="inlineStr">
        <is>
          <t>oro</t>
        </is>
      </c>
      <c r="C721" s="9" t="inlineStr">
        <is>
          <t>E2 Bruto/semilabrado</t>
        </is>
      </c>
      <c r="D721" s="9" t="inlineStr">
        <is>
          <t>M</t>
        </is>
      </c>
      <c r="E721" s="9" t="n">
        <v>205424035</v>
      </c>
    </row>
    <row r="722">
      <c r="A722" s="6" t="n">
        <v>2004</v>
      </c>
      <c r="B722" s="6" t="inlineStr">
        <is>
          <t>oro</t>
        </is>
      </c>
      <c r="C722" s="6" t="inlineStr">
        <is>
          <t>E2 Bruto/semilabrado</t>
        </is>
      </c>
      <c r="D722" s="6" t="inlineStr">
        <is>
          <t>X</t>
        </is>
      </c>
      <c r="E722" s="6" t="n">
        <v>154192536</v>
      </c>
    </row>
    <row r="723">
      <c r="A723" s="9" t="n">
        <v>2004</v>
      </c>
      <c r="B723" s="9" t="inlineStr">
        <is>
          <t>oro-plata (manufacturas)</t>
        </is>
      </c>
      <c r="C723" s="9" t="inlineStr">
        <is>
          <t>E4 Joyeria/orfebreria</t>
        </is>
      </c>
      <c r="D723" s="9" t="inlineStr">
        <is>
          <t>M</t>
        </is>
      </c>
      <c r="E723" s="9" t="n">
        <v>268750294</v>
      </c>
    </row>
    <row r="724">
      <c r="A724" s="6" t="n">
        <v>2004</v>
      </c>
      <c r="B724" s="6" t="inlineStr">
        <is>
          <t>oro-plata (manufacturas)</t>
        </is>
      </c>
      <c r="C724" s="6" t="inlineStr">
        <is>
          <t>E4 Joyeria/orfebreria</t>
        </is>
      </c>
      <c r="D724" s="6" t="inlineStr">
        <is>
          <t>X</t>
        </is>
      </c>
      <c r="E724" s="6" t="n">
        <v>545999372</v>
      </c>
    </row>
    <row r="725">
      <c r="A725" s="9" t="n">
        <v>2004</v>
      </c>
      <c r="B725" s="9" t="inlineStr">
        <is>
          <t>plata</t>
        </is>
      </c>
      <c r="C725" s="9" t="inlineStr">
        <is>
          <t>E1 Mena/concentrado</t>
        </is>
      </c>
      <c r="D725" s="9" t="inlineStr">
        <is>
          <t>M</t>
        </is>
      </c>
      <c r="E725" s="9" t="n">
        <v>143759859</v>
      </c>
    </row>
    <row r="726">
      <c r="A726" s="6" t="n">
        <v>2004</v>
      </c>
      <c r="B726" s="6" t="inlineStr">
        <is>
          <t>plata</t>
        </is>
      </c>
      <c r="C726" s="6" t="inlineStr">
        <is>
          <t>E1 Mena/concentrado</t>
        </is>
      </c>
      <c r="D726" s="6" t="inlineStr">
        <is>
          <t>X</t>
        </is>
      </c>
      <c r="E726" s="6" t="n">
        <v>858138</v>
      </c>
    </row>
    <row r="727">
      <c r="A727" s="9" t="n">
        <v>2004</v>
      </c>
      <c r="B727" s="9" t="inlineStr">
        <is>
          <t>plata</t>
        </is>
      </c>
      <c r="C727" s="9" t="inlineStr">
        <is>
          <t>E2 Bruto/semilabrado</t>
        </is>
      </c>
      <c r="D727" s="9" t="inlineStr">
        <is>
          <t>M</t>
        </is>
      </c>
      <c r="E727" s="9" t="n">
        <v>18761728</v>
      </c>
    </row>
    <row r="728">
      <c r="A728" s="6" t="n">
        <v>2004</v>
      </c>
      <c r="B728" s="6" t="inlineStr">
        <is>
          <t>plata</t>
        </is>
      </c>
      <c r="C728" s="6" t="inlineStr">
        <is>
          <t>E2 Bruto/semilabrado</t>
        </is>
      </c>
      <c r="D728" s="6" t="inlineStr">
        <is>
          <t>X</t>
        </is>
      </c>
      <c r="E728" s="6" t="n">
        <v>680423986</v>
      </c>
    </row>
    <row r="729">
      <c r="A729" s="9" t="n">
        <v>2004</v>
      </c>
      <c r="B729" s="9" t="inlineStr">
        <is>
          <t>plomo</t>
        </is>
      </c>
      <c r="C729" s="9" t="inlineStr">
        <is>
          <t>E1 Mena/concentrado</t>
        </is>
      </c>
      <c r="D729" s="9" t="inlineStr">
        <is>
          <t>M</t>
        </is>
      </c>
      <c r="E729" s="9" t="n">
        <v>91511837</v>
      </c>
    </row>
    <row r="730">
      <c r="A730" s="6" t="n">
        <v>2004</v>
      </c>
      <c r="B730" s="6" t="inlineStr">
        <is>
          <t>plomo</t>
        </is>
      </c>
      <c r="C730" s="6" t="inlineStr">
        <is>
          <t>E1 Mena/concentrado</t>
        </is>
      </c>
      <c r="D730" s="6" t="inlineStr">
        <is>
          <t>X</t>
        </is>
      </c>
      <c r="E730" s="6" t="n">
        <v>15726602</v>
      </c>
    </row>
    <row r="731">
      <c r="A731" s="9" t="n">
        <v>2004</v>
      </c>
      <c r="B731" s="9" t="inlineStr">
        <is>
          <t>plomo</t>
        </is>
      </c>
      <c r="C731" s="9" t="inlineStr">
        <is>
          <t>E2 Metal en bruto/refinado</t>
        </is>
      </c>
      <c r="D731" s="9" t="inlineStr">
        <is>
          <t>M</t>
        </is>
      </c>
      <c r="E731" s="9" t="n">
        <v>22573193</v>
      </c>
    </row>
    <row r="732">
      <c r="A732" s="6" t="n">
        <v>2004</v>
      </c>
      <c r="B732" s="6" t="inlineStr">
        <is>
          <t>plomo</t>
        </is>
      </c>
      <c r="C732" s="6" t="inlineStr">
        <is>
          <t>E2 Metal en bruto/refinado</t>
        </is>
      </c>
      <c r="D732" s="6" t="inlineStr">
        <is>
          <t>X</t>
        </is>
      </c>
      <c r="E732" s="6" t="n">
        <v>7375338</v>
      </c>
    </row>
    <row r="733">
      <c r="A733" s="9" t="n">
        <v>2004</v>
      </c>
      <c r="B733" s="9" t="inlineStr">
        <is>
          <t>plomo</t>
        </is>
      </c>
      <c r="C733" s="9" t="inlineStr">
        <is>
          <t>E3 Semimanufacturas</t>
        </is>
      </c>
      <c r="D733" s="9" t="inlineStr">
        <is>
          <t>M</t>
        </is>
      </c>
      <c r="E733" s="9" t="n">
        <v>1174965</v>
      </c>
    </row>
    <row r="734">
      <c r="A734" s="6" t="n">
        <v>2004</v>
      </c>
      <c r="B734" s="6" t="inlineStr">
        <is>
          <t>plomo</t>
        </is>
      </c>
      <c r="C734" s="6" t="inlineStr">
        <is>
          <t>E3 Semimanufacturas</t>
        </is>
      </c>
      <c r="D734" s="6" t="inlineStr">
        <is>
          <t>X</t>
        </is>
      </c>
      <c r="E734" s="6" t="n">
        <v>107554</v>
      </c>
    </row>
    <row r="735">
      <c r="A735" s="9" t="n">
        <v>2004</v>
      </c>
      <c r="B735" s="9" t="inlineStr">
        <is>
          <t>plomo</t>
        </is>
      </c>
      <c r="C735" s="9" t="inlineStr">
        <is>
          <t>E4 Manufacturas</t>
        </is>
      </c>
      <c r="D735" s="9" t="inlineStr">
        <is>
          <t>M</t>
        </is>
      </c>
      <c r="E735" s="9" t="n">
        <v>5295130</v>
      </c>
    </row>
    <row r="736">
      <c r="A736" s="6" t="n">
        <v>2004</v>
      </c>
      <c r="B736" s="6" t="inlineStr">
        <is>
          <t>plomo</t>
        </is>
      </c>
      <c r="C736" s="6" t="inlineStr">
        <is>
          <t>E4 Manufacturas</t>
        </is>
      </c>
      <c r="D736" s="6" t="inlineStr">
        <is>
          <t>X</t>
        </is>
      </c>
      <c r="E736" s="6" t="n">
        <v>653049</v>
      </c>
    </row>
    <row r="737">
      <c r="A737" s="9" t="n">
        <v>2004</v>
      </c>
      <c r="B737" s="9" t="inlineStr">
        <is>
          <t>silice</t>
        </is>
      </c>
      <c r="C737" s="9" t="inlineStr">
        <is>
          <t>E1 Arena silica/cuarzo</t>
        </is>
      </c>
      <c r="D737" s="9" t="inlineStr">
        <is>
          <t>M</t>
        </is>
      </c>
      <c r="E737" s="9" t="n">
        <v>29951217</v>
      </c>
    </row>
    <row r="738">
      <c r="A738" s="6" t="n">
        <v>2004</v>
      </c>
      <c r="B738" s="6" t="inlineStr">
        <is>
          <t>silice</t>
        </is>
      </c>
      <c r="C738" s="6" t="inlineStr">
        <is>
          <t>E1 Arena silica/cuarzo</t>
        </is>
      </c>
      <c r="D738" s="6" t="inlineStr">
        <is>
          <t>X</t>
        </is>
      </c>
      <c r="E738" s="6" t="n">
        <v>1346939</v>
      </c>
    </row>
    <row r="739">
      <c r="A739" s="9" t="n">
        <v>2004</v>
      </c>
      <c r="B739" s="9" t="inlineStr">
        <is>
          <t>silice</t>
        </is>
      </c>
      <c r="C739" s="9" t="inlineStr">
        <is>
          <t>E2 Silicio/ferrosilicio/SiO2</t>
        </is>
      </c>
      <c r="D739" s="9" t="inlineStr">
        <is>
          <t>M</t>
        </is>
      </c>
      <c r="E739" s="9" t="n">
        <v>77609738</v>
      </c>
    </row>
    <row r="740">
      <c r="A740" s="6" t="n">
        <v>2004</v>
      </c>
      <c r="B740" s="6" t="inlineStr">
        <is>
          <t>silice</t>
        </is>
      </c>
      <c r="C740" s="6" t="inlineStr">
        <is>
          <t>E2 Silicio/ferrosilicio/SiO2</t>
        </is>
      </c>
      <c r="D740" s="6" t="inlineStr">
        <is>
          <t>X</t>
        </is>
      </c>
      <c r="E740" s="6" t="n">
        <v>8423942</v>
      </c>
    </row>
    <row r="741">
      <c r="A741" s="9" t="n">
        <v>2004</v>
      </c>
      <c r="B741" s="9" t="inlineStr">
        <is>
          <t>zinc</t>
        </is>
      </c>
      <c r="C741" s="9" t="inlineStr">
        <is>
          <t>E1 Mena/concentrado</t>
        </is>
      </c>
      <c r="D741" s="9" t="inlineStr">
        <is>
          <t>M</t>
        </is>
      </c>
      <c r="E741" s="9" t="n">
        <v>10425464</v>
      </c>
    </row>
    <row r="742">
      <c r="A742" s="6" t="n">
        <v>2004</v>
      </c>
      <c r="B742" s="6" t="inlineStr">
        <is>
          <t>zinc</t>
        </is>
      </c>
      <c r="C742" s="6" t="inlineStr">
        <is>
          <t>E1 Mena/concentrado</t>
        </is>
      </c>
      <c r="D742" s="6" t="inlineStr">
        <is>
          <t>X</t>
        </is>
      </c>
      <c r="E742" s="6" t="n">
        <v>53150900</v>
      </c>
    </row>
    <row r="743">
      <c r="A743" s="9" t="n">
        <v>2004</v>
      </c>
      <c r="B743" s="9" t="inlineStr">
        <is>
          <t>zinc</t>
        </is>
      </c>
      <c r="C743" s="9" t="inlineStr">
        <is>
          <t>E2 Metal en bruto/refinado</t>
        </is>
      </c>
      <c r="D743" s="9" t="inlineStr">
        <is>
          <t>M</t>
        </is>
      </c>
      <c r="E743" s="9" t="n">
        <v>3496011</v>
      </c>
    </row>
    <row r="744">
      <c r="A744" s="6" t="n">
        <v>2004</v>
      </c>
      <c r="B744" s="6" t="inlineStr">
        <is>
          <t>zinc</t>
        </is>
      </c>
      <c r="C744" s="6" t="inlineStr">
        <is>
          <t>E2 Metal en bruto/refinado</t>
        </is>
      </c>
      <c r="D744" s="6" t="inlineStr">
        <is>
          <t>X</t>
        </is>
      </c>
      <c r="E744" s="6" t="n">
        <v>215091995</v>
      </c>
    </row>
    <row r="745">
      <c r="A745" s="9" t="n">
        <v>2004</v>
      </c>
      <c r="B745" s="9" t="inlineStr">
        <is>
          <t>zinc</t>
        </is>
      </c>
      <c r="C745" s="9" t="inlineStr">
        <is>
          <t>E3 Semimanufacturas</t>
        </is>
      </c>
      <c r="D745" s="9" t="inlineStr">
        <is>
          <t>M</t>
        </is>
      </c>
      <c r="E745" s="9" t="n">
        <v>18421258</v>
      </c>
    </row>
    <row r="746">
      <c r="A746" s="6" t="n">
        <v>2004</v>
      </c>
      <c r="B746" s="6" t="inlineStr">
        <is>
          <t>zinc</t>
        </is>
      </c>
      <c r="C746" s="6" t="inlineStr">
        <is>
          <t>E3 Semimanufacturas</t>
        </is>
      </c>
      <c r="D746" s="6" t="inlineStr">
        <is>
          <t>X</t>
        </is>
      </c>
      <c r="E746" s="6" t="n">
        <v>274762</v>
      </c>
    </row>
    <row r="747">
      <c r="A747" s="9" t="n">
        <v>2004</v>
      </c>
      <c r="B747" s="9" t="inlineStr">
        <is>
          <t>zinc</t>
        </is>
      </c>
      <c r="C747" s="9" t="inlineStr">
        <is>
          <t>E4 Manufacturas</t>
        </is>
      </c>
      <c r="D747" s="9" t="inlineStr">
        <is>
          <t>M</t>
        </is>
      </c>
      <c r="E747" s="9" t="n">
        <v>23648037</v>
      </c>
    </row>
    <row r="748">
      <c r="A748" s="6" t="n">
        <v>2004</v>
      </c>
      <c r="B748" s="6" t="inlineStr">
        <is>
          <t>zinc</t>
        </is>
      </c>
      <c r="C748" s="6" t="inlineStr">
        <is>
          <t>E4 Manufacturas</t>
        </is>
      </c>
      <c r="D748" s="6" t="inlineStr">
        <is>
          <t>X</t>
        </is>
      </c>
      <c r="E748" s="6" t="n">
        <v>12609814</v>
      </c>
    </row>
    <row r="749">
      <c r="A749" s="9" t="n">
        <v>2005</v>
      </c>
      <c r="B749" s="9" t="inlineStr">
        <is>
          <t>barita</t>
        </is>
      </c>
      <c r="C749" s="9" t="inlineStr">
        <is>
          <t>E1 Crudo/molido</t>
        </is>
      </c>
      <c r="D749" s="9" t="inlineStr">
        <is>
          <t>M</t>
        </is>
      </c>
      <c r="E749" s="9" t="n">
        <v>15716290</v>
      </c>
    </row>
    <row r="750">
      <c r="A750" s="6" t="n">
        <v>2005</v>
      </c>
      <c r="B750" s="6" t="inlineStr">
        <is>
          <t>barita</t>
        </is>
      </c>
      <c r="C750" s="6" t="inlineStr">
        <is>
          <t>E1 Crudo/molido</t>
        </is>
      </c>
      <c r="D750" s="6" t="inlineStr">
        <is>
          <t>X</t>
        </is>
      </c>
      <c r="E750" s="6" t="n">
        <v>1260125</v>
      </c>
    </row>
    <row r="751">
      <c r="A751" s="9" t="n">
        <v>2005</v>
      </c>
      <c r="B751" s="9" t="inlineStr">
        <is>
          <t>barita</t>
        </is>
      </c>
      <c r="C751" s="9" t="inlineStr">
        <is>
          <t>E2 Quimicos de bario</t>
        </is>
      </c>
      <c r="D751" s="9" t="inlineStr">
        <is>
          <t>M</t>
        </is>
      </c>
      <c r="E751" s="9" t="n">
        <v>1743774</v>
      </c>
    </row>
    <row r="752">
      <c r="A752" s="6" t="n">
        <v>2005</v>
      </c>
      <c r="B752" s="6" t="inlineStr">
        <is>
          <t>barita</t>
        </is>
      </c>
      <c r="C752" s="6" t="inlineStr">
        <is>
          <t>E2 Quimicos de bario</t>
        </is>
      </c>
      <c r="D752" s="6" t="inlineStr">
        <is>
          <t>X</t>
        </is>
      </c>
      <c r="E752" s="6" t="n">
        <v>340427</v>
      </c>
    </row>
    <row r="753">
      <c r="A753" s="9" t="n">
        <v>2005</v>
      </c>
      <c r="B753" s="9" t="inlineStr">
        <is>
          <t>cobre</t>
        </is>
      </c>
      <c r="C753" s="9" t="inlineStr">
        <is>
          <t>E1 Mena/concentrado</t>
        </is>
      </c>
      <c r="D753" s="9" t="inlineStr">
        <is>
          <t>M</t>
        </is>
      </c>
      <c r="E753" s="9" t="n">
        <v>13185742</v>
      </c>
    </row>
    <row r="754">
      <c r="A754" s="6" t="n">
        <v>2005</v>
      </c>
      <c r="B754" s="6" t="inlineStr">
        <is>
          <t>cobre</t>
        </is>
      </c>
      <c r="C754" s="6" t="inlineStr">
        <is>
          <t>E1 Mena/concentrado</t>
        </is>
      </c>
      <c r="D754" s="6" t="inlineStr">
        <is>
          <t>X</t>
        </is>
      </c>
      <c r="E754" s="6" t="n">
        <v>89827731</v>
      </c>
    </row>
    <row r="755">
      <c r="A755" s="9" t="n">
        <v>2005</v>
      </c>
      <c r="B755" s="9" t="inlineStr">
        <is>
          <t>cobre</t>
        </is>
      </c>
      <c r="C755" s="9" t="inlineStr">
        <is>
          <t>E2 Metal en bruto/refinado</t>
        </is>
      </c>
      <c r="D755" s="9" t="inlineStr">
        <is>
          <t>M</t>
        </is>
      </c>
      <c r="E755" s="9" t="n">
        <v>438032319</v>
      </c>
    </row>
    <row r="756">
      <c r="A756" s="6" t="n">
        <v>2005</v>
      </c>
      <c r="B756" s="6" t="inlineStr">
        <is>
          <t>cobre</t>
        </is>
      </c>
      <c r="C756" s="6" t="inlineStr">
        <is>
          <t>E2 Metal en bruto/refinado</t>
        </is>
      </c>
      <c r="D756" s="6" t="inlineStr">
        <is>
          <t>X</t>
        </is>
      </c>
      <c r="E756" s="6" t="n">
        <v>279220725</v>
      </c>
    </row>
    <row r="757">
      <c r="A757" s="9" t="n">
        <v>2005</v>
      </c>
      <c r="B757" s="9" t="inlineStr">
        <is>
          <t>cobre</t>
        </is>
      </c>
      <c r="C757" s="9" t="inlineStr">
        <is>
          <t>E3 Semimanufacturas</t>
        </is>
      </c>
      <c r="D757" s="9" t="inlineStr">
        <is>
          <t>M</t>
        </is>
      </c>
      <c r="E757" s="9" t="n">
        <v>992766871</v>
      </c>
    </row>
    <row r="758">
      <c r="A758" s="6" t="n">
        <v>2005</v>
      </c>
      <c r="B758" s="6" t="inlineStr">
        <is>
          <t>cobre</t>
        </is>
      </c>
      <c r="C758" s="6" t="inlineStr">
        <is>
          <t>E3 Semimanufacturas</t>
        </is>
      </c>
      <c r="D758" s="6" t="inlineStr">
        <is>
          <t>X</t>
        </is>
      </c>
      <c r="E758" s="6" t="n">
        <v>596649067</v>
      </c>
    </row>
    <row r="759">
      <c r="A759" s="9" t="n">
        <v>2005</v>
      </c>
      <c r="B759" s="9" t="inlineStr">
        <is>
          <t>cobre</t>
        </is>
      </c>
      <c r="C759" s="9" t="inlineStr">
        <is>
          <t>E4 Manufacturas</t>
        </is>
      </c>
      <c r="D759" s="9" t="inlineStr">
        <is>
          <t>M</t>
        </is>
      </c>
      <c r="E759" s="9" t="n">
        <v>486486355</v>
      </c>
    </row>
    <row r="760">
      <c r="A760" s="6" t="n">
        <v>2005</v>
      </c>
      <c r="B760" s="6" t="inlineStr">
        <is>
          <t>cobre</t>
        </is>
      </c>
      <c r="C760" s="6" t="inlineStr">
        <is>
          <t>E4 Manufacturas</t>
        </is>
      </c>
      <c r="D760" s="6" t="inlineStr">
        <is>
          <t>X</t>
        </is>
      </c>
      <c r="E760" s="6" t="n">
        <v>23245383</v>
      </c>
    </row>
    <row r="761">
      <c r="A761" s="9" t="n">
        <v>2005</v>
      </c>
      <c r="B761" s="9" t="inlineStr">
        <is>
          <t>fluorita</t>
        </is>
      </c>
      <c r="C761" s="9" t="inlineStr">
        <is>
          <t>E1 Espato fluor (crudo)</t>
        </is>
      </c>
      <c r="D761" s="9" t="inlineStr">
        <is>
          <t>M</t>
        </is>
      </c>
      <c r="E761" s="9" t="n">
        <v>2302224</v>
      </c>
    </row>
    <row r="762">
      <c r="A762" s="6" t="n">
        <v>2005</v>
      </c>
      <c r="B762" s="6" t="inlineStr">
        <is>
          <t>fluorita</t>
        </is>
      </c>
      <c r="C762" s="6" t="inlineStr">
        <is>
          <t>E1 Espato fluor (crudo)</t>
        </is>
      </c>
      <c r="D762" s="6" t="inlineStr">
        <is>
          <t>X</t>
        </is>
      </c>
      <c r="E762" s="6" t="n">
        <v>54291105</v>
      </c>
    </row>
    <row r="763">
      <c r="A763" s="9" t="n">
        <v>2005</v>
      </c>
      <c r="B763" s="9" t="inlineStr">
        <is>
          <t>fluorita</t>
        </is>
      </c>
      <c r="C763" s="9" t="inlineStr">
        <is>
          <t>E2 Fluoroquimica</t>
        </is>
      </c>
      <c r="D763" s="9" t="inlineStr">
        <is>
          <t>M</t>
        </is>
      </c>
      <c r="E763" s="9" t="n">
        <v>20897113</v>
      </c>
    </row>
    <row r="764">
      <c r="A764" s="6" t="n">
        <v>2005</v>
      </c>
      <c r="B764" s="6" t="inlineStr">
        <is>
          <t>fluorita</t>
        </is>
      </c>
      <c r="C764" s="6" t="inlineStr">
        <is>
          <t>E2 Fluoroquimica</t>
        </is>
      </c>
      <c r="D764" s="6" t="inlineStr">
        <is>
          <t>X</t>
        </is>
      </c>
      <c r="E764" s="6" t="n">
        <v>102742390</v>
      </c>
    </row>
    <row r="765">
      <c r="A765" s="9" t="n">
        <v>2005</v>
      </c>
      <c r="B765" s="9" t="inlineStr">
        <is>
          <t>grafito</t>
        </is>
      </c>
      <c r="C765" s="9" t="inlineStr">
        <is>
          <t>E1 Grafito natural</t>
        </is>
      </c>
      <c r="D765" s="9" t="inlineStr">
        <is>
          <t>M</t>
        </is>
      </c>
      <c r="E765" s="9" t="n">
        <v>2719838</v>
      </c>
    </row>
    <row r="766">
      <c r="A766" s="6" t="n">
        <v>2005</v>
      </c>
      <c r="B766" s="6" t="inlineStr">
        <is>
          <t>grafito</t>
        </is>
      </c>
      <c r="C766" s="6" t="inlineStr">
        <is>
          <t>E1 Grafito natural</t>
        </is>
      </c>
      <c r="D766" s="6" t="inlineStr">
        <is>
          <t>X</t>
        </is>
      </c>
      <c r="E766" s="6" t="n">
        <v>2735828</v>
      </c>
    </row>
    <row r="767">
      <c r="A767" s="9" t="n">
        <v>2005</v>
      </c>
      <c r="B767" s="9" t="inlineStr">
        <is>
          <t>grafito</t>
        </is>
      </c>
      <c r="C767" s="9" t="inlineStr">
        <is>
          <t>E2 Grafito artificial/prep.</t>
        </is>
      </c>
      <c r="D767" s="9" t="inlineStr">
        <is>
          <t>M</t>
        </is>
      </c>
      <c r="E767" s="9" t="n">
        <v>19111180</v>
      </c>
    </row>
    <row r="768">
      <c r="A768" s="6" t="n">
        <v>2005</v>
      </c>
      <c r="B768" s="6" t="inlineStr">
        <is>
          <t>grafito</t>
        </is>
      </c>
      <c r="C768" s="6" t="inlineStr">
        <is>
          <t>E2 Grafito artificial/prep.</t>
        </is>
      </c>
      <c r="D768" s="6" t="inlineStr">
        <is>
          <t>X</t>
        </is>
      </c>
      <c r="E768" s="6" t="n">
        <v>8875480</v>
      </c>
    </row>
    <row r="769">
      <c r="A769" s="9" t="n">
        <v>2005</v>
      </c>
      <c r="B769" s="9" t="inlineStr">
        <is>
          <t>grafito</t>
        </is>
      </c>
      <c r="C769" s="9" t="inlineStr">
        <is>
          <t>E3 Electrodos/articulos de carbono</t>
        </is>
      </c>
      <c r="D769" s="9" t="inlineStr">
        <is>
          <t>M</t>
        </is>
      </c>
      <c r="E769" s="9" t="n">
        <v>87686777</v>
      </c>
    </row>
    <row r="770">
      <c r="A770" s="6" t="n">
        <v>2005</v>
      </c>
      <c r="B770" s="6" t="inlineStr">
        <is>
          <t>grafito</t>
        </is>
      </c>
      <c r="C770" s="6" t="inlineStr">
        <is>
          <t>E3 Electrodos/articulos de carbono</t>
        </is>
      </c>
      <c r="D770" s="6" t="inlineStr">
        <is>
          <t>X</t>
        </is>
      </c>
      <c r="E770" s="6" t="n">
        <v>73886119</v>
      </c>
    </row>
    <row r="771">
      <c r="A771" s="9" t="n">
        <v>2005</v>
      </c>
      <c r="B771" s="9" t="inlineStr">
        <is>
          <t>manganeso</t>
        </is>
      </c>
      <c r="C771" s="9" t="inlineStr">
        <is>
          <t>E1 Mena/concentrado</t>
        </is>
      </c>
      <c r="D771" s="9" t="inlineStr">
        <is>
          <t>M</t>
        </is>
      </c>
      <c r="E771" s="9" t="n">
        <v>26796170</v>
      </c>
    </row>
    <row r="772">
      <c r="A772" s="6" t="n">
        <v>2005</v>
      </c>
      <c r="B772" s="6" t="inlineStr">
        <is>
          <t>manganeso</t>
        </is>
      </c>
      <c r="C772" s="6" t="inlineStr">
        <is>
          <t>E1 Mena/concentrado</t>
        </is>
      </c>
      <c r="D772" s="6" t="inlineStr">
        <is>
          <t>X</t>
        </is>
      </c>
      <c r="E772" s="6" t="n">
        <v>2686754</v>
      </c>
    </row>
    <row r="773">
      <c r="A773" s="9" t="n">
        <v>2005</v>
      </c>
      <c r="B773" s="9" t="inlineStr">
        <is>
          <t>manganeso</t>
        </is>
      </c>
      <c r="C773" s="9" t="inlineStr">
        <is>
          <t>E2 Ferroaleaciones</t>
        </is>
      </c>
      <c r="D773" s="9" t="inlineStr">
        <is>
          <t>M</t>
        </is>
      </c>
      <c r="E773" s="9" t="n">
        <v>55946547</v>
      </c>
    </row>
    <row r="774">
      <c r="A774" s="6" t="n">
        <v>2005</v>
      </c>
      <c r="B774" s="6" t="inlineStr">
        <is>
          <t>manganeso</t>
        </is>
      </c>
      <c r="C774" s="6" t="inlineStr">
        <is>
          <t>E2 Ferroaleaciones</t>
        </is>
      </c>
      <c r="D774" s="6" t="inlineStr">
        <is>
          <t>X</t>
        </is>
      </c>
      <c r="E774" s="6" t="n">
        <v>54497075</v>
      </c>
    </row>
    <row r="775">
      <c r="A775" s="9" t="n">
        <v>2005</v>
      </c>
      <c r="B775" s="9" t="inlineStr">
        <is>
          <t>manganeso</t>
        </is>
      </c>
      <c r="C775" s="9" t="inlineStr">
        <is>
          <t>E3 Quimicos/metal</t>
        </is>
      </c>
      <c r="D775" s="9" t="inlineStr">
        <is>
          <t>M</t>
        </is>
      </c>
      <c r="E775" s="9" t="n">
        <v>8240330</v>
      </c>
    </row>
    <row r="776">
      <c r="A776" s="6" t="n">
        <v>2005</v>
      </c>
      <c r="B776" s="6" t="inlineStr">
        <is>
          <t>manganeso</t>
        </is>
      </c>
      <c r="C776" s="6" t="inlineStr">
        <is>
          <t>E3 Quimicos/metal</t>
        </is>
      </c>
      <c r="D776" s="6" t="inlineStr">
        <is>
          <t>X</t>
        </is>
      </c>
      <c r="E776" s="6" t="n">
        <v>2652669</v>
      </c>
    </row>
    <row r="777">
      <c r="A777" s="9" t="n">
        <v>2005</v>
      </c>
      <c r="B777" s="9" t="inlineStr">
        <is>
          <t>oro</t>
        </is>
      </c>
      <c r="C777" s="9" t="inlineStr">
        <is>
          <t>E1 Mena/concentrado</t>
        </is>
      </c>
      <c r="D777" s="9" t="inlineStr">
        <is>
          <t>M</t>
        </is>
      </c>
      <c r="E777" s="9" t="n">
        <v>70251536</v>
      </c>
    </row>
    <row r="778">
      <c r="A778" s="6" t="n">
        <v>2005</v>
      </c>
      <c r="B778" s="6" t="inlineStr">
        <is>
          <t>oro</t>
        </is>
      </c>
      <c r="C778" s="6" t="inlineStr">
        <is>
          <t>E1 Mena/concentrado</t>
        </is>
      </c>
      <c r="D778" s="6" t="inlineStr">
        <is>
          <t>X</t>
        </is>
      </c>
      <c r="E778" s="6" t="n">
        <v>9872</v>
      </c>
    </row>
    <row r="779">
      <c r="A779" s="9" t="n">
        <v>2005</v>
      </c>
      <c r="B779" s="9" t="inlineStr">
        <is>
          <t>oro</t>
        </is>
      </c>
      <c r="C779" s="9" t="inlineStr">
        <is>
          <t>E2 Bruto/semilabrado</t>
        </is>
      </c>
      <c r="D779" s="9" t="inlineStr">
        <is>
          <t>M</t>
        </is>
      </c>
      <c r="E779" s="9" t="n">
        <v>123429522</v>
      </c>
    </row>
    <row r="780">
      <c r="A780" s="6" t="n">
        <v>2005</v>
      </c>
      <c r="B780" s="6" t="inlineStr">
        <is>
          <t>oro</t>
        </is>
      </c>
      <c r="C780" s="6" t="inlineStr">
        <is>
          <t>E2 Bruto/semilabrado</t>
        </is>
      </c>
      <c r="D780" s="6" t="inlineStr">
        <is>
          <t>X</t>
        </is>
      </c>
      <c r="E780" s="6" t="n">
        <v>305410948</v>
      </c>
    </row>
    <row r="781">
      <c r="A781" s="9" t="n">
        <v>2005</v>
      </c>
      <c r="B781" s="9" t="inlineStr">
        <is>
          <t>oro-plata (manufacturas)</t>
        </is>
      </c>
      <c r="C781" s="9" t="inlineStr">
        <is>
          <t>E4 Joyeria/orfebreria</t>
        </is>
      </c>
      <c r="D781" s="9" t="inlineStr">
        <is>
          <t>M</t>
        </is>
      </c>
      <c r="E781" s="9" t="n">
        <v>316272023</v>
      </c>
    </row>
    <row r="782">
      <c r="A782" s="6" t="n">
        <v>2005</v>
      </c>
      <c r="B782" s="6" t="inlineStr">
        <is>
          <t>oro-plata (manufacturas)</t>
        </is>
      </c>
      <c r="C782" s="6" t="inlineStr">
        <is>
          <t>E4 Joyeria/orfebreria</t>
        </is>
      </c>
      <c r="D782" s="6" t="inlineStr">
        <is>
          <t>X</t>
        </is>
      </c>
      <c r="E782" s="6" t="n">
        <v>588220322</v>
      </c>
    </row>
    <row r="783">
      <c r="A783" s="9" t="n">
        <v>2005</v>
      </c>
      <c r="B783" s="9" t="inlineStr">
        <is>
          <t>plata</t>
        </is>
      </c>
      <c r="C783" s="9" t="inlineStr">
        <is>
          <t>E1 Mena/concentrado</t>
        </is>
      </c>
      <c r="D783" s="9" t="inlineStr">
        <is>
          <t>M</t>
        </is>
      </c>
      <c r="E783" s="9" t="n">
        <v>163702677</v>
      </c>
    </row>
    <row r="784">
      <c r="A784" s="6" t="n">
        <v>2005</v>
      </c>
      <c r="B784" s="6" t="inlineStr">
        <is>
          <t>plata</t>
        </is>
      </c>
      <c r="C784" s="6" t="inlineStr">
        <is>
          <t>E1 Mena/concentrado</t>
        </is>
      </c>
      <c r="D784" s="6" t="inlineStr">
        <is>
          <t>X</t>
        </is>
      </c>
      <c r="E784" s="6" t="n">
        <v>651918</v>
      </c>
    </row>
    <row r="785">
      <c r="A785" s="9" t="n">
        <v>2005</v>
      </c>
      <c r="B785" s="9" t="inlineStr">
        <is>
          <t>plata</t>
        </is>
      </c>
      <c r="C785" s="9" t="inlineStr">
        <is>
          <t>E2 Bruto/semilabrado</t>
        </is>
      </c>
      <c r="D785" s="9" t="inlineStr">
        <is>
          <t>M</t>
        </is>
      </c>
      <c r="E785" s="9" t="n">
        <v>16802760</v>
      </c>
    </row>
    <row r="786">
      <c r="A786" s="6" t="n">
        <v>2005</v>
      </c>
      <c r="B786" s="6" t="inlineStr">
        <is>
          <t>plata</t>
        </is>
      </c>
      <c r="C786" s="6" t="inlineStr">
        <is>
          <t>E2 Bruto/semilabrado</t>
        </is>
      </c>
      <c r="D786" s="6" t="inlineStr">
        <is>
          <t>X</t>
        </is>
      </c>
      <c r="E786" s="6" t="n">
        <v>711743512</v>
      </c>
    </row>
    <row r="787">
      <c r="A787" s="9" t="n">
        <v>2005</v>
      </c>
      <c r="B787" s="9" t="inlineStr">
        <is>
          <t>plomo</t>
        </is>
      </c>
      <c r="C787" s="9" t="inlineStr">
        <is>
          <t>E1 Mena/concentrado</t>
        </is>
      </c>
      <c r="D787" s="9" t="inlineStr">
        <is>
          <t>M</t>
        </is>
      </c>
      <c r="E787" s="9" t="n">
        <v>102195732</v>
      </c>
    </row>
    <row r="788">
      <c r="A788" s="6" t="n">
        <v>2005</v>
      </c>
      <c r="B788" s="6" t="inlineStr">
        <is>
          <t>plomo</t>
        </is>
      </c>
      <c r="C788" s="6" t="inlineStr">
        <is>
          <t>E1 Mena/concentrado</t>
        </is>
      </c>
      <c r="D788" s="6" t="inlineStr">
        <is>
          <t>X</t>
        </is>
      </c>
      <c r="E788" s="6" t="n">
        <v>2012224</v>
      </c>
    </row>
    <row r="789">
      <c r="A789" s="9" t="n">
        <v>2005</v>
      </c>
      <c r="B789" s="9" t="inlineStr">
        <is>
          <t>plomo</t>
        </is>
      </c>
      <c r="C789" s="9" t="inlineStr">
        <is>
          <t>E2 Metal en bruto/refinado</t>
        </is>
      </c>
      <c r="D789" s="9" t="inlineStr">
        <is>
          <t>M</t>
        </is>
      </c>
      <c r="E789" s="9" t="n">
        <v>43333927</v>
      </c>
    </row>
    <row r="790">
      <c r="A790" s="6" t="n">
        <v>2005</v>
      </c>
      <c r="B790" s="6" t="inlineStr">
        <is>
          <t>plomo</t>
        </is>
      </c>
      <c r="C790" s="6" t="inlineStr">
        <is>
          <t>E2 Metal en bruto/refinado</t>
        </is>
      </c>
      <c r="D790" s="6" t="inlineStr">
        <is>
          <t>X</t>
        </is>
      </c>
      <c r="E790" s="6" t="n">
        <v>17596753</v>
      </c>
    </row>
    <row r="791">
      <c r="A791" s="9" t="n">
        <v>2005</v>
      </c>
      <c r="B791" s="9" t="inlineStr">
        <is>
          <t>plomo</t>
        </is>
      </c>
      <c r="C791" s="9" t="inlineStr">
        <is>
          <t>E3 Semimanufacturas</t>
        </is>
      </c>
      <c r="D791" s="9" t="inlineStr">
        <is>
          <t>M</t>
        </is>
      </c>
      <c r="E791" s="9" t="n">
        <v>1772883</v>
      </c>
    </row>
    <row r="792">
      <c r="A792" s="6" t="n">
        <v>2005</v>
      </c>
      <c r="B792" s="6" t="inlineStr">
        <is>
          <t>plomo</t>
        </is>
      </c>
      <c r="C792" s="6" t="inlineStr">
        <is>
          <t>E3 Semimanufacturas</t>
        </is>
      </c>
      <c r="D792" s="6" t="inlineStr">
        <is>
          <t>X</t>
        </is>
      </c>
      <c r="E792" s="6" t="n">
        <v>248339</v>
      </c>
    </row>
    <row r="793">
      <c r="A793" s="9" t="n">
        <v>2005</v>
      </c>
      <c r="B793" s="9" t="inlineStr">
        <is>
          <t>plomo</t>
        </is>
      </c>
      <c r="C793" s="9" t="inlineStr">
        <is>
          <t>E4 Manufacturas</t>
        </is>
      </c>
      <c r="D793" s="9" t="inlineStr">
        <is>
          <t>M</t>
        </is>
      </c>
      <c r="E793" s="9" t="n">
        <v>5026322</v>
      </c>
    </row>
    <row r="794">
      <c r="A794" s="6" t="n">
        <v>2005</v>
      </c>
      <c r="B794" s="6" t="inlineStr">
        <is>
          <t>plomo</t>
        </is>
      </c>
      <c r="C794" s="6" t="inlineStr">
        <is>
          <t>E4 Manufacturas</t>
        </is>
      </c>
      <c r="D794" s="6" t="inlineStr">
        <is>
          <t>X</t>
        </is>
      </c>
      <c r="E794" s="6" t="n">
        <v>920368</v>
      </c>
    </row>
    <row r="795">
      <c r="A795" s="9" t="n">
        <v>2005</v>
      </c>
      <c r="B795" s="9" t="inlineStr">
        <is>
          <t>silice</t>
        </is>
      </c>
      <c r="C795" s="9" t="inlineStr">
        <is>
          <t>E1 Arena silica/cuarzo</t>
        </is>
      </c>
      <c r="D795" s="9" t="inlineStr">
        <is>
          <t>M</t>
        </is>
      </c>
      <c r="E795" s="9" t="n">
        <v>35710658</v>
      </c>
    </row>
    <row r="796">
      <c r="A796" s="6" t="n">
        <v>2005</v>
      </c>
      <c r="B796" s="6" t="inlineStr">
        <is>
          <t>silice</t>
        </is>
      </c>
      <c r="C796" s="6" t="inlineStr">
        <is>
          <t>E1 Arena silica/cuarzo</t>
        </is>
      </c>
      <c r="D796" s="6" t="inlineStr">
        <is>
          <t>X</t>
        </is>
      </c>
      <c r="E796" s="6" t="n">
        <v>1273196</v>
      </c>
    </row>
    <row r="797">
      <c r="A797" s="9" t="n">
        <v>2005</v>
      </c>
      <c r="B797" s="9" t="inlineStr">
        <is>
          <t>silice</t>
        </is>
      </c>
      <c r="C797" s="9" t="inlineStr">
        <is>
          <t>E2 Silicio/ferrosilicio/SiO2</t>
        </is>
      </c>
      <c r="D797" s="9" t="inlineStr">
        <is>
          <t>M</t>
        </is>
      </c>
      <c r="E797" s="9" t="n">
        <v>68474472</v>
      </c>
    </row>
    <row r="798">
      <c r="A798" s="6" t="n">
        <v>2005</v>
      </c>
      <c r="B798" s="6" t="inlineStr">
        <is>
          <t>silice</t>
        </is>
      </c>
      <c r="C798" s="6" t="inlineStr">
        <is>
          <t>E2 Silicio/ferrosilicio/SiO2</t>
        </is>
      </c>
      <c r="D798" s="6" t="inlineStr">
        <is>
          <t>X</t>
        </is>
      </c>
      <c r="E798" s="6" t="n">
        <v>8490176</v>
      </c>
    </row>
    <row r="799">
      <c r="A799" s="9" t="n">
        <v>2005</v>
      </c>
      <c r="B799" s="9" t="inlineStr">
        <is>
          <t>zinc</t>
        </is>
      </c>
      <c r="C799" s="9" t="inlineStr">
        <is>
          <t>E1 Mena/concentrado</t>
        </is>
      </c>
      <c r="D799" s="9" t="inlineStr">
        <is>
          <t>M</t>
        </is>
      </c>
      <c r="E799" s="9" t="n">
        <v>1747375</v>
      </c>
    </row>
    <row r="800">
      <c r="A800" s="6" t="n">
        <v>2005</v>
      </c>
      <c r="B800" s="6" t="inlineStr">
        <is>
          <t>zinc</t>
        </is>
      </c>
      <c r="C800" s="6" t="inlineStr">
        <is>
          <t>E1 Mena/concentrado</t>
        </is>
      </c>
      <c r="D800" s="6" t="inlineStr">
        <is>
          <t>X</t>
        </is>
      </c>
      <c r="E800" s="6" t="n">
        <v>104375797</v>
      </c>
    </row>
    <row r="801">
      <c r="A801" s="9" t="n">
        <v>2005</v>
      </c>
      <c r="B801" s="9" t="inlineStr">
        <is>
          <t>zinc</t>
        </is>
      </c>
      <c r="C801" s="9" t="inlineStr">
        <is>
          <t>E2 Metal en bruto/refinado</t>
        </is>
      </c>
      <c r="D801" s="9" t="inlineStr">
        <is>
          <t>M</t>
        </is>
      </c>
      <c r="E801" s="9" t="n">
        <v>2786641</v>
      </c>
    </row>
    <row r="802">
      <c r="A802" s="6" t="n">
        <v>2005</v>
      </c>
      <c r="B802" s="6" t="inlineStr">
        <is>
          <t>zinc</t>
        </is>
      </c>
      <c r="C802" s="6" t="inlineStr">
        <is>
          <t>E2 Metal en bruto/refinado</t>
        </is>
      </c>
      <c r="D802" s="6" t="inlineStr">
        <is>
          <t>X</t>
        </is>
      </c>
      <c r="E802" s="6" t="n">
        <v>285217586</v>
      </c>
    </row>
    <row r="803">
      <c r="A803" s="9" t="n">
        <v>2005</v>
      </c>
      <c r="B803" s="9" t="inlineStr">
        <is>
          <t>zinc</t>
        </is>
      </c>
      <c r="C803" s="9" t="inlineStr">
        <is>
          <t>E3 Semimanufacturas</t>
        </is>
      </c>
      <c r="D803" s="9" t="inlineStr">
        <is>
          <t>M</t>
        </is>
      </c>
      <c r="E803" s="9" t="n">
        <v>18825013</v>
      </c>
    </row>
    <row r="804">
      <c r="A804" s="6" t="n">
        <v>2005</v>
      </c>
      <c r="B804" s="6" t="inlineStr">
        <is>
          <t>zinc</t>
        </is>
      </c>
      <c r="C804" s="6" t="inlineStr">
        <is>
          <t>E3 Semimanufacturas</t>
        </is>
      </c>
      <c r="D804" s="6" t="inlineStr">
        <is>
          <t>X</t>
        </is>
      </c>
      <c r="E804" s="6" t="n">
        <v>1217878</v>
      </c>
    </row>
    <row r="805">
      <c r="A805" s="9" t="n">
        <v>2005</v>
      </c>
      <c r="B805" s="9" t="inlineStr">
        <is>
          <t>zinc</t>
        </is>
      </c>
      <c r="C805" s="9" t="inlineStr">
        <is>
          <t>E4 Manufacturas</t>
        </is>
      </c>
      <c r="D805" s="9" t="inlineStr">
        <is>
          <t>M</t>
        </is>
      </c>
      <c r="E805" s="9" t="n">
        <v>23219686</v>
      </c>
    </row>
    <row r="806">
      <c r="A806" s="6" t="n">
        <v>2005</v>
      </c>
      <c r="B806" s="6" t="inlineStr">
        <is>
          <t>zinc</t>
        </is>
      </c>
      <c r="C806" s="6" t="inlineStr">
        <is>
          <t>E4 Manufacturas</t>
        </is>
      </c>
      <c r="D806" s="6" t="inlineStr">
        <is>
          <t>X</t>
        </is>
      </c>
      <c r="E806" s="6" t="n">
        <v>15185875</v>
      </c>
    </row>
    <row r="807">
      <c r="A807" s="9" t="n">
        <v>2006</v>
      </c>
      <c r="B807" s="9" t="inlineStr">
        <is>
          <t>barita</t>
        </is>
      </c>
      <c r="C807" s="9" t="inlineStr">
        <is>
          <t>E1 Crudo/molido</t>
        </is>
      </c>
      <c r="D807" s="9" t="inlineStr">
        <is>
          <t>M</t>
        </is>
      </c>
      <c r="E807" s="9" t="n">
        <v>6225408</v>
      </c>
    </row>
    <row r="808">
      <c r="A808" s="6" t="n">
        <v>2006</v>
      </c>
      <c r="B808" s="6" t="inlineStr">
        <is>
          <t>barita</t>
        </is>
      </c>
      <c r="C808" s="6" t="inlineStr">
        <is>
          <t>E1 Crudo/molido</t>
        </is>
      </c>
      <c r="D808" s="6" t="inlineStr">
        <is>
          <t>X</t>
        </is>
      </c>
      <c r="E808" s="6" t="n">
        <v>1879184</v>
      </c>
    </row>
    <row r="809">
      <c r="A809" s="9" t="n">
        <v>2006</v>
      </c>
      <c r="B809" s="9" t="inlineStr">
        <is>
          <t>barita</t>
        </is>
      </c>
      <c r="C809" s="9" t="inlineStr">
        <is>
          <t>E2 Quimicos de bario</t>
        </is>
      </c>
      <c r="D809" s="9" t="inlineStr">
        <is>
          <t>M</t>
        </is>
      </c>
      <c r="E809" s="9" t="n">
        <v>2073422</v>
      </c>
    </row>
    <row r="810">
      <c r="A810" s="6" t="n">
        <v>2006</v>
      </c>
      <c r="B810" s="6" t="inlineStr">
        <is>
          <t>barita</t>
        </is>
      </c>
      <c r="C810" s="6" t="inlineStr">
        <is>
          <t>E2 Quimicos de bario</t>
        </is>
      </c>
      <c r="D810" s="6" t="inlineStr">
        <is>
          <t>X</t>
        </is>
      </c>
      <c r="E810" s="6" t="n">
        <v>459</v>
      </c>
    </row>
    <row r="811">
      <c r="A811" s="9" t="n">
        <v>2006</v>
      </c>
      <c r="B811" s="9" t="inlineStr">
        <is>
          <t>cobre</t>
        </is>
      </c>
      <c r="C811" s="9" t="inlineStr">
        <is>
          <t>E1 Mena/concentrado</t>
        </is>
      </c>
      <c r="D811" s="9" t="inlineStr">
        <is>
          <t>M</t>
        </is>
      </c>
      <c r="E811" s="9" t="n">
        <v>175256304</v>
      </c>
    </row>
    <row r="812">
      <c r="A812" s="6" t="n">
        <v>2006</v>
      </c>
      <c r="B812" s="6" t="inlineStr">
        <is>
          <t>cobre</t>
        </is>
      </c>
      <c r="C812" s="6" t="inlineStr">
        <is>
          <t>E1 Mena/concentrado</t>
        </is>
      </c>
      <c r="D812" s="6" t="inlineStr">
        <is>
          <t>X</t>
        </is>
      </c>
      <c r="E812" s="6" t="n">
        <v>146021267</v>
      </c>
    </row>
    <row r="813">
      <c r="A813" s="9" t="n">
        <v>2006</v>
      </c>
      <c r="B813" s="9" t="inlineStr">
        <is>
          <t>cobre</t>
        </is>
      </c>
      <c r="C813" s="9" t="inlineStr">
        <is>
          <t>E2 Metal en bruto/refinado</t>
        </is>
      </c>
      <c r="D813" s="9" t="inlineStr">
        <is>
          <t>M</t>
        </is>
      </c>
      <c r="E813" s="9" t="n">
        <v>870855020</v>
      </c>
    </row>
    <row r="814">
      <c r="A814" s="6" t="n">
        <v>2006</v>
      </c>
      <c r="B814" s="6" t="inlineStr">
        <is>
          <t>cobre</t>
        </is>
      </c>
      <c r="C814" s="6" t="inlineStr">
        <is>
          <t>E2 Metal en bruto/refinado</t>
        </is>
      </c>
      <c r="D814" s="6" t="inlineStr">
        <is>
          <t>X</t>
        </is>
      </c>
      <c r="E814" s="6" t="n">
        <v>597853304</v>
      </c>
    </row>
    <row r="815">
      <c r="A815" s="9" t="n">
        <v>2006</v>
      </c>
      <c r="B815" s="9" t="inlineStr">
        <is>
          <t>cobre</t>
        </is>
      </c>
      <c r="C815" s="9" t="inlineStr">
        <is>
          <t>E3 Semimanufacturas</t>
        </is>
      </c>
      <c r="D815" s="9" t="inlineStr">
        <is>
          <t>M</t>
        </is>
      </c>
      <c r="E815" s="9" t="n">
        <v>1625914189</v>
      </c>
    </row>
    <row r="816">
      <c r="A816" s="6" t="n">
        <v>2006</v>
      </c>
      <c r="B816" s="6" t="inlineStr">
        <is>
          <t>cobre</t>
        </is>
      </c>
      <c r="C816" s="6" t="inlineStr">
        <is>
          <t>E3 Semimanufacturas</t>
        </is>
      </c>
      <c r="D816" s="6" t="inlineStr">
        <is>
          <t>X</t>
        </is>
      </c>
      <c r="E816" s="6" t="n">
        <v>812347435</v>
      </c>
    </row>
    <row r="817">
      <c r="A817" s="9" t="n">
        <v>2006</v>
      </c>
      <c r="B817" s="9" t="inlineStr">
        <is>
          <t>cobre</t>
        </is>
      </c>
      <c r="C817" s="9" t="inlineStr">
        <is>
          <t>E4 Manufacturas</t>
        </is>
      </c>
      <c r="D817" s="9" t="inlineStr">
        <is>
          <t>M</t>
        </is>
      </c>
      <c r="E817" s="9" t="n">
        <v>387150013</v>
      </c>
    </row>
    <row r="818">
      <c r="A818" s="6" t="n">
        <v>2006</v>
      </c>
      <c r="B818" s="6" t="inlineStr">
        <is>
          <t>cobre</t>
        </is>
      </c>
      <c r="C818" s="6" t="inlineStr">
        <is>
          <t>E4 Manufacturas</t>
        </is>
      </c>
      <c r="D818" s="6" t="inlineStr">
        <is>
          <t>X</t>
        </is>
      </c>
      <c r="E818" s="6" t="n">
        <v>31650642</v>
      </c>
    </row>
    <row r="819">
      <c r="A819" s="9" t="n">
        <v>2006</v>
      </c>
      <c r="B819" s="9" t="inlineStr">
        <is>
          <t>fluorita</t>
        </is>
      </c>
      <c r="C819" s="9" t="inlineStr">
        <is>
          <t>E1 Espato fluor (crudo)</t>
        </is>
      </c>
      <c r="D819" s="9" t="inlineStr">
        <is>
          <t>M</t>
        </is>
      </c>
      <c r="E819" s="9" t="n">
        <v>9268714</v>
      </c>
    </row>
    <row r="820">
      <c r="A820" s="6" t="n">
        <v>2006</v>
      </c>
      <c r="B820" s="6" t="inlineStr">
        <is>
          <t>fluorita</t>
        </is>
      </c>
      <c r="C820" s="6" t="inlineStr">
        <is>
          <t>E1 Espato fluor (crudo)</t>
        </is>
      </c>
      <c r="D820" s="6" t="inlineStr">
        <is>
          <t>X</t>
        </is>
      </c>
      <c r="E820" s="6" t="n">
        <v>58580333</v>
      </c>
    </row>
    <row r="821">
      <c r="A821" s="9" t="n">
        <v>2006</v>
      </c>
      <c r="B821" s="9" t="inlineStr">
        <is>
          <t>fluorita</t>
        </is>
      </c>
      <c r="C821" s="9" t="inlineStr">
        <is>
          <t>E2 Fluoroquimica</t>
        </is>
      </c>
      <c r="D821" s="9" t="inlineStr">
        <is>
          <t>M</t>
        </is>
      </c>
      <c r="E821" s="9" t="n">
        <v>18153279</v>
      </c>
    </row>
    <row r="822">
      <c r="A822" s="6" t="n">
        <v>2006</v>
      </c>
      <c r="B822" s="6" t="inlineStr">
        <is>
          <t>fluorita</t>
        </is>
      </c>
      <c r="C822" s="6" t="inlineStr">
        <is>
          <t>E2 Fluoroquimica</t>
        </is>
      </c>
      <c r="D822" s="6" t="inlineStr">
        <is>
          <t>X</t>
        </is>
      </c>
      <c r="E822" s="6" t="n">
        <v>120974203</v>
      </c>
    </row>
    <row r="823">
      <c r="A823" s="9" t="n">
        <v>2006</v>
      </c>
      <c r="B823" s="9" t="inlineStr">
        <is>
          <t>grafito</t>
        </is>
      </c>
      <c r="C823" s="9" t="inlineStr">
        <is>
          <t>E1 Grafito natural</t>
        </is>
      </c>
      <c r="D823" s="9" t="inlineStr">
        <is>
          <t>M</t>
        </is>
      </c>
      <c r="E823" s="9" t="n">
        <v>2559622</v>
      </c>
    </row>
    <row r="824">
      <c r="A824" s="6" t="n">
        <v>2006</v>
      </c>
      <c r="B824" s="6" t="inlineStr">
        <is>
          <t>grafito</t>
        </is>
      </c>
      <c r="C824" s="6" t="inlineStr">
        <is>
          <t>E1 Grafito natural</t>
        </is>
      </c>
      <c r="D824" s="6" t="inlineStr">
        <is>
          <t>X</t>
        </is>
      </c>
      <c r="E824" s="6" t="n">
        <v>4131235</v>
      </c>
    </row>
    <row r="825">
      <c r="A825" s="9" t="n">
        <v>2006</v>
      </c>
      <c r="B825" s="9" t="inlineStr">
        <is>
          <t>grafito</t>
        </is>
      </c>
      <c r="C825" s="9" t="inlineStr">
        <is>
          <t>E2 Grafito artificial/prep.</t>
        </is>
      </c>
      <c r="D825" s="9" t="inlineStr">
        <is>
          <t>M</t>
        </is>
      </c>
      <c r="E825" s="9" t="n">
        <v>17247154</v>
      </c>
    </row>
    <row r="826">
      <c r="A826" s="6" t="n">
        <v>2006</v>
      </c>
      <c r="B826" s="6" t="inlineStr">
        <is>
          <t>grafito</t>
        </is>
      </c>
      <c r="C826" s="6" t="inlineStr">
        <is>
          <t>E2 Grafito artificial/prep.</t>
        </is>
      </c>
      <c r="D826" s="6" t="inlineStr">
        <is>
          <t>X</t>
        </is>
      </c>
      <c r="E826" s="6" t="n">
        <v>6787108</v>
      </c>
    </row>
    <row r="827">
      <c r="A827" s="9" t="n">
        <v>2006</v>
      </c>
      <c r="B827" s="9" t="inlineStr">
        <is>
          <t>grafito</t>
        </is>
      </c>
      <c r="C827" s="9" t="inlineStr">
        <is>
          <t>E3 Electrodos/articulos de carbono</t>
        </is>
      </c>
      <c r="D827" s="9" t="inlineStr">
        <is>
          <t>M</t>
        </is>
      </c>
      <c r="E827" s="9" t="n">
        <v>99338043</v>
      </c>
    </row>
    <row r="828">
      <c r="A828" s="6" t="n">
        <v>2006</v>
      </c>
      <c r="B828" s="6" t="inlineStr">
        <is>
          <t>grafito</t>
        </is>
      </c>
      <c r="C828" s="6" t="inlineStr">
        <is>
          <t>E3 Electrodos/articulos de carbono</t>
        </is>
      </c>
      <c r="D828" s="6" t="inlineStr">
        <is>
          <t>X</t>
        </is>
      </c>
      <c r="E828" s="6" t="n">
        <v>102220223</v>
      </c>
    </row>
    <row r="829">
      <c r="A829" s="9" t="n">
        <v>2006</v>
      </c>
      <c r="B829" s="9" t="inlineStr">
        <is>
          <t>manganeso</t>
        </is>
      </c>
      <c r="C829" s="9" t="inlineStr">
        <is>
          <t>E1 Mena/concentrado</t>
        </is>
      </c>
      <c r="D829" s="9" t="inlineStr">
        <is>
          <t>M</t>
        </is>
      </c>
      <c r="E829" s="9" t="n">
        <v>12871594</v>
      </c>
    </row>
    <row r="830">
      <c r="A830" s="6" t="n">
        <v>2006</v>
      </c>
      <c r="B830" s="6" t="inlineStr">
        <is>
          <t>manganeso</t>
        </is>
      </c>
      <c r="C830" s="6" t="inlineStr">
        <is>
          <t>E1 Mena/concentrado</t>
        </is>
      </c>
      <c r="D830" s="6" t="inlineStr">
        <is>
          <t>X</t>
        </is>
      </c>
      <c r="E830" s="6" t="n">
        <v>2469130</v>
      </c>
    </row>
    <row r="831">
      <c r="A831" s="9" t="n">
        <v>2006</v>
      </c>
      <c r="B831" s="9" t="inlineStr">
        <is>
          <t>manganeso</t>
        </is>
      </c>
      <c r="C831" s="9" t="inlineStr">
        <is>
          <t>E2 Ferroaleaciones</t>
        </is>
      </c>
      <c r="D831" s="9" t="inlineStr">
        <is>
          <t>M</t>
        </is>
      </c>
      <c r="E831" s="9" t="n">
        <v>26891427</v>
      </c>
    </row>
    <row r="832">
      <c r="A832" s="6" t="n">
        <v>2006</v>
      </c>
      <c r="B832" s="6" t="inlineStr">
        <is>
          <t>manganeso</t>
        </is>
      </c>
      <c r="C832" s="6" t="inlineStr">
        <is>
          <t>E2 Ferroaleaciones</t>
        </is>
      </c>
      <c r="D832" s="6" t="inlineStr">
        <is>
          <t>X</t>
        </is>
      </c>
      <c r="E832" s="6" t="n">
        <v>38766932</v>
      </c>
    </row>
    <row r="833">
      <c r="A833" s="9" t="n">
        <v>2006</v>
      </c>
      <c r="B833" s="9" t="inlineStr">
        <is>
          <t>manganeso</t>
        </is>
      </c>
      <c r="C833" s="9" t="inlineStr">
        <is>
          <t>E3 Quimicos/metal</t>
        </is>
      </c>
      <c r="D833" s="9" t="inlineStr">
        <is>
          <t>M</t>
        </is>
      </c>
      <c r="E833" s="9" t="n">
        <v>7353507</v>
      </c>
    </row>
    <row r="834">
      <c r="A834" s="6" t="n">
        <v>2006</v>
      </c>
      <c r="B834" s="6" t="inlineStr">
        <is>
          <t>manganeso</t>
        </is>
      </c>
      <c r="C834" s="6" t="inlineStr">
        <is>
          <t>E3 Quimicos/metal</t>
        </is>
      </c>
      <c r="D834" s="6" t="inlineStr">
        <is>
          <t>X</t>
        </is>
      </c>
      <c r="E834" s="6" t="n">
        <v>2820354</v>
      </c>
    </row>
    <row r="835">
      <c r="A835" s="9" t="n">
        <v>2006</v>
      </c>
      <c r="B835" s="9" t="inlineStr">
        <is>
          <t>oro</t>
        </is>
      </c>
      <c r="C835" s="9" t="inlineStr">
        <is>
          <t>E1 Mena/concentrado</t>
        </is>
      </c>
      <c r="D835" s="9" t="inlineStr">
        <is>
          <t>M</t>
        </is>
      </c>
      <c r="E835" s="9" t="n">
        <v>119004365</v>
      </c>
    </row>
    <row r="836">
      <c r="A836" s="6" t="n">
        <v>2006</v>
      </c>
      <c r="B836" s="6" t="inlineStr">
        <is>
          <t>oro</t>
        </is>
      </c>
      <c r="C836" s="6" t="inlineStr">
        <is>
          <t>E2 Bruto/semilabrado</t>
        </is>
      </c>
      <c r="D836" s="6" t="inlineStr">
        <is>
          <t>M</t>
        </is>
      </c>
      <c r="E836" s="6" t="n">
        <v>271065050</v>
      </c>
    </row>
    <row r="837">
      <c r="A837" s="9" t="n">
        <v>2006</v>
      </c>
      <c r="B837" s="9" t="inlineStr">
        <is>
          <t>oro</t>
        </is>
      </c>
      <c r="C837" s="9" t="inlineStr">
        <is>
          <t>E2 Bruto/semilabrado</t>
        </is>
      </c>
      <c r="D837" s="9" t="inlineStr">
        <is>
          <t>X</t>
        </is>
      </c>
      <c r="E837" s="9" t="n">
        <v>1037584610</v>
      </c>
    </row>
    <row r="838">
      <c r="A838" s="6" t="n">
        <v>2006</v>
      </c>
      <c r="B838" s="6" t="inlineStr">
        <is>
          <t>oro-plata (manufacturas)</t>
        </is>
      </c>
      <c r="C838" s="6" t="inlineStr">
        <is>
          <t>E4 Joyeria/orfebreria</t>
        </is>
      </c>
      <c r="D838" s="6" t="inlineStr">
        <is>
          <t>M</t>
        </is>
      </c>
      <c r="E838" s="6" t="n">
        <v>376550331</v>
      </c>
    </row>
    <row r="839">
      <c r="A839" s="9" t="n">
        <v>2006</v>
      </c>
      <c r="B839" s="9" t="inlineStr">
        <is>
          <t>oro-plata (manufacturas)</t>
        </is>
      </c>
      <c r="C839" s="9" t="inlineStr">
        <is>
          <t>E4 Joyeria/orfebreria</t>
        </is>
      </c>
      <c r="D839" s="9" t="inlineStr">
        <is>
          <t>X</t>
        </is>
      </c>
      <c r="E839" s="9" t="n">
        <v>587666245</v>
      </c>
    </row>
    <row r="840">
      <c r="A840" s="6" t="n">
        <v>2006</v>
      </c>
      <c r="B840" s="6" t="inlineStr">
        <is>
          <t>plata</t>
        </is>
      </c>
      <c r="C840" s="6" t="inlineStr">
        <is>
          <t>E1 Mena/concentrado</t>
        </is>
      </c>
      <c r="D840" s="6" t="inlineStr">
        <is>
          <t>M</t>
        </is>
      </c>
      <c r="E840" s="6" t="n">
        <v>127555458</v>
      </c>
    </row>
    <row r="841">
      <c r="A841" s="9" t="n">
        <v>2006</v>
      </c>
      <c r="B841" s="9" t="inlineStr">
        <is>
          <t>plata</t>
        </is>
      </c>
      <c r="C841" s="9" t="inlineStr">
        <is>
          <t>E1 Mena/concentrado</t>
        </is>
      </c>
      <c r="D841" s="9" t="inlineStr">
        <is>
          <t>X</t>
        </is>
      </c>
      <c r="E841" s="9" t="n">
        <v>1354484</v>
      </c>
    </row>
    <row r="842">
      <c r="A842" s="6" t="n">
        <v>2006</v>
      </c>
      <c r="B842" s="6" t="inlineStr">
        <is>
          <t>plata</t>
        </is>
      </c>
      <c r="C842" s="6" t="inlineStr">
        <is>
          <t>E2 Bruto/semilabrado</t>
        </is>
      </c>
      <c r="D842" s="6" t="inlineStr">
        <is>
          <t>M</t>
        </is>
      </c>
      <c r="E842" s="6" t="n">
        <v>48722772</v>
      </c>
    </row>
    <row r="843">
      <c r="A843" s="9" t="n">
        <v>2006</v>
      </c>
      <c r="B843" s="9" t="inlineStr">
        <is>
          <t>plata</t>
        </is>
      </c>
      <c r="C843" s="9" t="inlineStr">
        <is>
          <t>E2 Bruto/semilabrado</t>
        </is>
      </c>
      <c r="D843" s="9" t="inlineStr">
        <is>
          <t>X</t>
        </is>
      </c>
      <c r="E843" s="9" t="n">
        <v>1223635743</v>
      </c>
    </row>
    <row r="844">
      <c r="A844" s="6" t="n">
        <v>2006</v>
      </c>
      <c r="B844" s="6" t="inlineStr">
        <is>
          <t>plomo</t>
        </is>
      </c>
      <c r="C844" s="6" t="inlineStr">
        <is>
          <t>E1 Mena/concentrado</t>
        </is>
      </c>
      <c r="D844" s="6" t="inlineStr">
        <is>
          <t>M</t>
        </is>
      </c>
      <c r="E844" s="6" t="n">
        <v>80548043</v>
      </c>
    </row>
    <row r="845">
      <c r="A845" s="9" t="n">
        <v>2006</v>
      </c>
      <c r="B845" s="9" t="inlineStr">
        <is>
          <t>plomo</t>
        </is>
      </c>
      <c r="C845" s="9" t="inlineStr">
        <is>
          <t>E1 Mena/concentrado</t>
        </is>
      </c>
      <c r="D845" s="9" t="inlineStr">
        <is>
          <t>X</t>
        </is>
      </c>
      <c r="E845" s="9" t="n">
        <v>10780188</v>
      </c>
    </row>
    <row r="846">
      <c r="A846" s="6" t="n">
        <v>2006</v>
      </c>
      <c r="B846" s="6" t="inlineStr">
        <is>
          <t>plomo</t>
        </is>
      </c>
      <c r="C846" s="6" t="inlineStr">
        <is>
          <t>E2 Metal en bruto/refinado</t>
        </is>
      </c>
      <c r="D846" s="6" t="inlineStr">
        <is>
          <t>M</t>
        </is>
      </c>
      <c r="E846" s="6" t="n">
        <v>57893732</v>
      </c>
    </row>
    <row r="847">
      <c r="A847" s="9" t="n">
        <v>2006</v>
      </c>
      <c r="B847" s="9" t="inlineStr">
        <is>
          <t>plomo</t>
        </is>
      </c>
      <c r="C847" s="9" t="inlineStr">
        <is>
          <t>E2 Metal en bruto/refinado</t>
        </is>
      </c>
      <c r="D847" s="9" t="inlineStr">
        <is>
          <t>X</t>
        </is>
      </c>
      <c r="E847" s="9" t="n">
        <v>24505218</v>
      </c>
    </row>
    <row r="848">
      <c r="A848" s="6" t="n">
        <v>2006</v>
      </c>
      <c r="B848" s="6" t="inlineStr">
        <is>
          <t>plomo</t>
        </is>
      </c>
      <c r="C848" s="6" t="inlineStr">
        <is>
          <t>E3 Semimanufacturas</t>
        </is>
      </c>
      <c r="D848" s="6" t="inlineStr">
        <is>
          <t>M</t>
        </is>
      </c>
      <c r="E848" s="6" t="n">
        <v>3337755</v>
      </c>
    </row>
    <row r="849">
      <c r="A849" s="9" t="n">
        <v>2006</v>
      </c>
      <c r="B849" s="9" t="inlineStr">
        <is>
          <t>plomo</t>
        </is>
      </c>
      <c r="C849" s="9" t="inlineStr">
        <is>
          <t>E3 Semimanufacturas</t>
        </is>
      </c>
      <c r="D849" s="9" t="inlineStr">
        <is>
          <t>X</t>
        </is>
      </c>
      <c r="E849" s="9" t="n">
        <v>2446445</v>
      </c>
    </row>
    <row r="850">
      <c r="A850" s="6" t="n">
        <v>2006</v>
      </c>
      <c r="B850" s="6" t="inlineStr">
        <is>
          <t>plomo</t>
        </is>
      </c>
      <c r="C850" s="6" t="inlineStr">
        <is>
          <t>E4 Manufacturas</t>
        </is>
      </c>
      <c r="D850" s="6" t="inlineStr">
        <is>
          <t>M</t>
        </is>
      </c>
      <c r="E850" s="6" t="n">
        <v>6929127</v>
      </c>
    </row>
    <row r="851">
      <c r="A851" s="9" t="n">
        <v>2006</v>
      </c>
      <c r="B851" s="9" t="inlineStr">
        <is>
          <t>plomo</t>
        </is>
      </c>
      <c r="C851" s="9" t="inlineStr">
        <is>
          <t>E4 Manufacturas</t>
        </is>
      </c>
      <c r="D851" s="9" t="inlineStr">
        <is>
          <t>X</t>
        </is>
      </c>
      <c r="E851" s="9" t="n">
        <v>1140310</v>
      </c>
    </row>
    <row r="852">
      <c r="A852" s="6" t="n">
        <v>2006</v>
      </c>
      <c r="B852" s="6" t="inlineStr">
        <is>
          <t>silice</t>
        </is>
      </c>
      <c r="C852" s="6" t="inlineStr">
        <is>
          <t>E1 Arena silica/cuarzo</t>
        </is>
      </c>
      <c r="D852" s="6" t="inlineStr">
        <is>
          <t>M</t>
        </is>
      </c>
      <c r="E852" s="6" t="n">
        <v>41834648</v>
      </c>
    </row>
    <row r="853">
      <c r="A853" s="9" t="n">
        <v>2006</v>
      </c>
      <c r="B853" s="9" t="inlineStr">
        <is>
          <t>silice</t>
        </is>
      </c>
      <c r="C853" s="9" t="inlineStr">
        <is>
          <t>E1 Arena silica/cuarzo</t>
        </is>
      </c>
      <c r="D853" s="9" t="inlineStr">
        <is>
          <t>X</t>
        </is>
      </c>
      <c r="E853" s="9" t="n">
        <v>7263670</v>
      </c>
    </row>
    <row r="854">
      <c r="A854" s="6" t="n">
        <v>2006</v>
      </c>
      <c r="B854" s="6" t="inlineStr">
        <is>
          <t>silice</t>
        </is>
      </c>
      <c r="C854" s="6" t="inlineStr">
        <is>
          <t>E2 Silicio/ferrosilicio/SiO2</t>
        </is>
      </c>
      <c r="D854" s="6" t="inlineStr">
        <is>
          <t>M</t>
        </is>
      </c>
      <c r="E854" s="6" t="n">
        <v>78037553</v>
      </c>
    </row>
    <row r="855">
      <c r="A855" s="9" t="n">
        <v>2006</v>
      </c>
      <c r="B855" s="9" t="inlineStr">
        <is>
          <t>silice</t>
        </is>
      </c>
      <c r="C855" s="9" t="inlineStr">
        <is>
          <t>E2 Silicio/ferrosilicio/SiO2</t>
        </is>
      </c>
      <c r="D855" s="9" t="inlineStr">
        <is>
          <t>X</t>
        </is>
      </c>
      <c r="E855" s="9" t="n">
        <v>11867167</v>
      </c>
    </row>
    <row r="856">
      <c r="A856" s="6" t="n">
        <v>2006</v>
      </c>
      <c r="B856" s="6" t="inlineStr">
        <is>
          <t>zinc</t>
        </is>
      </c>
      <c r="C856" s="6" t="inlineStr">
        <is>
          <t>E1 Mena/concentrado</t>
        </is>
      </c>
      <c r="D856" s="6" t="inlineStr">
        <is>
          <t>M</t>
        </is>
      </c>
      <c r="E856" s="6" t="n">
        <v>20709</v>
      </c>
    </row>
    <row r="857">
      <c r="A857" s="9" t="n">
        <v>2006</v>
      </c>
      <c r="B857" s="9" t="inlineStr">
        <is>
          <t>zinc</t>
        </is>
      </c>
      <c r="C857" s="9" t="inlineStr">
        <is>
          <t>E1 Mena/concentrado</t>
        </is>
      </c>
      <c r="D857" s="9" t="inlineStr">
        <is>
          <t>X</t>
        </is>
      </c>
      <c r="E857" s="9" t="n">
        <v>305744554</v>
      </c>
    </row>
    <row r="858">
      <c r="A858" s="6" t="n">
        <v>2006</v>
      </c>
      <c r="B858" s="6" t="inlineStr">
        <is>
          <t>zinc</t>
        </is>
      </c>
      <c r="C858" s="6" t="inlineStr">
        <is>
          <t>E2 Metal en bruto/refinado</t>
        </is>
      </c>
      <c r="D858" s="6" t="inlineStr">
        <is>
          <t>M</t>
        </is>
      </c>
      <c r="E858" s="6" t="n">
        <v>32819599</v>
      </c>
    </row>
    <row r="859">
      <c r="A859" s="9" t="n">
        <v>2006</v>
      </c>
      <c r="B859" s="9" t="inlineStr">
        <is>
          <t>zinc</t>
        </is>
      </c>
      <c r="C859" s="9" t="inlineStr">
        <is>
          <t>E2 Metal en bruto/refinado</t>
        </is>
      </c>
      <c r="D859" s="9" t="inlineStr">
        <is>
          <t>X</t>
        </is>
      </c>
      <c r="E859" s="9" t="n">
        <v>538598277</v>
      </c>
    </row>
    <row r="860">
      <c r="A860" s="6" t="n">
        <v>2006</v>
      </c>
      <c r="B860" s="6" t="inlineStr">
        <is>
          <t>zinc</t>
        </is>
      </c>
      <c r="C860" s="6" t="inlineStr">
        <is>
          <t>E3 Semimanufacturas</t>
        </is>
      </c>
      <c r="D860" s="6" t="inlineStr">
        <is>
          <t>M</t>
        </is>
      </c>
      <c r="E860" s="6" t="n">
        <v>22812092</v>
      </c>
    </row>
    <row r="861">
      <c r="A861" s="9" t="n">
        <v>2006</v>
      </c>
      <c r="B861" s="9" t="inlineStr">
        <is>
          <t>zinc</t>
        </is>
      </c>
      <c r="C861" s="9" t="inlineStr">
        <is>
          <t>E3 Semimanufacturas</t>
        </is>
      </c>
      <c r="D861" s="9" t="inlineStr">
        <is>
          <t>X</t>
        </is>
      </c>
      <c r="E861" s="9" t="n">
        <v>2179434</v>
      </c>
    </row>
    <row r="862">
      <c r="A862" s="6" t="n">
        <v>2006</v>
      </c>
      <c r="B862" s="6" t="inlineStr">
        <is>
          <t>zinc</t>
        </is>
      </c>
      <c r="C862" s="6" t="inlineStr">
        <is>
          <t>E4 Manufacturas</t>
        </is>
      </c>
      <c r="D862" s="6" t="inlineStr">
        <is>
          <t>M</t>
        </is>
      </c>
      <c r="E862" s="6" t="n">
        <v>23651988</v>
      </c>
    </row>
    <row r="863">
      <c r="A863" s="9" t="n">
        <v>2006</v>
      </c>
      <c r="B863" s="9" t="inlineStr">
        <is>
          <t>zinc</t>
        </is>
      </c>
      <c r="C863" s="9" t="inlineStr">
        <is>
          <t>E4 Manufacturas</t>
        </is>
      </c>
      <c r="D863" s="9" t="inlineStr">
        <is>
          <t>X</t>
        </is>
      </c>
      <c r="E863" s="9" t="n">
        <v>12141397</v>
      </c>
    </row>
    <row r="864">
      <c r="A864" s="6" t="n">
        <v>2007</v>
      </c>
      <c r="B864" s="6" t="inlineStr">
        <is>
          <t>barita</t>
        </is>
      </c>
      <c r="C864" s="6" t="inlineStr">
        <is>
          <t>E1 Crudo/molido</t>
        </is>
      </c>
      <c r="D864" s="6" t="inlineStr">
        <is>
          <t>M</t>
        </is>
      </c>
      <c r="E864" s="6" t="n">
        <v>19880925</v>
      </c>
    </row>
    <row r="865">
      <c r="A865" s="9" t="n">
        <v>2007</v>
      </c>
      <c r="B865" s="9" t="inlineStr">
        <is>
          <t>barita</t>
        </is>
      </c>
      <c r="C865" s="9" t="inlineStr">
        <is>
          <t>E1 Crudo/molido</t>
        </is>
      </c>
      <c r="D865" s="9" t="inlineStr">
        <is>
          <t>X</t>
        </is>
      </c>
      <c r="E865" s="9" t="n">
        <v>1316217</v>
      </c>
    </row>
    <row r="866">
      <c r="A866" s="6" t="n">
        <v>2007</v>
      </c>
      <c r="B866" s="6" t="inlineStr">
        <is>
          <t>barita</t>
        </is>
      </c>
      <c r="C866" s="6" t="inlineStr">
        <is>
          <t>E2 Quimicos de bario</t>
        </is>
      </c>
      <c r="D866" s="6" t="inlineStr">
        <is>
          <t>M</t>
        </is>
      </c>
      <c r="E866" s="6" t="n">
        <v>2222482</v>
      </c>
    </row>
    <row r="867">
      <c r="A867" s="9" t="n">
        <v>2007</v>
      </c>
      <c r="B867" s="9" t="inlineStr">
        <is>
          <t>barita</t>
        </is>
      </c>
      <c r="C867" s="9" t="inlineStr">
        <is>
          <t>E2 Quimicos de bario</t>
        </is>
      </c>
      <c r="D867" s="9" t="inlineStr">
        <is>
          <t>X</t>
        </is>
      </c>
      <c r="E867" s="9" t="n">
        <v>34122</v>
      </c>
    </row>
    <row r="868">
      <c r="A868" s="6" t="n">
        <v>2007</v>
      </c>
      <c r="B868" s="6" t="inlineStr">
        <is>
          <t>cobre</t>
        </is>
      </c>
      <c r="C868" s="6" t="inlineStr">
        <is>
          <t>E1 Mena/concentrado</t>
        </is>
      </c>
      <c r="D868" s="6" t="inlineStr">
        <is>
          <t>M</t>
        </is>
      </c>
      <c r="E868" s="6" t="n">
        <v>47603</v>
      </c>
    </row>
    <row r="869">
      <c r="A869" s="9" t="n">
        <v>2007</v>
      </c>
      <c r="B869" s="9" t="inlineStr">
        <is>
          <t>cobre</t>
        </is>
      </c>
      <c r="C869" s="9" t="inlineStr">
        <is>
          <t>E1 Mena/concentrado</t>
        </is>
      </c>
      <c r="D869" s="9" t="inlineStr">
        <is>
          <t>X</t>
        </is>
      </c>
      <c r="E869" s="9" t="n">
        <v>267223083</v>
      </c>
    </row>
    <row r="870">
      <c r="A870" s="6" t="n">
        <v>2007</v>
      </c>
      <c r="B870" s="6" t="inlineStr">
        <is>
          <t>cobre</t>
        </is>
      </c>
      <c r="C870" s="6" t="inlineStr">
        <is>
          <t>E2 Metal en bruto/refinado</t>
        </is>
      </c>
      <c r="D870" s="6" t="inlineStr">
        <is>
          <t>M</t>
        </is>
      </c>
      <c r="E870" s="6" t="n">
        <v>744227363</v>
      </c>
    </row>
    <row r="871">
      <c r="A871" s="9" t="n">
        <v>2007</v>
      </c>
      <c r="B871" s="9" t="inlineStr">
        <is>
          <t>cobre</t>
        </is>
      </c>
      <c r="C871" s="9" t="inlineStr">
        <is>
          <t>E2 Metal en bruto/refinado</t>
        </is>
      </c>
      <c r="D871" s="9" t="inlineStr">
        <is>
          <t>X</t>
        </is>
      </c>
      <c r="E871" s="9" t="n">
        <v>774963219</v>
      </c>
    </row>
    <row r="872">
      <c r="A872" s="6" t="n">
        <v>2007</v>
      </c>
      <c r="B872" s="6" t="inlineStr">
        <is>
          <t>cobre</t>
        </is>
      </c>
      <c r="C872" s="6" t="inlineStr">
        <is>
          <t>E3 Semimanufacturas</t>
        </is>
      </c>
      <c r="D872" s="6" t="inlineStr">
        <is>
          <t>M</t>
        </is>
      </c>
      <c r="E872" s="6" t="n">
        <v>1702943694</v>
      </c>
    </row>
    <row r="873">
      <c r="A873" s="9" t="n">
        <v>2007</v>
      </c>
      <c r="B873" s="9" t="inlineStr">
        <is>
          <t>cobre</t>
        </is>
      </c>
      <c r="C873" s="9" t="inlineStr">
        <is>
          <t>E3 Semimanufacturas</t>
        </is>
      </c>
      <c r="D873" s="9" t="inlineStr">
        <is>
          <t>X</t>
        </is>
      </c>
      <c r="E873" s="9" t="n">
        <v>900602289</v>
      </c>
    </row>
    <row r="874">
      <c r="A874" s="6" t="n">
        <v>2007</v>
      </c>
      <c r="B874" s="6" t="inlineStr">
        <is>
          <t>cobre</t>
        </is>
      </c>
      <c r="C874" s="6" t="inlineStr">
        <is>
          <t>E4 Manufacturas</t>
        </is>
      </c>
      <c r="D874" s="6" t="inlineStr">
        <is>
          <t>M</t>
        </is>
      </c>
      <c r="E874" s="6" t="n">
        <v>401027444</v>
      </c>
    </row>
    <row r="875">
      <c r="A875" s="9" t="n">
        <v>2007</v>
      </c>
      <c r="B875" s="9" t="inlineStr">
        <is>
          <t>cobre</t>
        </is>
      </c>
      <c r="C875" s="9" t="inlineStr">
        <is>
          <t>E4 Manufacturas</t>
        </is>
      </c>
      <c r="D875" s="9" t="inlineStr">
        <is>
          <t>X</t>
        </is>
      </c>
      <c r="E875" s="9" t="n">
        <v>30825095</v>
      </c>
    </row>
    <row r="876">
      <c r="A876" s="6" t="n">
        <v>2007</v>
      </c>
      <c r="B876" s="6" t="inlineStr">
        <is>
          <t>fluorita</t>
        </is>
      </c>
      <c r="C876" s="6" t="inlineStr">
        <is>
          <t>E1 Espato fluor (crudo)</t>
        </is>
      </c>
      <c r="D876" s="6" t="inlineStr">
        <is>
          <t>M</t>
        </is>
      </c>
      <c r="E876" s="6" t="n">
        <v>45819</v>
      </c>
    </row>
    <row r="877">
      <c r="A877" s="9" t="n">
        <v>2007</v>
      </c>
      <c r="B877" s="9" t="inlineStr">
        <is>
          <t>fluorita</t>
        </is>
      </c>
      <c r="C877" s="9" t="inlineStr">
        <is>
          <t>E1 Espato fluor (crudo)</t>
        </is>
      </c>
      <c r="D877" s="9" t="inlineStr">
        <is>
          <t>X</t>
        </is>
      </c>
      <c r="E877" s="9" t="n">
        <v>79398700</v>
      </c>
    </row>
    <row r="878">
      <c r="A878" s="6" t="n">
        <v>2007</v>
      </c>
      <c r="B878" s="6" t="inlineStr">
        <is>
          <t>fluorita</t>
        </is>
      </c>
      <c r="C878" s="6" t="inlineStr">
        <is>
          <t>E2 Fluoroquimica</t>
        </is>
      </c>
      <c r="D878" s="6" t="inlineStr">
        <is>
          <t>M</t>
        </is>
      </c>
      <c r="E878" s="6" t="n">
        <v>15705414</v>
      </c>
    </row>
    <row r="879">
      <c r="A879" s="9" t="n">
        <v>2007</v>
      </c>
      <c r="B879" s="9" t="inlineStr">
        <is>
          <t>fluorita</t>
        </is>
      </c>
      <c r="C879" s="9" t="inlineStr">
        <is>
          <t>E2 Fluoroquimica</t>
        </is>
      </c>
      <c r="D879" s="9" t="inlineStr">
        <is>
          <t>X</t>
        </is>
      </c>
      <c r="E879" s="9" t="n">
        <v>127175772</v>
      </c>
    </row>
    <row r="880">
      <c r="A880" s="6" t="n">
        <v>2007</v>
      </c>
      <c r="B880" s="6" t="inlineStr">
        <is>
          <t>grafito</t>
        </is>
      </c>
      <c r="C880" s="6" t="inlineStr">
        <is>
          <t>E1 Grafito natural</t>
        </is>
      </c>
      <c r="D880" s="6" t="inlineStr">
        <is>
          <t>M</t>
        </is>
      </c>
      <c r="E880" s="6" t="n">
        <v>3524904</v>
      </c>
    </row>
    <row r="881">
      <c r="A881" s="9" t="n">
        <v>2007</v>
      </c>
      <c r="B881" s="9" t="inlineStr">
        <is>
          <t>grafito</t>
        </is>
      </c>
      <c r="C881" s="9" t="inlineStr">
        <is>
          <t>E1 Grafito natural</t>
        </is>
      </c>
      <c r="D881" s="9" t="inlineStr">
        <is>
          <t>X</t>
        </is>
      </c>
      <c r="E881" s="9" t="n">
        <v>3148939</v>
      </c>
    </row>
    <row r="882">
      <c r="A882" s="6" t="n">
        <v>2007</v>
      </c>
      <c r="B882" s="6" t="inlineStr">
        <is>
          <t>grafito</t>
        </is>
      </c>
      <c r="C882" s="6" t="inlineStr">
        <is>
          <t>E2 Grafito artificial/prep.</t>
        </is>
      </c>
      <c r="D882" s="6" t="inlineStr">
        <is>
          <t>M</t>
        </is>
      </c>
      <c r="E882" s="6" t="n">
        <v>17687287</v>
      </c>
    </row>
    <row r="883">
      <c r="A883" s="9" t="n">
        <v>2007</v>
      </c>
      <c r="B883" s="9" t="inlineStr">
        <is>
          <t>grafito</t>
        </is>
      </c>
      <c r="C883" s="9" t="inlineStr">
        <is>
          <t>E2 Grafito artificial/prep.</t>
        </is>
      </c>
      <c r="D883" s="9" t="inlineStr">
        <is>
          <t>X</t>
        </is>
      </c>
      <c r="E883" s="9" t="n">
        <v>8689236</v>
      </c>
    </row>
    <row r="884">
      <c r="A884" s="6" t="n">
        <v>2007</v>
      </c>
      <c r="B884" s="6" t="inlineStr">
        <is>
          <t>grafito</t>
        </is>
      </c>
      <c r="C884" s="6" t="inlineStr">
        <is>
          <t>E3 Electrodos/articulos de carbono</t>
        </is>
      </c>
      <c r="D884" s="6" t="inlineStr">
        <is>
          <t>M</t>
        </is>
      </c>
      <c r="E884" s="6" t="n">
        <v>126205786</v>
      </c>
    </row>
    <row r="885">
      <c r="A885" s="9" t="n">
        <v>2007</v>
      </c>
      <c r="B885" s="9" t="inlineStr">
        <is>
          <t>grafito</t>
        </is>
      </c>
      <c r="C885" s="9" t="inlineStr">
        <is>
          <t>E3 Electrodos/articulos de carbono</t>
        </is>
      </c>
      <c r="D885" s="9" t="inlineStr">
        <is>
          <t>X</t>
        </is>
      </c>
      <c r="E885" s="9" t="n">
        <v>109728960</v>
      </c>
    </row>
    <row r="886">
      <c r="A886" s="6" t="n">
        <v>2007</v>
      </c>
      <c r="B886" s="6" t="inlineStr">
        <is>
          <t>manganeso</t>
        </is>
      </c>
      <c r="C886" s="6" t="inlineStr">
        <is>
          <t>E1 Mena/concentrado</t>
        </is>
      </c>
      <c r="D886" s="6" t="inlineStr">
        <is>
          <t>M</t>
        </is>
      </c>
      <c r="E886" s="6" t="n">
        <v>24351292</v>
      </c>
    </row>
    <row r="887">
      <c r="A887" s="9" t="n">
        <v>2007</v>
      </c>
      <c r="B887" s="9" t="inlineStr">
        <is>
          <t>manganeso</t>
        </is>
      </c>
      <c r="C887" s="9" t="inlineStr">
        <is>
          <t>E1 Mena/concentrado</t>
        </is>
      </c>
      <c r="D887" s="9" t="inlineStr">
        <is>
          <t>X</t>
        </is>
      </c>
      <c r="E887" s="9" t="n">
        <v>8986533</v>
      </c>
    </row>
    <row r="888">
      <c r="A888" s="6" t="n">
        <v>2007</v>
      </c>
      <c r="B888" s="6" t="inlineStr">
        <is>
          <t>manganeso</t>
        </is>
      </c>
      <c r="C888" s="6" t="inlineStr">
        <is>
          <t>E2 Ferroaleaciones</t>
        </is>
      </c>
      <c r="D888" s="6" t="inlineStr">
        <is>
          <t>M</t>
        </is>
      </c>
      <c r="E888" s="6" t="n">
        <v>30052179</v>
      </c>
    </row>
    <row r="889">
      <c r="A889" s="9" t="n">
        <v>2007</v>
      </c>
      <c r="B889" s="9" t="inlineStr">
        <is>
          <t>manganeso</t>
        </is>
      </c>
      <c r="C889" s="9" t="inlineStr">
        <is>
          <t>E2 Ferroaleaciones</t>
        </is>
      </c>
      <c r="D889" s="9" t="inlineStr">
        <is>
          <t>X</t>
        </is>
      </c>
      <c r="E889" s="9" t="n">
        <v>43187307</v>
      </c>
    </row>
    <row r="890">
      <c r="A890" s="6" t="n">
        <v>2007</v>
      </c>
      <c r="B890" s="6" t="inlineStr">
        <is>
          <t>manganeso</t>
        </is>
      </c>
      <c r="C890" s="6" t="inlineStr">
        <is>
          <t>E3 Quimicos/metal</t>
        </is>
      </c>
      <c r="D890" s="6" t="inlineStr">
        <is>
          <t>M</t>
        </is>
      </c>
      <c r="E890" s="6" t="n">
        <v>8925725</v>
      </c>
    </row>
    <row r="891">
      <c r="A891" s="9" t="n">
        <v>2007</v>
      </c>
      <c r="B891" s="9" t="inlineStr">
        <is>
          <t>manganeso</t>
        </is>
      </c>
      <c r="C891" s="9" t="inlineStr">
        <is>
          <t>E3 Quimicos/metal</t>
        </is>
      </c>
      <c r="D891" s="9" t="inlineStr">
        <is>
          <t>X</t>
        </is>
      </c>
      <c r="E891" s="9" t="n">
        <v>3387359</v>
      </c>
    </row>
    <row r="892">
      <c r="A892" s="6" t="n">
        <v>2007</v>
      </c>
      <c r="B892" s="6" t="inlineStr">
        <is>
          <t>oro</t>
        </is>
      </c>
      <c r="C892" s="6" t="inlineStr">
        <is>
          <t>E1 Mena/concentrado</t>
        </is>
      </c>
      <c r="D892" s="6" t="inlineStr">
        <is>
          <t>M</t>
        </is>
      </c>
      <c r="E892" s="6" t="n">
        <v>87104368</v>
      </c>
    </row>
    <row r="893">
      <c r="A893" s="9" t="n">
        <v>2007</v>
      </c>
      <c r="B893" s="9" t="inlineStr">
        <is>
          <t>oro</t>
        </is>
      </c>
      <c r="C893" s="9" t="inlineStr">
        <is>
          <t>E1 Mena/concentrado</t>
        </is>
      </c>
      <c r="D893" s="9" t="inlineStr">
        <is>
          <t>X</t>
        </is>
      </c>
      <c r="E893" s="9" t="n">
        <v>13935741</v>
      </c>
    </row>
    <row r="894">
      <c r="A894" s="6" t="n">
        <v>2007</v>
      </c>
      <c r="B894" s="6" t="inlineStr">
        <is>
          <t>oro</t>
        </is>
      </c>
      <c r="C894" s="6" t="inlineStr">
        <is>
          <t>E2 Bruto/semilabrado</t>
        </is>
      </c>
      <c r="D894" s="6" t="inlineStr">
        <is>
          <t>M</t>
        </is>
      </c>
      <c r="E894" s="6" t="n">
        <v>376051727</v>
      </c>
    </row>
    <row r="895">
      <c r="A895" s="9" t="n">
        <v>2007</v>
      </c>
      <c r="B895" s="9" t="inlineStr">
        <is>
          <t>oro</t>
        </is>
      </c>
      <c r="C895" s="9" t="inlineStr">
        <is>
          <t>E2 Bruto/semilabrado</t>
        </is>
      </c>
      <c r="D895" s="9" t="inlineStr">
        <is>
          <t>X</t>
        </is>
      </c>
      <c r="E895" s="9" t="n">
        <v>1567465935</v>
      </c>
    </row>
    <row r="896">
      <c r="A896" s="6" t="n">
        <v>2007</v>
      </c>
      <c r="B896" s="6" t="inlineStr">
        <is>
          <t>oro-plata (manufacturas)</t>
        </is>
      </c>
      <c r="C896" s="6" t="inlineStr">
        <is>
          <t>E4 Joyeria/orfebreria</t>
        </is>
      </c>
      <c r="D896" s="6" t="inlineStr">
        <is>
          <t>M</t>
        </is>
      </c>
      <c r="E896" s="6" t="n">
        <v>409623434</v>
      </c>
    </row>
    <row r="897">
      <c r="A897" s="9" t="n">
        <v>2007</v>
      </c>
      <c r="B897" s="9" t="inlineStr">
        <is>
          <t>oro-plata (manufacturas)</t>
        </is>
      </c>
      <c r="C897" s="9" t="inlineStr">
        <is>
          <t>E4 Joyeria/orfebreria</t>
        </is>
      </c>
      <c r="D897" s="9" t="inlineStr">
        <is>
          <t>X</t>
        </is>
      </c>
      <c r="E897" s="9" t="n">
        <v>582007725</v>
      </c>
    </row>
    <row r="898">
      <c r="A898" s="6" t="n">
        <v>2007</v>
      </c>
      <c r="B898" s="6" t="inlineStr">
        <is>
          <t>plata</t>
        </is>
      </c>
      <c r="C898" s="6" t="inlineStr">
        <is>
          <t>E1 Mena/concentrado</t>
        </is>
      </c>
      <c r="D898" s="6" t="inlineStr">
        <is>
          <t>M</t>
        </is>
      </c>
      <c r="E898" s="6" t="n">
        <v>115309153</v>
      </c>
    </row>
    <row r="899">
      <c r="A899" s="9" t="n">
        <v>2007</v>
      </c>
      <c r="B899" s="9" t="inlineStr">
        <is>
          <t>plata</t>
        </is>
      </c>
      <c r="C899" s="9" t="inlineStr">
        <is>
          <t>E1 Mena/concentrado</t>
        </is>
      </c>
      <c r="D899" s="9" t="inlineStr">
        <is>
          <t>X</t>
        </is>
      </c>
      <c r="E899" s="9" t="n">
        <v>2065035</v>
      </c>
    </row>
    <row r="900">
      <c r="A900" s="6" t="n">
        <v>2007</v>
      </c>
      <c r="B900" s="6" t="inlineStr">
        <is>
          <t>plata</t>
        </is>
      </c>
      <c r="C900" s="6" t="inlineStr">
        <is>
          <t>E2 Bruto/semilabrado</t>
        </is>
      </c>
      <c r="D900" s="6" t="inlineStr">
        <is>
          <t>M</t>
        </is>
      </c>
      <c r="E900" s="6" t="n">
        <v>75797393</v>
      </c>
    </row>
    <row r="901">
      <c r="A901" s="9" t="n">
        <v>2007</v>
      </c>
      <c r="B901" s="9" t="inlineStr">
        <is>
          <t>plata</t>
        </is>
      </c>
      <c r="C901" s="9" t="inlineStr">
        <is>
          <t>E2 Bruto/semilabrado</t>
        </is>
      </c>
      <c r="D901" s="9" t="inlineStr">
        <is>
          <t>X</t>
        </is>
      </c>
      <c r="E901" s="9" t="n">
        <v>1418217799</v>
      </c>
    </row>
    <row r="902">
      <c r="A902" s="6" t="n">
        <v>2007</v>
      </c>
      <c r="B902" s="6" t="inlineStr">
        <is>
          <t>plomo</t>
        </is>
      </c>
      <c r="C902" s="6" t="inlineStr">
        <is>
          <t>E1 Mena/concentrado</t>
        </is>
      </c>
      <c r="D902" s="6" t="inlineStr">
        <is>
          <t>M</t>
        </is>
      </c>
      <c r="E902" s="6" t="n">
        <v>126775866</v>
      </c>
    </row>
    <row r="903">
      <c r="A903" s="9" t="n">
        <v>2007</v>
      </c>
      <c r="B903" s="9" t="inlineStr">
        <is>
          <t>plomo</t>
        </is>
      </c>
      <c r="C903" s="9" t="inlineStr">
        <is>
          <t>E1 Mena/concentrado</t>
        </is>
      </c>
      <c r="D903" s="9" t="inlineStr">
        <is>
          <t>X</t>
        </is>
      </c>
      <c r="E903" s="9" t="n">
        <v>43483993</v>
      </c>
    </row>
    <row r="904">
      <c r="A904" s="6" t="n">
        <v>2007</v>
      </c>
      <c r="B904" s="6" t="inlineStr">
        <is>
          <t>plomo</t>
        </is>
      </c>
      <c r="C904" s="6" t="inlineStr">
        <is>
          <t>E2 Metal en bruto/refinado</t>
        </is>
      </c>
      <c r="D904" s="6" t="inlineStr">
        <is>
          <t>M</t>
        </is>
      </c>
      <c r="E904" s="6" t="n">
        <v>85186050</v>
      </c>
    </row>
    <row r="905">
      <c r="A905" s="9" t="n">
        <v>2007</v>
      </c>
      <c r="B905" s="9" t="inlineStr">
        <is>
          <t>plomo</t>
        </is>
      </c>
      <c r="C905" s="9" t="inlineStr">
        <is>
          <t>E2 Metal en bruto/refinado</t>
        </is>
      </c>
      <c r="D905" s="9" t="inlineStr">
        <is>
          <t>X</t>
        </is>
      </c>
      <c r="E905" s="9" t="n">
        <v>94064529</v>
      </c>
    </row>
    <row r="906">
      <c r="A906" s="6" t="n">
        <v>2007</v>
      </c>
      <c r="B906" s="6" t="inlineStr">
        <is>
          <t>plomo</t>
        </is>
      </c>
      <c r="C906" s="6" t="inlineStr">
        <is>
          <t>E3 Semimanufacturas</t>
        </is>
      </c>
      <c r="D906" s="6" t="inlineStr">
        <is>
          <t>M</t>
        </is>
      </c>
      <c r="E906" s="6" t="n">
        <v>4197111</v>
      </c>
    </row>
    <row r="907">
      <c r="A907" s="9" t="n">
        <v>2007</v>
      </c>
      <c r="B907" s="9" t="inlineStr">
        <is>
          <t>plomo</t>
        </is>
      </c>
      <c r="C907" s="9" t="inlineStr">
        <is>
          <t>E3 Semimanufacturas</t>
        </is>
      </c>
      <c r="D907" s="9" t="inlineStr">
        <is>
          <t>X</t>
        </is>
      </c>
      <c r="E907" s="9" t="n">
        <v>2026975</v>
      </c>
    </row>
    <row r="908">
      <c r="A908" s="6" t="n">
        <v>2007</v>
      </c>
      <c r="B908" s="6" t="inlineStr">
        <is>
          <t>plomo</t>
        </is>
      </c>
      <c r="C908" s="6" t="inlineStr">
        <is>
          <t>E4 Manufacturas</t>
        </is>
      </c>
      <c r="D908" s="6" t="inlineStr">
        <is>
          <t>M</t>
        </is>
      </c>
      <c r="E908" s="6" t="n">
        <v>6802028</v>
      </c>
    </row>
    <row r="909">
      <c r="A909" s="9" t="n">
        <v>2007</v>
      </c>
      <c r="B909" s="9" t="inlineStr">
        <is>
          <t>plomo</t>
        </is>
      </c>
      <c r="C909" s="9" t="inlineStr">
        <is>
          <t>E4 Manufacturas</t>
        </is>
      </c>
      <c r="D909" s="9" t="inlineStr">
        <is>
          <t>X</t>
        </is>
      </c>
      <c r="E909" s="9" t="n">
        <v>21308929</v>
      </c>
    </row>
    <row r="910">
      <c r="A910" s="6" t="n">
        <v>2007</v>
      </c>
      <c r="B910" s="6" t="inlineStr">
        <is>
          <t>silice</t>
        </is>
      </c>
      <c r="C910" s="6" t="inlineStr">
        <is>
          <t>E1 Arena silica/cuarzo</t>
        </is>
      </c>
      <c r="D910" s="6" t="inlineStr">
        <is>
          <t>M</t>
        </is>
      </c>
      <c r="E910" s="6" t="n">
        <v>45313437</v>
      </c>
    </row>
    <row r="911">
      <c r="A911" s="9" t="n">
        <v>2007</v>
      </c>
      <c r="B911" s="9" t="inlineStr">
        <is>
          <t>silice</t>
        </is>
      </c>
      <c r="C911" s="9" t="inlineStr">
        <is>
          <t>E1 Arena silica/cuarzo</t>
        </is>
      </c>
      <c r="D911" s="9" t="inlineStr">
        <is>
          <t>X</t>
        </is>
      </c>
      <c r="E911" s="9" t="n">
        <v>1563805</v>
      </c>
    </row>
    <row r="912">
      <c r="A912" s="6" t="n">
        <v>2007</v>
      </c>
      <c r="B912" s="6" t="inlineStr">
        <is>
          <t>silice</t>
        </is>
      </c>
      <c r="C912" s="6" t="inlineStr">
        <is>
          <t>E2 Silicio/ferrosilicio/SiO2</t>
        </is>
      </c>
      <c r="D912" s="6" t="inlineStr">
        <is>
          <t>M</t>
        </is>
      </c>
      <c r="E912" s="6" t="n">
        <v>99583151</v>
      </c>
    </row>
    <row r="913">
      <c r="A913" s="9" t="n">
        <v>2007</v>
      </c>
      <c r="B913" s="9" t="inlineStr">
        <is>
          <t>silice</t>
        </is>
      </c>
      <c r="C913" s="9" t="inlineStr">
        <is>
          <t>E2 Silicio/ferrosilicio/SiO2</t>
        </is>
      </c>
      <c r="D913" s="9" t="inlineStr">
        <is>
          <t>X</t>
        </is>
      </c>
      <c r="E913" s="9" t="n">
        <v>12117116</v>
      </c>
    </row>
    <row r="914">
      <c r="A914" s="6" t="n">
        <v>2007</v>
      </c>
      <c r="B914" s="6" t="inlineStr">
        <is>
          <t>zinc</t>
        </is>
      </c>
      <c r="C914" s="6" t="inlineStr">
        <is>
          <t>E1 Mena/concentrado</t>
        </is>
      </c>
      <c r="D914" s="6" t="inlineStr">
        <is>
          <t>M</t>
        </is>
      </c>
      <c r="E914" s="6" t="n">
        <v>32889</v>
      </c>
    </row>
    <row r="915">
      <c r="A915" s="9" t="n">
        <v>2007</v>
      </c>
      <c r="B915" s="9" t="inlineStr">
        <is>
          <t>zinc</t>
        </is>
      </c>
      <c r="C915" s="9" t="inlineStr">
        <is>
          <t>E1 Mena/concentrado</t>
        </is>
      </c>
      <c r="D915" s="9" t="inlineStr">
        <is>
          <t>X</t>
        </is>
      </c>
      <c r="E915" s="9" t="n">
        <v>236420656</v>
      </c>
    </row>
    <row r="916">
      <c r="A916" s="6" t="n">
        <v>2007</v>
      </c>
      <c r="B916" s="6" t="inlineStr">
        <is>
          <t>zinc</t>
        </is>
      </c>
      <c r="C916" s="6" t="inlineStr">
        <is>
          <t>E2 Metal en bruto/refinado</t>
        </is>
      </c>
      <c r="D916" s="6" t="inlineStr">
        <is>
          <t>M</t>
        </is>
      </c>
      <c r="E916" s="6" t="n">
        <v>18333390</v>
      </c>
    </row>
    <row r="917">
      <c r="A917" s="9" t="n">
        <v>2007</v>
      </c>
      <c r="B917" s="9" t="inlineStr">
        <is>
          <t>zinc</t>
        </is>
      </c>
      <c r="C917" s="9" t="inlineStr">
        <is>
          <t>E2 Metal en bruto/refinado</t>
        </is>
      </c>
      <c r="D917" s="9" t="inlineStr">
        <is>
          <t>X</t>
        </is>
      </c>
      <c r="E917" s="9" t="n">
        <v>737160452</v>
      </c>
    </row>
    <row r="918">
      <c r="A918" s="6" t="n">
        <v>2007</v>
      </c>
      <c r="B918" s="6" t="inlineStr">
        <is>
          <t>zinc</t>
        </is>
      </c>
      <c r="C918" s="6" t="inlineStr">
        <is>
          <t>E3 Semimanufacturas</t>
        </is>
      </c>
      <c r="D918" s="6" t="inlineStr">
        <is>
          <t>M</t>
        </is>
      </c>
      <c r="E918" s="6" t="n">
        <v>38518873</v>
      </c>
    </row>
    <row r="919">
      <c r="A919" s="9" t="n">
        <v>2007</v>
      </c>
      <c r="B919" s="9" t="inlineStr">
        <is>
          <t>zinc</t>
        </is>
      </c>
      <c r="C919" s="9" t="inlineStr">
        <is>
          <t>E3 Semimanufacturas</t>
        </is>
      </c>
      <c r="D919" s="9" t="inlineStr">
        <is>
          <t>X</t>
        </is>
      </c>
      <c r="E919" s="9" t="n">
        <v>2276190</v>
      </c>
    </row>
    <row r="920">
      <c r="A920" s="6" t="n">
        <v>2007</v>
      </c>
      <c r="B920" s="6" t="inlineStr">
        <is>
          <t>zinc</t>
        </is>
      </c>
      <c r="C920" s="6" t="inlineStr">
        <is>
          <t>E4 Manufacturas</t>
        </is>
      </c>
      <c r="D920" s="6" t="inlineStr">
        <is>
          <t>M</t>
        </is>
      </c>
      <c r="E920" s="6" t="n">
        <v>28627395</v>
      </c>
    </row>
    <row r="921">
      <c r="A921" s="9" t="n">
        <v>2007</v>
      </c>
      <c r="B921" s="9" t="inlineStr">
        <is>
          <t>zinc</t>
        </is>
      </c>
      <c r="C921" s="9" t="inlineStr">
        <is>
          <t>E4 Manufacturas</t>
        </is>
      </c>
      <c r="D921" s="9" t="inlineStr">
        <is>
          <t>X</t>
        </is>
      </c>
      <c r="E921" s="9" t="n">
        <v>20374019</v>
      </c>
    </row>
    <row r="922">
      <c r="A922" s="6" t="n">
        <v>2008</v>
      </c>
      <c r="B922" s="6" t="inlineStr">
        <is>
          <t>barita</t>
        </is>
      </c>
      <c r="C922" s="6" t="inlineStr">
        <is>
          <t>E1 Crudo/molido</t>
        </is>
      </c>
      <c r="D922" s="6" t="inlineStr">
        <is>
          <t>M</t>
        </is>
      </c>
      <c r="E922" s="6" t="n">
        <v>5224010</v>
      </c>
    </row>
    <row r="923">
      <c r="A923" s="9" t="n">
        <v>2008</v>
      </c>
      <c r="B923" s="9" t="inlineStr">
        <is>
          <t>barita</t>
        </is>
      </c>
      <c r="C923" s="9" t="inlineStr">
        <is>
          <t>E1 Crudo/molido</t>
        </is>
      </c>
      <c r="D923" s="9" t="inlineStr">
        <is>
          <t>X</t>
        </is>
      </c>
      <c r="E923" s="9" t="n">
        <v>3232802</v>
      </c>
    </row>
    <row r="924">
      <c r="A924" s="6" t="n">
        <v>2008</v>
      </c>
      <c r="B924" s="6" t="inlineStr">
        <is>
          <t>barita</t>
        </is>
      </c>
      <c r="C924" s="6" t="inlineStr">
        <is>
          <t>E2 Quimicos de bario</t>
        </is>
      </c>
      <c r="D924" s="6" t="inlineStr">
        <is>
          <t>M</t>
        </is>
      </c>
      <c r="E924" s="6" t="n">
        <v>1845339</v>
      </c>
    </row>
    <row r="925">
      <c r="A925" s="9" t="n">
        <v>2008</v>
      </c>
      <c r="B925" s="9" t="inlineStr">
        <is>
          <t>barita</t>
        </is>
      </c>
      <c r="C925" s="9" t="inlineStr">
        <is>
          <t>E2 Quimicos de bario</t>
        </is>
      </c>
      <c r="D925" s="9" t="inlineStr">
        <is>
          <t>X</t>
        </is>
      </c>
      <c r="E925" s="9" t="n">
        <v>19991</v>
      </c>
    </row>
    <row r="926">
      <c r="A926" s="6" t="n">
        <v>2008</v>
      </c>
      <c r="B926" s="6" t="inlineStr">
        <is>
          <t>cobre</t>
        </is>
      </c>
      <c r="C926" s="6" t="inlineStr">
        <is>
          <t>E1 Mena/concentrado</t>
        </is>
      </c>
      <c r="D926" s="6" t="inlineStr">
        <is>
          <t>M</t>
        </is>
      </c>
      <c r="E926" s="6" t="n">
        <v>248024092</v>
      </c>
    </row>
    <row r="927">
      <c r="A927" s="9" t="n">
        <v>2008</v>
      </c>
      <c r="B927" s="9" t="inlineStr">
        <is>
          <t>cobre</t>
        </is>
      </c>
      <c r="C927" s="9" t="inlineStr">
        <is>
          <t>E1 Mena/concentrado</t>
        </is>
      </c>
      <c r="D927" s="9" t="inlineStr">
        <is>
          <t>X</t>
        </is>
      </c>
      <c r="E927" s="9" t="n">
        <v>327348222</v>
      </c>
    </row>
    <row r="928">
      <c r="A928" s="6" t="n">
        <v>2008</v>
      </c>
      <c r="B928" s="6" t="inlineStr">
        <is>
          <t>cobre</t>
        </is>
      </c>
      <c r="C928" s="6" t="inlineStr">
        <is>
          <t>E2 Metal en bruto/refinado</t>
        </is>
      </c>
      <c r="D928" s="6" t="inlineStr">
        <is>
          <t>M</t>
        </is>
      </c>
      <c r="E928" s="6" t="n">
        <v>844007888</v>
      </c>
    </row>
    <row r="929">
      <c r="A929" s="9" t="n">
        <v>2008</v>
      </c>
      <c r="B929" s="9" t="inlineStr">
        <is>
          <t>cobre</t>
        </is>
      </c>
      <c r="C929" s="9" t="inlineStr">
        <is>
          <t>E2 Metal en bruto/refinado</t>
        </is>
      </c>
      <c r="D929" s="9" t="inlineStr">
        <is>
          <t>X</t>
        </is>
      </c>
      <c r="E929" s="9" t="n">
        <v>573131718</v>
      </c>
    </row>
    <row r="930">
      <c r="A930" s="6" t="n">
        <v>2008</v>
      </c>
      <c r="B930" s="6" t="inlineStr">
        <is>
          <t>cobre</t>
        </is>
      </c>
      <c r="C930" s="6" t="inlineStr">
        <is>
          <t>E3 Semimanufacturas</t>
        </is>
      </c>
      <c r="D930" s="6" t="inlineStr">
        <is>
          <t>M</t>
        </is>
      </c>
      <c r="E930" s="6" t="n">
        <v>1577243783</v>
      </c>
    </row>
    <row r="931">
      <c r="A931" s="9" t="n">
        <v>2008</v>
      </c>
      <c r="B931" s="9" t="inlineStr">
        <is>
          <t>cobre</t>
        </is>
      </c>
      <c r="C931" s="9" t="inlineStr">
        <is>
          <t>E3 Semimanufacturas</t>
        </is>
      </c>
      <c r="D931" s="9" t="inlineStr">
        <is>
          <t>X</t>
        </is>
      </c>
      <c r="E931" s="9" t="n">
        <v>821019420</v>
      </c>
    </row>
    <row r="932">
      <c r="A932" s="6" t="n">
        <v>2008</v>
      </c>
      <c r="B932" s="6" t="inlineStr">
        <is>
          <t>cobre</t>
        </is>
      </c>
      <c r="C932" s="6" t="inlineStr">
        <is>
          <t>E4 Manufacturas</t>
        </is>
      </c>
      <c r="D932" s="6" t="inlineStr">
        <is>
          <t>M</t>
        </is>
      </c>
      <c r="E932" s="6" t="n">
        <v>338813149</v>
      </c>
    </row>
    <row r="933">
      <c r="A933" s="9" t="n">
        <v>2008</v>
      </c>
      <c r="B933" s="9" t="inlineStr">
        <is>
          <t>cobre</t>
        </is>
      </c>
      <c r="C933" s="9" t="inlineStr">
        <is>
          <t>E4 Manufacturas</t>
        </is>
      </c>
      <c r="D933" s="9" t="inlineStr">
        <is>
          <t>X</t>
        </is>
      </c>
      <c r="E933" s="9" t="n">
        <v>37766933</v>
      </c>
    </row>
    <row r="934">
      <c r="A934" s="6" t="n">
        <v>2008</v>
      </c>
      <c r="B934" s="6" t="inlineStr">
        <is>
          <t>fluorita</t>
        </is>
      </c>
      <c r="C934" s="6" t="inlineStr">
        <is>
          <t>E1 Espato fluor (crudo)</t>
        </is>
      </c>
      <c r="D934" s="6" t="inlineStr">
        <is>
          <t>M</t>
        </is>
      </c>
      <c r="E934" s="6" t="n">
        <v>158439</v>
      </c>
    </row>
    <row r="935">
      <c r="A935" s="9" t="n">
        <v>2008</v>
      </c>
      <c r="B935" s="9" t="inlineStr">
        <is>
          <t>fluorita</t>
        </is>
      </c>
      <c r="C935" s="9" t="inlineStr">
        <is>
          <t>E1 Espato fluor (crudo)</t>
        </is>
      </c>
      <c r="D935" s="9" t="inlineStr">
        <is>
          <t>X</t>
        </is>
      </c>
      <c r="E935" s="9" t="n">
        <v>96728605</v>
      </c>
    </row>
    <row r="936">
      <c r="A936" s="6" t="n">
        <v>2008</v>
      </c>
      <c r="B936" s="6" t="inlineStr">
        <is>
          <t>fluorita</t>
        </is>
      </c>
      <c r="C936" s="6" t="inlineStr">
        <is>
          <t>E2 Fluoroquimica</t>
        </is>
      </c>
      <c r="D936" s="6" t="inlineStr">
        <is>
          <t>M</t>
        </is>
      </c>
      <c r="E936" s="6" t="n">
        <v>20714161</v>
      </c>
    </row>
    <row r="937">
      <c r="A937" s="9" t="n">
        <v>2008</v>
      </c>
      <c r="B937" s="9" t="inlineStr">
        <is>
          <t>fluorita</t>
        </is>
      </c>
      <c r="C937" s="9" t="inlineStr">
        <is>
          <t>E2 Fluoroquimica</t>
        </is>
      </c>
      <c r="D937" s="9" t="inlineStr">
        <is>
          <t>X</t>
        </is>
      </c>
      <c r="E937" s="9" t="n">
        <v>120119534</v>
      </c>
    </row>
    <row r="938">
      <c r="A938" s="6" t="n">
        <v>2008</v>
      </c>
      <c r="B938" s="6" t="inlineStr">
        <is>
          <t>grafito</t>
        </is>
      </c>
      <c r="C938" s="6" t="inlineStr">
        <is>
          <t>E1 Grafito natural</t>
        </is>
      </c>
      <c r="D938" s="6" t="inlineStr">
        <is>
          <t>M</t>
        </is>
      </c>
      <c r="E938" s="6" t="n">
        <v>3970013</v>
      </c>
    </row>
    <row r="939">
      <c r="A939" s="9" t="n">
        <v>2008</v>
      </c>
      <c r="B939" s="9" t="inlineStr">
        <is>
          <t>grafito</t>
        </is>
      </c>
      <c r="C939" s="9" t="inlineStr">
        <is>
          <t>E1 Grafito natural</t>
        </is>
      </c>
      <c r="D939" s="9" t="inlineStr">
        <is>
          <t>X</t>
        </is>
      </c>
      <c r="E939" s="9" t="n">
        <v>3017760</v>
      </c>
    </row>
    <row r="940">
      <c r="A940" s="6" t="n">
        <v>2008</v>
      </c>
      <c r="B940" s="6" t="inlineStr">
        <is>
          <t>grafito</t>
        </is>
      </c>
      <c r="C940" s="6" t="inlineStr">
        <is>
          <t>E2 Grafito artificial/prep.</t>
        </is>
      </c>
      <c r="D940" s="6" t="inlineStr">
        <is>
          <t>M</t>
        </is>
      </c>
      <c r="E940" s="6" t="n">
        <v>18264708</v>
      </c>
    </row>
    <row r="941">
      <c r="A941" s="9" t="n">
        <v>2008</v>
      </c>
      <c r="B941" s="9" t="inlineStr">
        <is>
          <t>grafito</t>
        </is>
      </c>
      <c r="C941" s="9" t="inlineStr">
        <is>
          <t>E2 Grafito artificial/prep.</t>
        </is>
      </c>
      <c r="D941" s="9" t="inlineStr">
        <is>
          <t>X</t>
        </is>
      </c>
      <c r="E941" s="9" t="n">
        <v>14393175</v>
      </c>
    </row>
    <row r="942">
      <c r="A942" s="6" t="n">
        <v>2008</v>
      </c>
      <c r="B942" s="6" t="inlineStr">
        <is>
          <t>grafito</t>
        </is>
      </c>
      <c r="C942" s="6" t="inlineStr">
        <is>
          <t>E3 Electrodos/articulos de carbono</t>
        </is>
      </c>
      <c r="D942" s="6" t="inlineStr">
        <is>
          <t>M</t>
        </is>
      </c>
      <c r="E942" s="6" t="n">
        <v>147452133</v>
      </c>
    </row>
    <row r="943">
      <c r="A943" s="9" t="n">
        <v>2008</v>
      </c>
      <c r="B943" s="9" t="inlineStr">
        <is>
          <t>grafito</t>
        </is>
      </c>
      <c r="C943" s="9" t="inlineStr">
        <is>
          <t>E3 Electrodos/articulos de carbono</t>
        </is>
      </c>
      <c r="D943" s="9" t="inlineStr">
        <is>
          <t>X</t>
        </is>
      </c>
      <c r="E943" s="9" t="n">
        <v>128018129</v>
      </c>
    </row>
    <row r="944">
      <c r="A944" s="6" t="n">
        <v>2008</v>
      </c>
      <c r="B944" s="6" t="inlineStr">
        <is>
          <t>manganeso</t>
        </is>
      </c>
      <c r="C944" s="6" t="inlineStr">
        <is>
          <t>E1 Mena/concentrado</t>
        </is>
      </c>
      <c r="D944" s="6" t="inlineStr">
        <is>
          <t>M</t>
        </is>
      </c>
      <c r="E944" s="6" t="n">
        <v>61829442</v>
      </c>
    </row>
    <row r="945">
      <c r="A945" s="9" t="n">
        <v>2008</v>
      </c>
      <c r="B945" s="9" t="inlineStr">
        <is>
          <t>manganeso</t>
        </is>
      </c>
      <c r="C945" s="9" t="inlineStr">
        <is>
          <t>E1 Mena/concentrado</t>
        </is>
      </c>
      <c r="D945" s="9" t="inlineStr">
        <is>
          <t>X</t>
        </is>
      </c>
      <c r="E945" s="9" t="n">
        <v>9138991</v>
      </c>
    </row>
    <row r="946">
      <c r="A946" s="6" t="n">
        <v>2008</v>
      </c>
      <c r="B946" s="6" t="inlineStr">
        <is>
          <t>manganeso</t>
        </is>
      </c>
      <c r="C946" s="6" t="inlineStr">
        <is>
          <t>E2 Ferroaleaciones</t>
        </is>
      </c>
      <c r="D946" s="6" t="inlineStr">
        <is>
          <t>M</t>
        </is>
      </c>
      <c r="E946" s="6" t="n">
        <v>53640260</v>
      </c>
    </row>
    <row r="947">
      <c r="A947" s="9" t="n">
        <v>2008</v>
      </c>
      <c r="B947" s="9" t="inlineStr">
        <is>
          <t>manganeso</t>
        </is>
      </c>
      <c r="C947" s="9" t="inlineStr">
        <is>
          <t>E2 Ferroaleaciones</t>
        </is>
      </c>
      <c r="D947" s="9" t="inlineStr">
        <is>
          <t>X</t>
        </is>
      </c>
      <c r="E947" s="9" t="n">
        <v>42530266</v>
      </c>
    </row>
    <row r="948">
      <c r="A948" s="6" t="n">
        <v>2008</v>
      </c>
      <c r="B948" s="6" t="inlineStr">
        <is>
          <t>manganeso</t>
        </is>
      </c>
      <c r="C948" s="6" t="inlineStr">
        <is>
          <t>E3 Quimicos/metal</t>
        </is>
      </c>
      <c r="D948" s="6" t="inlineStr">
        <is>
          <t>M</t>
        </is>
      </c>
      <c r="E948" s="6" t="n">
        <v>11335019</v>
      </c>
    </row>
    <row r="949">
      <c r="A949" s="9" t="n">
        <v>2008</v>
      </c>
      <c r="B949" s="9" t="inlineStr">
        <is>
          <t>manganeso</t>
        </is>
      </c>
      <c r="C949" s="9" t="inlineStr">
        <is>
          <t>E3 Quimicos/metal</t>
        </is>
      </c>
      <c r="D949" s="9" t="inlineStr">
        <is>
          <t>X</t>
        </is>
      </c>
      <c r="E949" s="9" t="n">
        <v>4786457</v>
      </c>
    </row>
    <row r="950">
      <c r="A950" s="6" t="n">
        <v>2008</v>
      </c>
      <c r="B950" s="6" t="inlineStr">
        <is>
          <t>oro</t>
        </is>
      </c>
      <c r="C950" s="6" t="inlineStr">
        <is>
          <t>E1 Mena/concentrado</t>
        </is>
      </c>
      <c r="D950" s="6" t="inlineStr">
        <is>
          <t>M</t>
        </is>
      </c>
      <c r="E950" s="6" t="n">
        <v>26977262</v>
      </c>
    </row>
    <row r="951">
      <c r="A951" s="9" t="n">
        <v>2008</v>
      </c>
      <c r="B951" s="9" t="inlineStr">
        <is>
          <t>oro</t>
        </is>
      </c>
      <c r="C951" s="9" t="inlineStr">
        <is>
          <t>E1 Mena/concentrado</t>
        </is>
      </c>
      <c r="D951" s="9" t="inlineStr">
        <is>
          <t>X</t>
        </is>
      </c>
      <c r="E951" s="9" t="n">
        <v>16765160</v>
      </c>
    </row>
    <row r="952">
      <c r="A952" s="6" t="n">
        <v>2008</v>
      </c>
      <c r="B952" s="6" t="inlineStr">
        <is>
          <t>oro</t>
        </is>
      </c>
      <c r="C952" s="6" t="inlineStr">
        <is>
          <t>E2 Bruto/semilabrado</t>
        </is>
      </c>
      <c r="D952" s="6" t="inlineStr">
        <is>
          <t>M</t>
        </is>
      </c>
      <c r="E952" s="6" t="n">
        <v>334658649</v>
      </c>
    </row>
    <row r="953">
      <c r="A953" s="9" t="n">
        <v>2008</v>
      </c>
      <c r="B953" s="9" t="inlineStr">
        <is>
          <t>oro</t>
        </is>
      </c>
      <c r="C953" s="9" t="inlineStr">
        <is>
          <t>E2 Bruto/semilabrado</t>
        </is>
      </c>
      <c r="D953" s="9" t="inlineStr">
        <is>
          <t>X</t>
        </is>
      </c>
      <c r="E953" s="9" t="n">
        <v>2661466570</v>
      </c>
    </row>
    <row r="954">
      <c r="A954" s="6" t="n">
        <v>2008</v>
      </c>
      <c r="B954" s="6" t="inlineStr">
        <is>
          <t>oro-plata (manufacturas)</t>
        </is>
      </c>
      <c r="C954" s="6" t="inlineStr">
        <is>
          <t>E4 Joyeria/orfebreria</t>
        </is>
      </c>
      <c r="D954" s="6" t="inlineStr">
        <is>
          <t>M</t>
        </is>
      </c>
      <c r="E954" s="6" t="n">
        <v>337295910</v>
      </c>
    </row>
    <row r="955">
      <c r="A955" s="9" t="n">
        <v>2008</v>
      </c>
      <c r="B955" s="9" t="inlineStr">
        <is>
          <t>oro-plata (manufacturas)</t>
        </is>
      </c>
      <c r="C955" s="9" t="inlineStr">
        <is>
          <t>E4 Joyeria/orfebreria</t>
        </is>
      </c>
      <c r="D955" s="9" t="inlineStr">
        <is>
          <t>X</t>
        </is>
      </c>
      <c r="E955" s="9" t="n">
        <v>519809584</v>
      </c>
    </row>
    <row r="956">
      <c r="A956" s="6" t="n">
        <v>2008</v>
      </c>
      <c r="B956" s="6" t="inlineStr">
        <is>
          <t>plata</t>
        </is>
      </c>
      <c r="C956" s="6" t="inlineStr">
        <is>
          <t>E1 Mena/concentrado</t>
        </is>
      </c>
      <c r="D956" s="6" t="inlineStr">
        <is>
          <t>M</t>
        </is>
      </c>
      <c r="E956" s="6" t="n">
        <v>73049310</v>
      </c>
    </row>
    <row r="957">
      <c r="A957" s="9" t="n">
        <v>2008</v>
      </c>
      <c r="B957" s="9" t="inlineStr">
        <is>
          <t>plata</t>
        </is>
      </c>
      <c r="C957" s="9" t="inlineStr">
        <is>
          <t>E1 Mena/concentrado</t>
        </is>
      </c>
      <c r="D957" s="9" t="inlineStr">
        <is>
          <t>X</t>
        </is>
      </c>
      <c r="E957" s="9" t="n">
        <v>16080340</v>
      </c>
    </row>
    <row r="958">
      <c r="A958" s="6" t="n">
        <v>2008</v>
      </c>
      <c r="B958" s="6" t="inlineStr">
        <is>
          <t>plata</t>
        </is>
      </c>
      <c r="C958" s="6" t="inlineStr">
        <is>
          <t>E2 Bruto/semilabrado</t>
        </is>
      </c>
      <c r="D958" s="6" t="inlineStr">
        <is>
          <t>M</t>
        </is>
      </c>
      <c r="E958" s="6" t="n">
        <v>92170480</v>
      </c>
    </row>
    <row r="959">
      <c r="A959" s="9" t="n">
        <v>2008</v>
      </c>
      <c r="B959" s="9" t="inlineStr">
        <is>
          <t>plata</t>
        </is>
      </c>
      <c r="C959" s="9" t="inlineStr">
        <is>
          <t>E2 Bruto/semilabrado</t>
        </is>
      </c>
      <c r="D959" s="9" t="inlineStr">
        <is>
          <t>X</t>
        </is>
      </c>
      <c r="E959" s="9" t="n">
        <v>1737248383</v>
      </c>
    </row>
    <row r="960">
      <c r="A960" s="6" t="n">
        <v>2008</v>
      </c>
      <c r="B960" s="6" t="inlineStr">
        <is>
          <t>plomo</t>
        </is>
      </c>
      <c r="C960" s="6" t="inlineStr">
        <is>
          <t>E1 Mena/concentrado</t>
        </is>
      </c>
      <c r="D960" s="6" t="inlineStr">
        <is>
          <t>M</t>
        </is>
      </c>
      <c r="E960" s="6" t="n">
        <v>113584590</v>
      </c>
    </row>
    <row r="961">
      <c r="A961" s="9" t="n">
        <v>2008</v>
      </c>
      <c r="B961" s="9" t="inlineStr">
        <is>
          <t>plomo</t>
        </is>
      </c>
      <c r="C961" s="9" t="inlineStr">
        <is>
          <t>E1 Mena/concentrado</t>
        </is>
      </c>
      <c r="D961" s="9" t="inlineStr">
        <is>
          <t>X</t>
        </is>
      </c>
      <c r="E961" s="9" t="n">
        <v>62018437</v>
      </c>
    </row>
    <row r="962">
      <c r="A962" s="6" t="n">
        <v>2008</v>
      </c>
      <c r="B962" s="6" t="inlineStr">
        <is>
          <t>plomo</t>
        </is>
      </c>
      <c r="C962" s="6" t="inlineStr">
        <is>
          <t>E2 Metal en bruto/refinado</t>
        </is>
      </c>
      <c r="D962" s="6" t="inlineStr">
        <is>
          <t>M</t>
        </is>
      </c>
      <c r="E962" s="6" t="n">
        <v>109263074</v>
      </c>
    </row>
    <row r="963">
      <c r="A963" s="9" t="n">
        <v>2008</v>
      </c>
      <c r="B963" s="9" t="inlineStr">
        <is>
          <t>plomo</t>
        </is>
      </c>
      <c r="C963" s="9" t="inlineStr">
        <is>
          <t>E2 Metal en bruto/refinado</t>
        </is>
      </c>
      <c r="D963" s="9" t="inlineStr">
        <is>
          <t>X</t>
        </is>
      </c>
      <c r="E963" s="9" t="n">
        <v>158658901</v>
      </c>
    </row>
    <row r="964">
      <c r="A964" s="6" t="n">
        <v>2008</v>
      </c>
      <c r="B964" s="6" t="inlineStr">
        <is>
          <t>plomo</t>
        </is>
      </c>
      <c r="C964" s="6" t="inlineStr">
        <is>
          <t>E3 Semimanufacturas</t>
        </is>
      </c>
      <c r="D964" s="6" t="inlineStr">
        <is>
          <t>M</t>
        </is>
      </c>
      <c r="E964" s="6" t="n">
        <v>3684024</v>
      </c>
    </row>
    <row r="965">
      <c r="A965" s="9" t="n">
        <v>2008</v>
      </c>
      <c r="B965" s="9" t="inlineStr">
        <is>
          <t>plomo</t>
        </is>
      </c>
      <c r="C965" s="9" t="inlineStr">
        <is>
          <t>E3 Semimanufacturas</t>
        </is>
      </c>
      <c r="D965" s="9" t="inlineStr">
        <is>
          <t>X</t>
        </is>
      </c>
      <c r="E965" s="9" t="n">
        <v>233489</v>
      </c>
    </row>
    <row r="966">
      <c r="A966" s="6" t="n">
        <v>2008</v>
      </c>
      <c r="B966" s="6" t="inlineStr">
        <is>
          <t>plomo</t>
        </is>
      </c>
      <c r="C966" s="6" t="inlineStr">
        <is>
          <t>E4 Manufacturas</t>
        </is>
      </c>
      <c r="D966" s="6" t="inlineStr">
        <is>
          <t>M</t>
        </is>
      </c>
      <c r="E966" s="6" t="n">
        <v>11405335</v>
      </c>
    </row>
    <row r="967">
      <c r="A967" s="9" t="n">
        <v>2008</v>
      </c>
      <c r="B967" s="9" t="inlineStr">
        <is>
          <t>plomo</t>
        </is>
      </c>
      <c r="C967" s="9" t="inlineStr">
        <is>
          <t>E4 Manufacturas</t>
        </is>
      </c>
      <c r="D967" s="9" t="inlineStr">
        <is>
          <t>X</t>
        </is>
      </c>
      <c r="E967" s="9" t="n">
        <v>32200411</v>
      </c>
    </row>
    <row r="968">
      <c r="A968" s="6" t="n">
        <v>2008</v>
      </c>
      <c r="B968" s="6" t="inlineStr">
        <is>
          <t>silice</t>
        </is>
      </c>
      <c r="C968" s="6" t="inlineStr">
        <is>
          <t>E1 Arena silica/cuarzo</t>
        </is>
      </c>
      <c r="D968" s="6" t="inlineStr">
        <is>
          <t>M</t>
        </is>
      </c>
      <c r="E968" s="6" t="n">
        <v>49929656</v>
      </c>
    </row>
    <row r="969">
      <c r="A969" s="9" t="n">
        <v>2008</v>
      </c>
      <c r="B969" s="9" t="inlineStr">
        <is>
          <t>silice</t>
        </is>
      </c>
      <c r="C969" s="9" t="inlineStr">
        <is>
          <t>E1 Arena silica/cuarzo</t>
        </is>
      </c>
      <c r="D969" s="9" t="inlineStr">
        <is>
          <t>X</t>
        </is>
      </c>
      <c r="E969" s="9" t="n">
        <v>1272115</v>
      </c>
    </row>
    <row r="970">
      <c r="A970" s="6" t="n">
        <v>2008</v>
      </c>
      <c r="B970" s="6" t="inlineStr">
        <is>
          <t>silice</t>
        </is>
      </c>
      <c r="C970" s="6" t="inlineStr">
        <is>
          <t>E2 Silicio/ferrosilicio/SiO2</t>
        </is>
      </c>
      <c r="D970" s="6" t="inlineStr">
        <is>
          <t>M</t>
        </is>
      </c>
      <c r="E970" s="6" t="n">
        <v>120308799</v>
      </c>
    </row>
    <row r="971">
      <c r="A971" s="9" t="n">
        <v>2008</v>
      </c>
      <c r="B971" s="9" t="inlineStr">
        <is>
          <t>silice</t>
        </is>
      </c>
      <c r="C971" s="9" t="inlineStr">
        <is>
          <t>E2 Silicio/ferrosilicio/SiO2</t>
        </is>
      </c>
      <c r="D971" s="9" t="inlineStr">
        <is>
          <t>X</t>
        </is>
      </c>
      <c r="E971" s="9" t="n">
        <v>14899987</v>
      </c>
    </row>
    <row r="972">
      <c r="A972" s="6" t="n">
        <v>2008</v>
      </c>
      <c r="B972" s="6" t="inlineStr">
        <is>
          <t>zinc</t>
        </is>
      </c>
      <c r="C972" s="6" t="inlineStr">
        <is>
          <t>E1 Mena/concentrado</t>
        </is>
      </c>
      <c r="D972" s="6" t="inlineStr">
        <is>
          <t>M</t>
        </is>
      </c>
      <c r="E972" s="6" t="n">
        <v>613343</v>
      </c>
    </row>
    <row r="973">
      <c r="A973" s="9" t="n">
        <v>2008</v>
      </c>
      <c r="B973" s="9" t="inlineStr">
        <is>
          <t>zinc</t>
        </is>
      </c>
      <c r="C973" s="9" t="inlineStr">
        <is>
          <t>E1 Mena/concentrado</t>
        </is>
      </c>
      <c r="D973" s="9" t="inlineStr">
        <is>
          <t>X</t>
        </is>
      </c>
      <c r="E973" s="9" t="n">
        <v>105236361</v>
      </c>
    </row>
    <row r="974">
      <c r="A974" s="6" t="n">
        <v>2008</v>
      </c>
      <c r="B974" s="6" t="inlineStr">
        <is>
          <t>zinc</t>
        </is>
      </c>
      <c r="C974" s="6" t="inlineStr">
        <is>
          <t>E2 Metal en bruto/refinado</t>
        </is>
      </c>
      <c r="D974" s="6" t="inlineStr">
        <is>
          <t>M</t>
        </is>
      </c>
      <c r="E974" s="6" t="n">
        <v>33181528</v>
      </c>
    </row>
    <row r="975">
      <c r="A975" s="9" t="n">
        <v>2008</v>
      </c>
      <c r="B975" s="9" t="inlineStr">
        <is>
          <t>zinc</t>
        </is>
      </c>
      <c r="C975" s="9" t="inlineStr">
        <is>
          <t>E2 Metal en bruto/refinado</t>
        </is>
      </c>
      <c r="D975" s="9" t="inlineStr">
        <is>
          <t>X</t>
        </is>
      </c>
      <c r="E975" s="9" t="n">
        <v>421855000</v>
      </c>
    </row>
    <row r="976">
      <c r="A976" s="6" t="n">
        <v>2008</v>
      </c>
      <c r="B976" s="6" t="inlineStr">
        <is>
          <t>zinc</t>
        </is>
      </c>
      <c r="C976" s="6" t="inlineStr">
        <is>
          <t>E3 Semimanufacturas</t>
        </is>
      </c>
      <c r="D976" s="6" t="inlineStr">
        <is>
          <t>M</t>
        </is>
      </c>
      <c r="E976" s="6" t="n">
        <v>31036597</v>
      </c>
    </row>
    <row r="977">
      <c r="A977" s="9" t="n">
        <v>2008</v>
      </c>
      <c r="B977" s="9" t="inlineStr">
        <is>
          <t>zinc</t>
        </is>
      </c>
      <c r="C977" s="9" t="inlineStr">
        <is>
          <t>E3 Semimanufacturas</t>
        </is>
      </c>
      <c r="D977" s="9" t="inlineStr">
        <is>
          <t>X</t>
        </is>
      </c>
      <c r="E977" s="9" t="n">
        <v>1995417</v>
      </c>
    </row>
    <row r="978">
      <c r="A978" s="6" t="n">
        <v>2008</v>
      </c>
      <c r="B978" s="6" t="inlineStr">
        <is>
          <t>zinc</t>
        </is>
      </c>
      <c r="C978" s="6" t="inlineStr">
        <is>
          <t>E4 Manufacturas</t>
        </is>
      </c>
      <c r="D978" s="6" t="inlineStr">
        <is>
          <t>M</t>
        </is>
      </c>
      <c r="E978" s="6" t="n">
        <v>37911499</v>
      </c>
    </row>
    <row r="979">
      <c r="A979" s="9" t="n">
        <v>2008</v>
      </c>
      <c r="B979" s="9" t="inlineStr">
        <is>
          <t>zinc</t>
        </is>
      </c>
      <c r="C979" s="9" t="inlineStr">
        <is>
          <t>E4 Manufacturas</t>
        </is>
      </c>
      <c r="D979" s="9" t="inlineStr">
        <is>
          <t>X</t>
        </is>
      </c>
      <c r="E979" s="9" t="n">
        <v>21246402</v>
      </c>
    </row>
    <row r="980">
      <c r="A980" s="6" t="n">
        <v>2009</v>
      </c>
      <c r="B980" s="6" t="inlineStr">
        <is>
          <t>barita</t>
        </is>
      </c>
      <c r="C980" s="6" t="inlineStr">
        <is>
          <t>E1 Crudo/molido</t>
        </is>
      </c>
      <c r="D980" s="6" t="inlineStr">
        <is>
          <t>M</t>
        </is>
      </c>
      <c r="E980" s="6" t="n">
        <v>17308641</v>
      </c>
    </row>
    <row r="981">
      <c r="A981" s="9" t="n">
        <v>2009</v>
      </c>
      <c r="B981" s="9" t="inlineStr">
        <is>
          <t>barita</t>
        </is>
      </c>
      <c r="C981" s="9" t="inlineStr">
        <is>
          <t>E1 Crudo/molido</t>
        </is>
      </c>
      <c r="D981" s="9" t="inlineStr">
        <is>
          <t>X</t>
        </is>
      </c>
      <c r="E981" s="9" t="n">
        <v>1255779</v>
      </c>
    </row>
    <row r="982">
      <c r="A982" s="6" t="n">
        <v>2009</v>
      </c>
      <c r="B982" s="6" t="inlineStr">
        <is>
          <t>barita</t>
        </is>
      </c>
      <c r="C982" s="6" t="inlineStr">
        <is>
          <t>E2 Quimicos de bario</t>
        </is>
      </c>
      <c r="D982" s="6" t="inlineStr">
        <is>
          <t>M</t>
        </is>
      </c>
      <c r="E982" s="6" t="n">
        <v>1577343</v>
      </c>
    </row>
    <row r="983">
      <c r="A983" s="9" t="n">
        <v>2009</v>
      </c>
      <c r="B983" s="9" t="inlineStr">
        <is>
          <t>barita</t>
        </is>
      </c>
      <c r="C983" s="9" t="inlineStr">
        <is>
          <t>E2 Quimicos de bario</t>
        </is>
      </c>
      <c r="D983" s="9" t="inlineStr">
        <is>
          <t>X</t>
        </is>
      </c>
      <c r="E983" s="9" t="n">
        <v>7664</v>
      </c>
    </row>
    <row r="984">
      <c r="A984" s="6" t="n">
        <v>2009</v>
      </c>
      <c r="B984" s="6" t="inlineStr">
        <is>
          <t>cobre</t>
        </is>
      </c>
      <c r="C984" s="6" t="inlineStr">
        <is>
          <t>E1 Mena/concentrado</t>
        </is>
      </c>
      <c r="D984" s="6" t="inlineStr">
        <is>
          <t>M</t>
        </is>
      </c>
      <c r="E984" s="6" t="n">
        <v>12805982</v>
      </c>
    </row>
    <row r="985">
      <c r="A985" s="9" t="n">
        <v>2009</v>
      </c>
      <c r="B985" s="9" t="inlineStr">
        <is>
          <t>cobre</t>
        </is>
      </c>
      <c r="C985" s="9" t="inlineStr">
        <is>
          <t>E1 Mena/concentrado</t>
        </is>
      </c>
      <c r="D985" s="9" t="inlineStr">
        <is>
          <t>X</t>
        </is>
      </c>
      <c r="E985" s="9" t="n">
        <v>288865844</v>
      </c>
    </row>
    <row r="986">
      <c r="A986" s="6" t="n">
        <v>2009</v>
      </c>
      <c r="B986" s="6" t="inlineStr">
        <is>
          <t>cobre</t>
        </is>
      </c>
      <c r="C986" s="6" t="inlineStr">
        <is>
          <t>E2 Metal en bruto/refinado</t>
        </is>
      </c>
      <c r="D986" s="6" t="inlineStr">
        <is>
          <t>M</t>
        </is>
      </c>
      <c r="E986" s="6" t="n">
        <v>489428470</v>
      </c>
    </row>
    <row r="987">
      <c r="A987" s="9" t="n">
        <v>2009</v>
      </c>
      <c r="B987" s="9" t="inlineStr">
        <is>
          <t>cobre</t>
        </is>
      </c>
      <c r="C987" s="9" t="inlineStr">
        <is>
          <t>E2 Metal en bruto/refinado</t>
        </is>
      </c>
      <c r="D987" s="9" t="inlineStr">
        <is>
          <t>X</t>
        </is>
      </c>
      <c r="E987" s="9" t="n">
        <v>446382053</v>
      </c>
    </row>
    <row r="988">
      <c r="A988" s="6" t="n">
        <v>2009</v>
      </c>
      <c r="B988" s="6" t="inlineStr">
        <is>
          <t>cobre</t>
        </is>
      </c>
      <c r="C988" s="6" t="inlineStr">
        <is>
          <t>E3 Semimanufacturas</t>
        </is>
      </c>
      <c r="D988" s="6" t="inlineStr">
        <is>
          <t>M</t>
        </is>
      </c>
      <c r="E988" s="6" t="n">
        <v>994580561</v>
      </c>
    </row>
    <row r="989">
      <c r="A989" s="9" t="n">
        <v>2009</v>
      </c>
      <c r="B989" s="9" t="inlineStr">
        <is>
          <t>cobre</t>
        </is>
      </c>
      <c r="C989" s="9" t="inlineStr">
        <is>
          <t>E3 Semimanufacturas</t>
        </is>
      </c>
      <c r="D989" s="9" t="inlineStr">
        <is>
          <t>X</t>
        </is>
      </c>
      <c r="E989" s="9" t="n">
        <v>450229868</v>
      </c>
    </row>
    <row r="990">
      <c r="A990" s="6" t="n">
        <v>2009</v>
      </c>
      <c r="B990" s="6" t="inlineStr">
        <is>
          <t>cobre</t>
        </is>
      </c>
      <c r="C990" s="6" t="inlineStr">
        <is>
          <t>E4 Manufacturas</t>
        </is>
      </c>
      <c r="D990" s="6" t="inlineStr">
        <is>
          <t>M</t>
        </is>
      </c>
      <c r="E990" s="6" t="n">
        <v>231995679</v>
      </c>
    </row>
    <row r="991">
      <c r="A991" s="9" t="n">
        <v>2009</v>
      </c>
      <c r="B991" s="9" t="inlineStr">
        <is>
          <t>cobre</t>
        </is>
      </c>
      <c r="C991" s="9" t="inlineStr">
        <is>
          <t>E4 Manufacturas</t>
        </is>
      </c>
      <c r="D991" s="9" t="inlineStr">
        <is>
          <t>X</t>
        </is>
      </c>
      <c r="E991" s="9" t="n">
        <v>38585663</v>
      </c>
    </row>
    <row r="992">
      <c r="A992" s="6" t="n">
        <v>2009</v>
      </c>
      <c r="B992" s="6" t="inlineStr">
        <is>
          <t>fluorita</t>
        </is>
      </c>
      <c r="C992" s="6" t="inlineStr">
        <is>
          <t>E1 Espato fluor (crudo)</t>
        </is>
      </c>
      <c r="D992" s="6" t="inlineStr">
        <is>
          <t>M</t>
        </is>
      </c>
      <c r="E992" s="6" t="n">
        <v>481978</v>
      </c>
    </row>
    <row r="993">
      <c r="A993" s="9" t="n">
        <v>2009</v>
      </c>
      <c r="B993" s="9" t="inlineStr">
        <is>
          <t>fluorita</t>
        </is>
      </c>
      <c r="C993" s="9" t="inlineStr">
        <is>
          <t>E1 Espato fluor (crudo)</t>
        </is>
      </c>
      <c r="D993" s="9" t="inlineStr">
        <is>
          <t>X</t>
        </is>
      </c>
      <c r="E993" s="9" t="n">
        <v>91735772</v>
      </c>
    </row>
    <row r="994">
      <c r="A994" s="6" t="n">
        <v>2009</v>
      </c>
      <c r="B994" s="6" t="inlineStr">
        <is>
          <t>fluorita</t>
        </is>
      </c>
      <c r="C994" s="6" t="inlineStr">
        <is>
          <t>E2 Fluoroquimica</t>
        </is>
      </c>
      <c r="D994" s="6" t="inlineStr">
        <is>
          <t>M</t>
        </is>
      </c>
      <c r="E994" s="6" t="n">
        <v>21957722</v>
      </c>
    </row>
    <row r="995">
      <c r="A995" s="9" t="n">
        <v>2009</v>
      </c>
      <c r="B995" s="9" t="inlineStr">
        <is>
          <t>fluorita</t>
        </is>
      </c>
      <c r="C995" s="9" t="inlineStr">
        <is>
          <t>E2 Fluoroquimica</t>
        </is>
      </c>
      <c r="D995" s="9" t="inlineStr">
        <is>
          <t>X</t>
        </is>
      </c>
      <c r="E995" s="9" t="n">
        <v>121358487</v>
      </c>
    </row>
    <row r="996">
      <c r="A996" s="6" t="n">
        <v>2009</v>
      </c>
      <c r="B996" s="6" t="inlineStr">
        <is>
          <t>grafito</t>
        </is>
      </c>
      <c r="C996" s="6" t="inlineStr">
        <is>
          <t>E1 Grafito natural</t>
        </is>
      </c>
      <c r="D996" s="6" t="inlineStr">
        <is>
          <t>M</t>
        </is>
      </c>
      <c r="E996" s="6" t="n">
        <v>3704391</v>
      </c>
    </row>
    <row r="997">
      <c r="A997" s="9" t="n">
        <v>2009</v>
      </c>
      <c r="B997" s="9" t="inlineStr">
        <is>
          <t>grafito</t>
        </is>
      </c>
      <c r="C997" s="9" t="inlineStr">
        <is>
          <t>E1 Grafito natural</t>
        </is>
      </c>
      <c r="D997" s="9" t="inlineStr">
        <is>
          <t>X</t>
        </is>
      </c>
      <c r="E997" s="9" t="n">
        <v>2441001</v>
      </c>
    </row>
    <row r="998">
      <c r="A998" s="6" t="n">
        <v>2009</v>
      </c>
      <c r="B998" s="6" t="inlineStr">
        <is>
          <t>grafito</t>
        </is>
      </c>
      <c r="C998" s="6" t="inlineStr">
        <is>
          <t>E2 Grafito artificial/prep.</t>
        </is>
      </c>
      <c r="D998" s="6" t="inlineStr">
        <is>
          <t>M</t>
        </is>
      </c>
      <c r="E998" s="6" t="n">
        <v>13503442</v>
      </c>
    </row>
    <row r="999">
      <c r="A999" s="9" t="n">
        <v>2009</v>
      </c>
      <c r="B999" s="9" t="inlineStr">
        <is>
          <t>grafito</t>
        </is>
      </c>
      <c r="C999" s="9" t="inlineStr">
        <is>
          <t>E2 Grafito artificial/prep.</t>
        </is>
      </c>
      <c r="D999" s="9" t="inlineStr">
        <is>
          <t>X</t>
        </is>
      </c>
      <c r="E999" s="9" t="n">
        <v>3789945</v>
      </c>
    </row>
    <row r="1000">
      <c r="A1000" s="6" t="n">
        <v>2009</v>
      </c>
      <c r="B1000" s="6" t="inlineStr">
        <is>
          <t>grafito</t>
        </is>
      </c>
      <c r="C1000" s="6" t="inlineStr">
        <is>
          <t>E3 Electrodos/articulos de carbono</t>
        </is>
      </c>
      <c r="D1000" s="6" t="inlineStr">
        <is>
          <t>M</t>
        </is>
      </c>
      <c r="E1000" s="6" t="n">
        <v>90697264</v>
      </c>
    </row>
    <row r="1001">
      <c r="A1001" s="9" t="n">
        <v>2009</v>
      </c>
      <c r="B1001" s="9" t="inlineStr">
        <is>
          <t>grafito</t>
        </is>
      </c>
      <c r="C1001" s="9" t="inlineStr">
        <is>
          <t>E3 Electrodos/articulos de carbono</t>
        </is>
      </c>
      <c r="D1001" s="9" t="inlineStr">
        <is>
          <t>X</t>
        </is>
      </c>
      <c r="E1001" s="9" t="n">
        <v>55119611</v>
      </c>
    </row>
    <row r="1002">
      <c r="A1002" s="6" t="n">
        <v>2009</v>
      </c>
      <c r="B1002" s="6" t="inlineStr">
        <is>
          <t>manganeso</t>
        </is>
      </c>
      <c r="C1002" s="6" t="inlineStr">
        <is>
          <t>E1 Mena/concentrado</t>
        </is>
      </c>
      <c r="D1002" s="6" t="inlineStr">
        <is>
          <t>M</t>
        </is>
      </c>
      <c r="E1002" s="6" t="n">
        <v>24539355</v>
      </c>
    </row>
    <row r="1003">
      <c r="A1003" s="9" t="n">
        <v>2009</v>
      </c>
      <c r="B1003" s="9" t="inlineStr">
        <is>
          <t>manganeso</t>
        </is>
      </c>
      <c r="C1003" s="9" t="inlineStr">
        <is>
          <t>E1 Mena/concentrado</t>
        </is>
      </c>
      <c r="D1003" s="9" t="inlineStr">
        <is>
          <t>X</t>
        </is>
      </c>
      <c r="E1003" s="9" t="n">
        <v>8789243</v>
      </c>
    </row>
    <row r="1004">
      <c r="A1004" s="6" t="n">
        <v>2009</v>
      </c>
      <c r="B1004" s="6" t="inlineStr">
        <is>
          <t>manganeso</t>
        </is>
      </c>
      <c r="C1004" s="6" t="inlineStr">
        <is>
          <t>E2 Ferroaleaciones</t>
        </is>
      </c>
      <c r="D1004" s="6" t="inlineStr">
        <is>
          <t>M</t>
        </is>
      </c>
      <c r="E1004" s="6" t="n">
        <v>32587999</v>
      </c>
    </row>
    <row r="1005">
      <c r="A1005" s="9" t="n">
        <v>2009</v>
      </c>
      <c r="B1005" s="9" t="inlineStr">
        <is>
          <t>manganeso</t>
        </is>
      </c>
      <c r="C1005" s="9" t="inlineStr">
        <is>
          <t>E2 Ferroaleaciones</t>
        </is>
      </c>
      <c r="D1005" s="9" t="inlineStr">
        <is>
          <t>X</t>
        </is>
      </c>
      <c r="E1005" s="9" t="n">
        <v>38866109</v>
      </c>
    </row>
    <row r="1006">
      <c r="A1006" s="6" t="n">
        <v>2009</v>
      </c>
      <c r="B1006" s="6" t="inlineStr">
        <is>
          <t>manganeso</t>
        </is>
      </c>
      <c r="C1006" s="6" t="inlineStr">
        <is>
          <t>E3 Quimicos/metal</t>
        </is>
      </c>
      <c r="D1006" s="6" t="inlineStr">
        <is>
          <t>M</t>
        </is>
      </c>
      <c r="E1006" s="6" t="n">
        <v>3355021</v>
      </c>
    </row>
    <row r="1007">
      <c r="A1007" s="9" t="n">
        <v>2009</v>
      </c>
      <c r="B1007" s="9" t="inlineStr">
        <is>
          <t>manganeso</t>
        </is>
      </c>
      <c r="C1007" s="9" t="inlineStr">
        <is>
          <t>E3 Quimicos/metal</t>
        </is>
      </c>
      <c r="D1007" s="9" t="inlineStr">
        <is>
          <t>X</t>
        </is>
      </c>
      <c r="E1007" s="9" t="n">
        <v>2220328</v>
      </c>
    </row>
    <row r="1008">
      <c r="A1008" s="6" t="n">
        <v>2009</v>
      </c>
      <c r="B1008" s="6" t="inlineStr">
        <is>
          <t>oro</t>
        </is>
      </c>
      <c r="C1008" s="6" t="inlineStr">
        <is>
          <t>E1 Mena/concentrado</t>
        </is>
      </c>
      <c r="D1008" s="6" t="inlineStr">
        <is>
          <t>M</t>
        </is>
      </c>
      <c r="E1008" s="6" t="n">
        <v>56055900</v>
      </c>
    </row>
    <row r="1009">
      <c r="A1009" s="9" t="n">
        <v>2009</v>
      </c>
      <c r="B1009" s="9" t="inlineStr">
        <is>
          <t>oro</t>
        </is>
      </c>
      <c r="C1009" s="9" t="inlineStr">
        <is>
          <t>E1 Mena/concentrado</t>
        </is>
      </c>
      <c r="D1009" s="9" t="inlineStr">
        <is>
          <t>X</t>
        </is>
      </c>
      <c r="E1009" s="9" t="n">
        <v>50219852</v>
      </c>
    </row>
    <row r="1010">
      <c r="A1010" s="6" t="n">
        <v>2009</v>
      </c>
      <c r="B1010" s="6" t="inlineStr">
        <is>
          <t>oro</t>
        </is>
      </c>
      <c r="C1010" s="6" t="inlineStr">
        <is>
          <t>E2 Bruto/semilabrado</t>
        </is>
      </c>
      <c r="D1010" s="6" t="inlineStr">
        <is>
          <t>M</t>
        </is>
      </c>
      <c r="E1010" s="6" t="n">
        <v>152421151</v>
      </c>
    </row>
    <row r="1011">
      <c r="A1011" s="9" t="n">
        <v>2009</v>
      </c>
      <c r="B1011" s="9" t="inlineStr">
        <is>
          <t>oro</t>
        </is>
      </c>
      <c r="C1011" s="9" t="inlineStr">
        <is>
          <t>E2 Bruto/semilabrado</t>
        </is>
      </c>
      <c r="D1011" s="9" t="inlineStr">
        <is>
          <t>X</t>
        </is>
      </c>
      <c r="E1011" s="9" t="n">
        <v>4003673710</v>
      </c>
    </row>
    <row r="1012">
      <c r="A1012" s="6" t="n">
        <v>2009</v>
      </c>
      <c r="B1012" s="6" t="inlineStr">
        <is>
          <t>oro-plata (manufacturas)</t>
        </is>
      </c>
      <c r="C1012" s="6" t="inlineStr">
        <is>
          <t>E4 Joyeria/orfebreria</t>
        </is>
      </c>
      <c r="D1012" s="6" t="inlineStr">
        <is>
          <t>M</t>
        </is>
      </c>
      <c r="E1012" s="6" t="n">
        <v>435881867</v>
      </c>
    </row>
    <row r="1013">
      <c r="A1013" s="9" t="n">
        <v>2009</v>
      </c>
      <c r="B1013" s="9" t="inlineStr">
        <is>
          <t>oro-plata (manufacturas)</t>
        </is>
      </c>
      <c r="C1013" s="9" t="inlineStr">
        <is>
          <t>E4 Joyeria/orfebreria</t>
        </is>
      </c>
      <c r="D1013" s="9" t="inlineStr">
        <is>
          <t>X</t>
        </is>
      </c>
      <c r="E1013" s="9" t="n">
        <v>519393726</v>
      </c>
    </row>
    <row r="1014">
      <c r="A1014" s="6" t="n">
        <v>2009</v>
      </c>
      <c r="B1014" s="6" t="inlineStr">
        <is>
          <t>plata</t>
        </is>
      </c>
      <c r="C1014" s="6" t="inlineStr">
        <is>
          <t>E1 Mena/concentrado</t>
        </is>
      </c>
      <c r="D1014" s="6" t="inlineStr">
        <is>
          <t>M</t>
        </is>
      </c>
      <c r="E1014" s="6" t="n">
        <v>35916135</v>
      </c>
    </row>
    <row r="1015">
      <c r="A1015" s="9" t="n">
        <v>2009</v>
      </c>
      <c r="B1015" s="9" t="inlineStr">
        <is>
          <t>plata</t>
        </is>
      </c>
      <c r="C1015" s="9" t="inlineStr">
        <is>
          <t>E1 Mena/concentrado</t>
        </is>
      </c>
      <c r="D1015" s="9" t="inlineStr">
        <is>
          <t>X</t>
        </is>
      </c>
      <c r="E1015" s="9" t="n">
        <v>30246554</v>
      </c>
    </row>
    <row r="1016">
      <c r="A1016" s="6" t="n">
        <v>2009</v>
      </c>
      <c r="B1016" s="6" t="inlineStr">
        <is>
          <t>plata</t>
        </is>
      </c>
      <c r="C1016" s="6" t="inlineStr">
        <is>
          <t>E2 Bruto/semilabrado</t>
        </is>
      </c>
      <c r="D1016" s="6" t="inlineStr">
        <is>
          <t>M</t>
        </is>
      </c>
      <c r="E1016" s="6" t="n">
        <v>48501301</v>
      </c>
    </row>
    <row r="1017">
      <c r="A1017" s="9" t="n">
        <v>2009</v>
      </c>
      <c r="B1017" s="9" t="inlineStr">
        <is>
          <t>plata</t>
        </is>
      </c>
      <c r="C1017" s="9" t="inlineStr">
        <is>
          <t>E2 Bruto/semilabrado</t>
        </is>
      </c>
      <c r="D1017" s="9" t="inlineStr">
        <is>
          <t>X</t>
        </is>
      </c>
      <c r="E1017" s="9" t="n">
        <v>1409667143</v>
      </c>
    </row>
    <row r="1018">
      <c r="A1018" s="6" t="n">
        <v>2009</v>
      </c>
      <c r="B1018" s="6" t="inlineStr">
        <is>
          <t>plomo</t>
        </is>
      </c>
      <c r="C1018" s="6" t="inlineStr">
        <is>
          <t>E1 Mena/concentrado</t>
        </is>
      </c>
      <c r="D1018" s="6" t="inlineStr">
        <is>
          <t>M</t>
        </is>
      </c>
      <c r="E1018" s="6" t="n">
        <v>83255644</v>
      </c>
    </row>
    <row r="1019">
      <c r="A1019" s="9" t="n">
        <v>2009</v>
      </c>
      <c r="B1019" s="9" t="inlineStr">
        <is>
          <t>plomo</t>
        </is>
      </c>
      <c r="C1019" s="9" t="inlineStr">
        <is>
          <t>E1 Mena/concentrado</t>
        </is>
      </c>
      <c r="D1019" s="9" t="inlineStr">
        <is>
          <t>X</t>
        </is>
      </c>
      <c r="E1019" s="9" t="n">
        <v>160425797</v>
      </c>
    </row>
    <row r="1020">
      <c r="A1020" s="6" t="n">
        <v>2009</v>
      </c>
      <c r="B1020" s="6" t="inlineStr">
        <is>
          <t>plomo</t>
        </is>
      </c>
      <c r="C1020" s="6" t="inlineStr">
        <is>
          <t>E2 Metal en bruto/refinado</t>
        </is>
      </c>
      <c r="D1020" s="6" t="inlineStr">
        <is>
          <t>M</t>
        </is>
      </c>
      <c r="E1020" s="6" t="n">
        <v>60169798</v>
      </c>
    </row>
    <row r="1021">
      <c r="A1021" s="9" t="n">
        <v>2009</v>
      </c>
      <c r="B1021" s="9" t="inlineStr">
        <is>
          <t>plomo</t>
        </is>
      </c>
      <c r="C1021" s="9" t="inlineStr">
        <is>
          <t>E2 Metal en bruto/refinado</t>
        </is>
      </c>
      <c r="D1021" s="9" t="inlineStr">
        <is>
          <t>X</t>
        </is>
      </c>
      <c r="E1021" s="9" t="n">
        <v>267855695</v>
      </c>
    </row>
    <row r="1022">
      <c r="A1022" s="6" t="n">
        <v>2009</v>
      </c>
      <c r="B1022" s="6" t="inlineStr">
        <is>
          <t>plomo</t>
        </is>
      </c>
      <c r="C1022" s="6" t="inlineStr">
        <is>
          <t>E3 Semimanufacturas</t>
        </is>
      </c>
      <c r="D1022" s="6" t="inlineStr">
        <is>
          <t>M</t>
        </is>
      </c>
      <c r="E1022" s="6" t="n">
        <v>4002624</v>
      </c>
    </row>
    <row r="1023">
      <c r="A1023" s="9" t="n">
        <v>2009</v>
      </c>
      <c r="B1023" s="9" t="inlineStr">
        <is>
          <t>plomo</t>
        </is>
      </c>
      <c r="C1023" s="9" t="inlineStr">
        <is>
          <t>E3 Semimanufacturas</t>
        </is>
      </c>
      <c r="D1023" s="9" t="inlineStr">
        <is>
          <t>X</t>
        </is>
      </c>
      <c r="E1023" s="9" t="n">
        <v>16347</v>
      </c>
    </row>
    <row r="1024">
      <c r="A1024" s="6" t="n">
        <v>2009</v>
      </c>
      <c r="B1024" s="6" t="inlineStr">
        <is>
          <t>plomo</t>
        </is>
      </c>
      <c r="C1024" s="6" t="inlineStr">
        <is>
          <t>E4 Manufacturas</t>
        </is>
      </c>
      <c r="D1024" s="6" t="inlineStr">
        <is>
          <t>M</t>
        </is>
      </c>
      <c r="E1024" s="6" t="n">
        <v>8597454</v>
      </c>
    </row>
    <row r="1025">
      <c r="A1025" s="9" t="n">
        <v>2009</v>
      </c>
      <c r="B1025" s="9" t="inlineStr">
        <is>
          <t>plomo</t>
        </is>
      </c>
      <c r="C1025" s="9" t="inlineStr">
        <is>
          <t>E4 Manufacturas</t>
        </is>
      </c>
      <c r="D1025" s="9" t="inlineStr">
        <is>
          <t>X</t>
        </is>
      </c>
      <c r="E1025" s="9" t="n">
        <v>12522638</v>
      </c>
    </row>
    <row r="1026">
      <c r="A1026" s="6" t="n">
        <v>2009</v>
      </c>
      <c r="B1026" s="6" t="inlineStr">
        <is>
          <t>silice</t>
        </is>
      </c>
      <c r="C1026" s="6" t="inlineStr">
        <is>
          <t>E1 Arena silica/cuarzo</t>
        </is>
      </c>
      <c r="D1026" s="6" t="inlineStr">
        <is>
          <t>M</t>
        </is>
      </c>
      <c r="E1026" s="6" t="n">
        <v>43655811</v>
      </c>
    </row>
    <row r="1027">
      <c r="A1027" s="9" t="n">
        <v>2009</v>
      </c>
      <c r="B1027" s="9" t="inlineStr">
        <is>
          <t>silice</t>
        </is>
      </c>
      <c r="C1027" s="9" t="inlineStr">
        <is>
          <t>E1 Arena silica/cuarzo</t>
        </is>
      </c>
      <c r="D1027" s="9" t="inlineStr">
        <is>
          <t>X</t>
        </is>
      </c>
      <c r="E1027" s="9" t="n">
        <v>1000043</v>
      </c>
    </row>
    <row r="1028">
      <c r="A1028" s="6" t="n">
        <v>2009</v>
      </c>
      <c r="B1028" s="6" t="inlineStr">
        <is>
          <t>silice</t>
        </is>
      </c>
      <c r="C1028" s="6" t="inlineStr">
        <is>
          <t>E2 Silicio/ferrosilicio/SiO2</t>
        </is>
      </c>
      <c r="D1028" s="6" t="inlineStr">
        <is>
          <t>M</t>
        </is>
      </c>
      <c r="E1028" s="6" t="n">
        <v>104430972</v>
      </c>
    </row>
    <row r="1029">
      <c r="A1029" s="9" t="n">
        <v>2009</v>
      </c>
      <c r="B1029" s="9" t="inlineStr">
        <is>
          <t>silice</t>
        </is>
      </c>
      <c r="C1029" s="9" t="inlineStr">
        <is>
          <t>E2 Silicio/ferrosilicio/SiO2</t>
        </is>
      </c>
      <c r="D1029" s="9" t="inlineStr">
        <is>
          <t>X</t>
        </is>
      </c>
      <c r="E1029" s="9" t="n">
        <v>3999360</v>
      </c>
    </row>
    <row r="1030">
      <c r="A1030" s="6" t="n">
        <v>2009</v>
      </c>
      <c r="B1030" s="6" t="inlineStr">
        <is>
          <t>zinc</t>
        </is>
      </c>
      <c r="C1030" s="6" t="inlineStr">
        <is>
          <t>E1 Mena/concentrado</t>
        </is>
      </c>
      <c r="D1030" s="6" t="inlineStr">
        <is>
          <t>M</t>
        </is>
      </c>
      <c r="E1030" s="6" t="n">
        <v>1362505</v>
      </c>
    </row>
    <row r="1031">
      <c r="A1031" s="9" t="n">
        <v>2009</v>
      </c>
      <c r="B1031" s="9" t="inlineStr">
        <is>
          <t>zinc</t>
        </is>
      </c>
      <c r="C1031" s="9" t="inlineStr">
        <is>
          <t>E1 Mena/concentrado</t>
        </is>
      </c>
      <c r="D1031" s="9" t="inlineStr">
        <is>
          <t>X</t>
        </is>
      </c>
      <c r="E1031" s="9" t="n">
        <v>136594996</v>
      </c>
    </row>
    <row r="1032">
      <c r="A1032" s="6" t="n">
        <v>2009</v>
      </c>
      <c r="B1032" s="6" t="inlineStr">
        <is>
          <t>zinc</t>
        </is>
      </c>
      <c r="C1032" s="6" t="inlineStr">
        <is>
          <t>E2 Metal en bruto/refinado</t>
        </is>
      </c>
      <c r="D1032" s="6" t="inlineStr">
        <is>
          <t>M</t>
        </is>
      </c>
      <c r="E1032" s="6" t="n">
        <v>10751182</v>
      </c>
    </row>
    <row r="1033">
      <c r="A1033" s="9" t="n">
        <v>2009</v>
      </c>
      <c r="B1033" s="9" t="inlineStr">
        <is>
          <t>zinc</t>
        </is>
      </c>
      <c r="C1033" s="9" t="inlineStr">
        <is>
          <t>E2 Metal en bruto/refinado</t>
        </is>
      </c>
      <c r="D1033" s="9" t="inlineStr">
        <is>
          <t>X</t>
        </is>
      </c>
      <c r="E1033" s="9" t="n">
        <v>375278535</v>
      </c>
    </row>
    <row r="1034">
      <c r="A1034" s="6" t="n">
        <v>2009</v>
      </c>
      <c r="B1034" s="6" t="inlineStr">
        <is>
          <t>zinc</t>
        </is>
      </c>
      <c r="C1034" s="6" t="inlineStr">
        <is>
          <t>E3 Semimanufacturas</t>
        </is>
      </c>
      <c r="D1034" s="6" t="inlineStr">
        <is>
          <t>M</t>
        </is>
      </c>
      <c r="E1034" s="6" t="n">
        <v>16235427</v>
      </c>
    </row>
    <row r="1035">
      <c r="A1035" s="9" t="n">
        <v>2009</v>
      </c>
      <c r="B1035" s="9" t="inlineStr">
        <is>
          <t>zinc</t>
        </is>
      </c>
      <c r="C1035" s="9" t="inlineStr">
        <is>
          <t>E3 Semimanufacturas</t>
        </is>
      </c>
      <c r="D1035" s="9" t="inlineStr">
        <is>
          <t>X</t>
        </is>
      </c>
      <c r="E1035" s="9" t="n">
        <v>2420267</v>
      </c>
    </row>
    <row r="1036">
      <c r="A1036" s="6" t="n">
        <v>2009</v>
      </c>
      <c r="B1036" s="6" t="inlineStr">
        <is>
          <t>zinc</t>
        </is>
      </c>
      <c r="C1036" s="6" t="inlineStr">
        <is>
          <t>E4 Manufacturas</t>
        </is>
      </c>
      <c r="D1036" s="6" t="inlineStr">
        <is>
          <t>M</t>
        </is>
      </c>
      <c r="E1036" s="6" t="n">
        <v>24509393</v>
      </c>
    </row>
    <row r="1037">
      <c r="A1037" s="9" t="n">
        <v>2009</v>
      </c>
      <c r="B1037" s="9" t="inlineStr">
        <is>
          <t>zinc</t>
        </is>
      </c>
      <c r="C1037" s="9" t="inlineStr">
        <is>
          <t>E4 Manufacturas</t>
        </is>
      </c>
      <c r="D1037" s="9" t="inlineStr">
        <is>
          <t>X</t>
        </is>
      </c>
      <c r="E1037" s="9" t="n">
        <v>19054215</v>
      </c>
    </row>
    <row r="1038">
      <c r="A1038" s="6" t="n">
        <v>2010</v>
      </c>
      <c r="B1038" s="6" t="inlineStr">
        <is>
          <t>barita</t>
        </is>
      </c>
      <c r="C1038" s="6" t="inlineStr">
        <is>
          <t>E1 Crudo/molido</t>
        </is>
      </c>
      <c r="D1038" s="6" t="inlineStr">
        <is>
          <t>M</t>
        </is>
      </c>
      <c r="E1038" s="6" t="n">
        <v>11740693</v>
      </c>
    </row>
    <row r="1039">
      <c r="A1039" s="9" t="n">
        <v>2010</v>
      </c>
      <c r="B1039" s="9" t="inlineStr">
        <is>
          <t>barita</t>
        </is>
      </c>
      <c r="C1039" s="9" t="inlineStr">
        <is>
          <t>E1 Crudo/molido</t>
        </is>
      </c>
      <c r="D1039" s="9" t="inlineStr">
        <is>
          <t>X</t>
        </is>
      </c>
      <c r="E1039" s="9" t="n">
        <v>1827686</v>
      </c>
    </row>
    <row r="1040">
      <c r="A1040" s="6" t="n">
        <v>2010</v>
      </c>
      <c r="B1040" s="6" t="inlineStr">
        <is>
          <t>barita</t>
        </is>
      </c>
      <c r="C1040" s="6" t="inlineStr">
        <is>
          <t>E2 Quimicos de bario</t>
        </is>
      </c>
      <c r="D1040" s="6" t="inlineStr">
        <is>
          <t>M</t>
        </is>
      </c>
      <c r="E1040" s="6" t="n">
        <v>2690782</v>
      </c>
    </row>
    <row r="1041">
      <c r="A1041" s="9" t="n">
        <v>2010</v>
      </c>
      <c r="B1041" s="9" t="inlineStr">
        <is>
          <t>barita</t>
        </is>
      </c>
      <c r="C1041" s="9" t="inlineStr">
        <is>
          <t>E2 Quimicos de bario</t>
        </is>
      </c>
      <c r="D1041" s="9" t="inlineStr">
        <is>
          <t>X</t>
        </is>
      </c>
      <c r="E1041" s="9" t="n">
        <v>58602</v>
      </c>
    </row>
    <row r="1042">
      <c r="A1042" s="6" t="n">
        <v>2010</v>
      </c>
      <c r="B1042" s="6" t="inlineStr">
        <is>
          <t>cobre</t>
        </is>
      </c>
      <c r="C1042" s="6" t="inlineStr">
        <is>
          <t>E1 Mena/concentrado</t>
        </is>
      </c>
      <c r="D1042" s="6" t="inlineStr">
        <is>
          <t>M</t>
        </is>
      </c>
      <c r="E1042" s="6" t="n">
        <v>65824669</v>
      </c>
    </row>
    <row r="1043">
      <c r="A1043" s="9" t="n">
        <v>2010</v>
      </c>
      <c r="B1043" s="9" t="inlineStr">
        <is>
          <t>cobre</t>
        </is>
      </c>
      <c r="C1043" s="9" t="inlineStr">
        <is>
          <t>E1 Mena/concentrado</t>
        </is>
      </c>
      <c r="D1043" s="9" t="inlineStr">
        <is>
          <t>X</t>
        </is>
      </c>
      <c r="E1043" s="9" t="n">
        <v>684848560</v>
      </c>
    </row>
    <row r="1044">
      <c r="A1044" s="6" t="n">
        <v>2010</v>
      </c>
      <c r="B1044" s="6" t="inlineStr">
        <is>
          <t>cobre</t>
        </is>
      </c>
      <c r="C1044" s="6" t="inlineStr">
        <is>
          <t>E2 Metal en bruto/refinado</t>
        </is>
      </c>
      <c r="D1044" s="6" t="inlineStr">
        <is>
          <t>M</t>
        </is>
      </c>
      <c r="E1044" s="6" t="n">
        <v>774262960</v>
      </c>
    </row>
    <row r="1045">
      <c r="A1045" s="9" t="n">
        <v>2010</v>
      </c>
      <c r="B1045" s="9" t="inlineStr">
        <is>
          <t>cobre</t>
        </is>
      </c>
      <c r="C1045" s="9" t="inlineStr">
        <is>
          <t>E2 Metal en bruto/refinado</t>
        </is>
      </c>
      <c r="D1045" s="9" t="inlineStr">
        <is>
          <t>X</t>
        </is>
      </c>
      <c r="E1045" s="9" t="n">
        <v>633539739</v>
      </c>
    </row>
    <row r="1046">
      <c r="A1046" s="6" t="n">
        <v>2010</v>
      </c>
      <c r="B1046" s="6" t="inlineStr">
        <is>
          <t>cobre</t>
        </is>
      </c>
      <c r="C1046" s="6" t="inlineStr">
        <is>
          <t>E3 Semimanufacturas</t>
        </is>
      </c>
      <c r="D1046" s="6" t="inlineStr">
        <is>
          <t>M</t>
        </is>
      </c>
      <c r="E1046" s="6" t="n">
        <v>1623756551</v>
      </c>
    </row>
    <row r="1047">
      <c r="A1047" s="9" t="n">
        <v>2010</v>
      </c>
      <c r="B1047" s="9" t="inlineStr">
        <is>
          <t>cobre</t>
        </is>
      </c>
      <c r="C1047" s="9" t="inlineStr">
        <is>
          <t>E3 Semimanufacturas</t>
        </is>
      </c>
      <c r="D1047" s="9" t="inlineStr">
        <is>
          <t>X</t>
        </is>
      </c>
      <c r="E1047" s="9" t="n">
        <v>586278000</v>
      </c>
    </row>
    <row r="1048">
      <c r="A1048" s="6" t="n">
        <v>2010</v>
      </c>
      <c r="B1048" s="6" t="inlineStr">
        <is>
          <t>cobre</t>
        </is>
      </c>
      <c r="C1048" s="6" t="inlineStr">
        <is>
          <t>E4 Manufacturas</t>
        </is>
      </c>
      <c r="D1048" s="6" t="inlineStr">
        <is>
          <t>M</t>
        </is>
      </c>
      <c r="E1048" s="6" t="n">
        <v>322305060</v>
      </c>
    </row>
    <row r="1049">
      <c r="A1049" s="9" t="n">
        <v>2010</v>
      </c>
      <c r="B1049" s="9" t="inlineStr">
        <is>
          <t>cobre</t>
        </is>
      </c>
      <c r="C1049" s="9" t="inlineStr">
        <is>
          <t>E4 Manufacturas</t>
        </is>
      </c>
      <c r="D1049" s="9" t="inlineStr">
        <is>
          <t>X</t>
        </is>
      </c>
      <c r="E1049" s="9" t="n">
        <v>146643411</v>
      </c>
    </row>
    <row r="1050">
      <c r="A1050" s="6" t="n">
        <v>2010</v>
      </c>
      <c r="B1050" s="6" t="inlineStr">
        <is>
          <t>fluorita</t>
        </is>
      </c>
      <c r="C1050" s="6" t="inlineStr">
        <is>
          <t>E1 Espato fluor (crudo)</t>
        </is>
      </c>
      <c r="D1050" s="6" t="inlineStr">
        <is>
          <t>M</t>
        </is>
      </c>
      <c r="E1050" s="6" t="n">
        <v>264070</v>
      </c>
    </row>
    <row r="1051">
      <c r="A1051" s="9" t="n">
        <v>2010</v>
      </c>
      <c r="B1051" s="9" t="inlineStr">
        <is>
          <t>fluorita</t>
        </is>
      </c>
      <c r="C1051" s="9" t="inlineStr">
        <is>
          <t>E1 Espato fluor (crudo)</t>
        </is>
      </c>
      <c r="D1051" s="9" t="inlineStr">
        <is>
          <t>X</t>
        </is>
      </c>
      <c r="E1051" s="9" t="n">
        <v>117263814</v>
      </c>
    </row>
    <row r="1052">
      <c r="A1052" s="6" t="n">
        <v>2010</v>
      </c>
      <c r="B1052" s="6" t="inlineStr">
        <is>
          <t>fluorita</t>
        </is>
      </c>
      <c r="C1052" s="6" t="inlineStr">
        <is>
          <t>E2 Fluoroquimica</t>
        </is>
      </c>
      <c r="D1052" s="6" t="inlineStr">
        <is>
          <t>M</t>
        </is>
      </c>
      <c r="E1052" s="6" t="n">
        <v>29531913</v>
      </c>
    </row>
    <row r="1053">
      <c r="A1053" s="9" t="n">
        <v>2010</v>
      </c>
      <c r="B1053" s="9" t="inlineStr">
        <is>
          <t>fluorita</t>
        </is>
      </c>
      <c r="C1053" s="9" t="inlineStr">
        <is>
          <t>E2 Fluoroquimica</t>
        </is>
      </c>
      <c r="D1053" s="9" t="inlineStr">
        <is>
          <t>X</t>
        </is>
      </c>
      <c r="E1053" s="9" t="n">
        <v>184318976</v>
      </c>
    </row>
    <row r="1054">
      <c r="A1054" s="6" t="n">
        <v>2010</v>
      </c>
      <c r="B1054" s="6" t="inlineStr">
        <is>
          <t>grafito</t>
        </is>
      </c>
      <c r="C1054" s="6" t="inlineStr">
        <is>
          <t>E1 Grafito natural</t>
        </is>
      </c>
      <c r="D1054" s="6" t="inlineStr">
        <is>
          <t>M</t>
        </is>
      </c>
      <c r="E1054" s="6" t="n">
        <v>5942397</v>
      </c>
    </row>
    <row r="1055">
      <c r="A1055" s="9" t="n">
        <v>2010</v>
      </c>
      <c r="B1055" s="9" t="inlineStr">
        <is>
          <t>grafito</t>
        </is>
      </c>
      <c r="C1055" s="9" t="inlineStr">
        <is>
          <t>E1 Grafito natural</t>
        </is>
      </c>
      <c r="D1055" s="9" t="inlineStr">
        <is>
          <t>X</t>
        </is>
      </c>
      <c r="E1055" s="9" t="n">
        <v>2947104</v>
      </c>
    </row>
    <row r="1056">
      <c r="A1056" s="6" t="n">
        <v>2010</v>
      </c>
      <c r="B1056" s="6" t="inlineStr">
        <is>
          <t>grafito</t>
        </is>
      </c>
      <c r="C1056" s="6" t="inlineStr">
        <is>
          <t>E2 Grafito artificial/prep.</t>
        </is>
      </c>
      <c r="D1056" s="6" t="inlineStr">
        <is>
          <t>M</t>
        </is>
      </c>
      <c r="E1056" s="6" t="n">
        <v>17927966</v>
      </c>
    </row>
    <row r="1057">
      <c r="A1057" s="9" t="n">
        <v>2010</v>
      </c>
      <c r="B1057" s="9" t="inlineStr">
        <is>
          <t>grafito</t>
        </is>
      </c>
      <c r="C1057" s="9" t="inlineStr">
        <is>
          <t>E2 Grafito artificial/prep.</t>
        </is>
      </c>
      <c r="D1057" s="9" t="inlineStr">
        <is>
          <t>X</t>
        </is>
      </c>
      <c r="E1057" s="9" t="n">
        <v>13450836</v>
      </c>
    </row>
    <row r="1058">
      <c r="A1058" s="6" t="n">
        <v>2010</v>
      </c>
      <c r="B1058" s="6" t="inlineStr">
        <is>
          <t>grafito</t>
        </is>
      </c>
      <c r="C1058" s="6" t="inlineStr">
        <is>
          <t>E3 Electrodos/articulos de carbono</t>
        </is>
      </c>
      <c r="D1058" s="6" t="inlineStr">
        <is>
          <t>M</t>
        </is>
      </c>
      <c r="E1058" s="6" t="n">
        <v>142776116</v>
      </c>
    </row>
    <row r="1059">
      <c r="A1059" s="9" t="n">
        <v>2010</v>
      </c>
      <c r="B1059" s="9" t="inlineStr">
        <is>
          <t>grafito</t>
        </is>
      </c>
      <c r="C1059" s="9" t="inlineStr">
        <is>
          <t>E3 Electrodos/articulos de carbono</t>
        </is>
      </c>
      <c r="D1059" s="9" t="inlineStr">
        <is>
          <t>X</t>
        </is>
      </c>
      <c r="E1059" s="9" t="n">
        <v>131480215</v>
      </c>
    </row>
    <row r="1060">
      <c r="A1060" s="6" t="n">
        <v>2010</v>
      </c>
      <c r="B1060" s="6" t="inlineStr">
        <is>
          <t>manganeso</t>
        </is>
      </c>
      <c r="C1060" s="6" t="inlineStr">
        <is>
          <t>E1 Mena/concentrado</t>
        </is>
      </c>
      <c r="D1060" s="6" t="inlineStr">
        <is>
          <t>M</t>
        </is>
      </c>
      <c r="E1060" s="6" t="n">
        <v>52375782</v>
      </c>
    </row>
    <row r="1061">
      <c r="A1061" s="9" t="n">
        <v>2010</v>
      </c>
      <c r="B1061" s="9" t="inlineStr">
        <is>
          <t>manganeso</t>
        </is>
      </c>
      <c r="C1061" s="9" t="inlineStr">
        <is>
          <t>E1 Mena/concentrado</t>
        </is>
      </c>
      <c r="D1061" s="9" t="inlineStr">
        <is>
          <t>X</t>
        </is>
      </c>
      <c r="E1061" s="9" t="n">
        <v>12943004</v>
      </c>
    </row>
    <row r="1062">
      <c r="A1062" s="6" t="n">
        <v>2010</v>
      </c>
      <c r="B1062" s="6" t="inlineStr">
        <is>
          <t>manganeso</t>
        </is>
      </c>
      <c r="C1062" s="6" t="inlineStr">
        <is>
          <t>E2 Ferroaleaciones</t>
        </is>
      </c>
      <c r="D1062" s="6" t="inlineStr">
        <is>
          <t>M</t>
        </is>
      </c>
      <c r="E1062" s="6" t="n">
        <v>38871938</v>
      </c>
    </row>
    <row r="1063">
      <c r="A1063" s="9" t="n">
        <v>2010</v>
      </c>
      <c r="B1063" s="9" t="inlineStr">
        <is>
          <t>manganeso</t>
        </is>
      </c>
      <c r="C1063" s="9" t="inlineStr">
        <is>
          <t>E2 Ferroaleaciones</t>
        </is>
      </c>
      <c r="D1063" s="9" t="inlineStr">
        <is>
          <t>X</t>
        </is>
      </c>
      <c r="E1063" s="9" t="n">
        <v>114921785</v>
      </c>
    </row>
    <row r="1064">
      <c r="A1064" s="6" t="n">
        <v>2010</v>
      </c>
      <c r="B1064" s="6" t="inlineStr">
        <is>
          <t>manganeso</t>
        </is>
      </c>
      <c r="C1064" s="6" t="inlineStr">
        <is>
          <t>E3 Quimicos/metal</t>
        </is>
      </c>
      <c r="D1064" s="6" t="inlineStr">
        <is>
          <t>M</t>
        </is>
      </c>
      <c r="E1064" s="6" t="n">
        <v>7280708</v>
      </c>
    </row>
    <row r="1065">
      <c r="A1065" s="9" t="n">
        <v>2010</v>
      </c>
      <c r="B1065" s="9" t="inlineStr">
        <is>
          <t>manganeso</t>
        </is>
      </c>
      <c r="C1065" s="9" t="inlineStr">
        <is>
          <t>E3 Quimicos/metal</t>
        </is>
      </c>
      <c r="D1065" s="9" t="inlineStr">
        <is>
          <t>X</t>
        </is>
      </c>
      <c r="E1065" s="9" t="n">
        <v>2305754</v>
      </c>
    </row>
    <row r="1066">
      <c r="A1066" s="6" t="n">
        <v>2010</v>
      </c>
      <c r="B1066" s="6" t="inlineStr">
        <is>
          <t>oro</t>
        </is>
      </c>
      <c r="C1066" s="6" t="inlineStr">
        <is>
          <t>E1 Mena/concentrado</t>
        </is>
      </c>
      <c r="D1066" s="6" t="inlineStr">
        <is>
          <t>M</t>
        </is>
      </c>
      <c r="E1066" s="6" t="n">
        <v>51483903</v>
      </c>
    </row>
    <row r="1067">
      <c r="A1067" s="9" t="n">
        <v>2010</v>
      </c>
      <c r="B1067" s="9" t="inlineStr">
        <is>
          <t>oro</t>
        </is>
      </c>
      <c r="C1067" s="9" t="inlineStr">
        <is>
          <t>E1 Mena/concentrado</t>
        </is>
      </c>
      <c r="D1067" s="9" t="inlineStr">
        <is>
          <t>X</t>
        </is>
      </c>
      <c r="E1067" s="9" t="n">
        <v>18554929</v>
      </c>
    </row>
    <row r="1068">
      <c r="A1068" s="6" t="n">
        <v>2010</v>
      </c>
      <c r="B1068" s="6" t="inlineStr">
        <is>
          <t>oro</t>
        </is>
      </c>
      <c r="C1068" s="6" t="inlineStr">
        <is>
          <t>E2 Bruto/semilabrado</t>
        </is>
      </c>
      <c r="D1068" s="6" t="inlineStr">
        <is>
          <t>M</t>
        </is>
      </c>
      <c r="E1068" s="6" t="n">
        <v>173696224</v>
      </c>
    </row>
    <row r="1069">
      <c r="A1069" s="9" t="n">
        <v>2010</v>
      </c>
      <c r="B1069" s="9" t="inlineStr">
        <is>
          <t>oro</t>
        </is>
      </c>
      <c r="C1069" s="9" t="inlineStr">
        <is>
          <t>E2 Bruto/semilabrado</t>
        </is>
      </c>
      <c r="D1069" s="9" t="inlineStr">
        <is>
          <t>X</t>
        </is>
      </c>
      <c r="E1069" s="9" t="n">
        <v>5753285176</v>
      </c>
    </row>
    <row r="1070">
      <c r="A1070" s="6" t="n">
        <v>2010</v>
      </c>
      <c r="B1070" s="6" t="inlineStr">
        <is>
          <t>oro-plata (manufacturas)</t>
        </is>
      </c>
      <c r="C1070" s="6" t="inlineStr">
        <is>
          <t>E4 Joyeria/orfebreria</t>
        </is>
      </c>
      <c r="D1070" s="6" t="inlineStr">
        <is>
          <t>M</t>
        </is>
      </c>
      <c r="E1070" s="6" t="n">
        <v>537885550</v>
      </c>
    </row>
    <row r="1071">
      <c r="A1071" s="9" t="n">
        <v>2010</v>
      </c>
      <c r="B1071" s="9" t="inlineStr">
        <is>
          <t>oro-plata (manufacturas)</t>
        </is>
      </c>
      <c r="C1071" s="9" t="inlineStr">
        <is>
          <t>E4 Joyeria/orfebreria</t>
        </is>
      </c>
      <c r="D1071" s="9" t="inlineStr">
        <is>
          <t>X</t>
        </is>
      </c>
      <c r="E1071" s="9" t="n">
        <v>626850851</v>
      </c>
    </row>
    <row r="1072">
      <c r="A1072" s="6" t="n">
        <v>2010</v>
      </c>
      <c r="B1072" s="6" t="inlineStr">
        <is>
          <t>plata</t>
        </is>
      </c>
      <c r="C1072" s="6" t="inlineStr">
        <is>
          <t>E1 Mena/concentrado</t>
        </is>
      </c>
      <c r="D1072" s="6" t="inlineStr">
        <is>
          <t>M</t>
        </is>
      </c>
      <c r="E1072" s="6" t="n">
        <v>82440569</v>
      </c>
    </row>
    <row r="1073">
      <c r="A1073" s="9" t="n">
        <v>2010</v>
      </c>
      <c r="B1073" s="9" t="inlineStr">
        <is>
          <t>plata</t>
        </is>
      </c>
      <c r="C1073" s="9" t="inlineStr">
        <is>
          <t>E1 Mena/concentrado</t>
        </is>
      </c>
      <c r="D1073" s="9" t="inlineStr">
        <is>
          <t>X</t>
        </is>
      </c>
      <c r="E1073" s="9" t="n">
        <v>57836501</v>
      </c>
    </row>
    <row r="1074">
      <c r="A1074" s="6" t="n">
        <v>2010</v>
      </c>
      <c r="B1074" s="6" t="inlineStr">
        <is>
          <t>plata</t>
        </is>
      </c>
      <c r="C1074" s="6" t="inlineStr">
        <is>
          <t>E2 Bruto/semilabrado</t>
        </is>
      </c>
      <c r="D1074" s="6" t="inlineStr">
        <is>
          <t>M</t>
        </is>
      </c>
      <c r="E1074" s="6" t="n">
        <v>58797880</v>
      </c>
    </row>
    <row r="1075">
      <c r="A1075" s="9" t="n">
        <v>2010</v>
      </c>
      <c r="B1075" s="9" t="inlineStr">
        <is>
          <t>plata</t>
        </is>
      </c>
      <c r="C1075" s="9" t="inlineStr">
        <is>
          <t>E2 Bruto/semilabrado</t>
        </is>
      </c>
      <c r="D1075" s="9" t="inlineStr">
        <is>
          <t>X</t>
        </is>
      </c>
      <c r="E1075" s="9" t="n">
        <v>2542827791</v>
      </c>
    </row>
    <row r="1076">
      <c r="A1076" s="6" t="n">
        <v>2010</v>
      </c>
      <c r="B1076" s="6" t="inlineStr">
        <is>
          <t>plomo</t>
        </is>
      </c>
      <c r="C1076" s="6" t="inlineStr">
        <is>
          <t>E1 Mena/concentrado</t>
        </is>
      </c>
      <c r="D1076" s="6" t="inlineStr">
        <is>
          <t>M</t>
        </is>
      </c>
      <c r="E1076" s="6" t="n">
        <v>59226401</v>
      </c>
    </row>
    <row r="1077">
      <c r="A1077" s="9" t="n">
        <v>2010</v>
      </c>
      <c r="B1077" s="9" t="inlineStr">
        <is>
          <t>plomo</t>
        </is>
      </c>
      <c r="C1077" s="9" t="inlineStr">
        <is>
          <t>E1 Mena/concentrado</t>
        </is>
      </c>
      <c r="D1077" s="9" t="inlineStr">
        <is>
          <t>X</t>
        </is>
      </c>
      <c r="E1077" s="9" t="n">
        <v>252462298</v>
      </c>
    </row>
    <row r="1078">
      <c r="A1078" s="6" t="n">
        <v>2010</v>
      </c>
      <c r="B1078" s="6" t="inlineStr">
        <is>
          <t>plomo</t>
        </is>
      </c>
      <c r="C1078" s="6" t="inlineStr">
        <is>
          <t>E2 Metal en bruto/refinado</t>
        </is>
      </c>
      <c r="D1078" s="6" t="inlineStr">
        <is>
          <t>M</t>
        </is>
      </c>
      <c r="E1078" s="6" t="n">
        <v>55410578</v>
      </c>
    </row>
    <row r="1079">
      <c r="A1079" s="9" t="n">
        <v>2010</v>
      </c>
      <c r="B1079" s="9" t="inlineStr">
        <is>
          <t>plomo</t>
        </is>
      </c>
      <c r="C1079" s="9" t="inlineStr">
        <is>
          <t>E2 Metal en bruto/refinado</t>
        </is>
      </c>
      <c r="D1079" s="9" t="inlineStr">
        <is>
          <t>X</t>
        </is>
      </c>
      <c r="E1079" s="9" t="n">
        <v>227650816</v>
      </c>
    </row>
    <row r="1080">
      <c r="A1080" s="6" t="n">
        <v>2010</v>
      </c>
      <c r="B1080" s="6" t="inlineStr">
        <is>
          <t>plomo</t>
        </is>
      </c>
      <c r="C1080" s="6" t="inlineStr">
        <is>
          <t>E3 Semimanufacturas</t>
        </is>
      </c>
      <c r="D1080" s="6" t="inlineStr">
        <is>
          <t>M</t>
        </is>
      </c>
      <c r="E1080" s="6" t="n">
        <v>5100952</v>
      </c>
    </row>
    <row r="1081">
      <c r="A1081" s="9" t="n">
        <v>2010</v>
      </c>
      <c r="B1081" s="9" t="inlineStr">
        <is>
          <t>plomo</t>
        </is>
      </c>
      <c r="C1081" s="9" t="inlineStr">
        <is>
          <t>E3 Semimanufacturas</t>
        </is>
      </c>
      <c r="D1081" s="9" t="inlineStr">
        <is>
          <t>X</t>
        </is>
      </c>
      <c r="E1081" s="9" t="n">
        <v>541526</v>
      </c>
    </row>
    <row r="1082">
      <c r="A1082" s="6" t="n">
        <v>2010</v>
      </c>
      <c r="B1082" s="6" t="inlineStr">
        <is>
          <t>plomo</t>
        </is>
      </c>
      <c r="C1082" s="6" t="inlineStr">
        <is>
          <t>E4 Manufacturas</t>
        </is>
      </c>
      <c r="D1082" s="6" t="inlineStr">
        <is>
          <t>M</t>
        </is>
      </c>
      <c r="E1082" s="6" t="n">
        <v>12499775</v>
      </c>
    </row>
    <row r="1083">
      <c r="A1083" s="9" t="n">
        <v>2010</v>
      </c>
      <c r="B1083" s="9" t="inlineStr">
        <is>
          <t>plomo</t>
        </is>
      </c>
      <c r="C1083" s="9" t="inlineStr">
        <is>
          <t>E4 Manufacturas</t>
        </is>
      </c>
      <c r="D1083" s="9" t="inlineStr">
        <is>
          <t>X</t>
        </is>
      </c>
      <c r="E1083" s="9" t="n">
        <v>19208890</v>
      </c>
    </row>
    <row r="1084">
      <c r="A1084" s="6" t="n">
        <v>2010</v>
      </c>
      <c r="B1084" s="6" t="inlineStr">
        <is>
          <t>silice</t>
        </is>
      </c>
      <c r="C1084" s="6" t="inlineStr">
        <is>
          <t>E1 Arena silica/cuarzo</t>
        </is>
      </c>
      <c r="D1084" s="6" t="inlineStr">
        <is>
          <t>M</t>
        </is>
      </c>
      <c r="E1084" s="6" t="n">
        <v>75468158</v>
      </c>
    </row>
    <row r="1085">
      <c r="A1085" s="9" t="n">
        <v>2010</v>
      </c>
      <c r="B1085" s="9" t="inlineStr">
        <is>
          <t>silice</t>
        </is>
      </c>
      <c r="C1085" s="9" t="inlineStr">
        <is>
          <t>E1 Arena silica/cuarzo</t>
        </is>
      </c>
      <c r="D1085" s="9" t="inlineStr">
        <is>
          <t>X</t>
        </is>
      </c>
      <c r="E1085" s="9" t="n">
        <v>1454082</v>
      </c>
    </row>
    <row r="1086">
      <c r="A1086" s="6" t="n">
        <v>2010</v>
      </c>
      <c r="B1086" s="6" t="inlineStr">
        <is>
          <t>silice</t>
        </is>
      </c>
      <c r="C1086" s="6" t="inlineStr">
        <is>
          <t>E2 Silicio/ferrosilicio/SiO2</t>
        </is>
      </c>
      <c r="D1086" s="6" t="inlineStr">
        <is>
          <t>M</t>
        </is>
      </c>
      <c r="E1086" s="6" t="n">
        <v>147806890</v>
      </c>
    </row>
    <row r="1087">
      <c r="A1087" s="9" t="n">
        <v>2010</v>
      </c>
      <c r="B1087" s="9" t="inlineStr">
        <is>
          <t>silice</t>
        </is>
      </c>
      <c r="C1087" s="9" t="inlineStr">
        <is>
          <t>E2 Silicio/ferrosilicio/SiO2</t>
        </is>
      </c>
      <c r="D1087" s="9" t="inlineStr">
        <is>
          <t>X</t>
        </is>
      </c>
      <c r="E1087" s="9" t="n">
        <v>3059973</v>
      </c>
    </row>
    <row r="1088">
      <c r="A1088" s="6" t="n">
        <v>2010</v>
      </c>
      <c r="B1088" s="6" t="inlineStr">
        <is>
          <t>zinc</t>
        </is>
      </c>
      <c r="C1088" s="6" t="inlineStr">
        <is>
          <t>E1 Mena/concentrado</t>
        </is>
      </c>
      <c r="D1088" s="6" t="inlineStr">
        <is>
          <t>M</t>
        </is>
      </c>
      <c r="E1088" s="6" t="n">
        <v>7494504</v>
      </c>
    </row>
    <row r="1089">
      <c r="A1089" s="9" t="n">
        <v>2010</v>
      </c>
      <c r="B1089" s="9" t="inlineStr">
        <is>
          <t>zinc</t>
        </is>
      </c>
      <c r="C1089" s="9" t="inlineStr">
        <is>
          <t>E1 Mena/concentrado</t>
        </is>
      </c>
      <c r="D1089" s="9" t="inlineStr">
        <is>
          <t>X</t>
        </is>
      </c>
      <c r="E1089" s="9" t="n">
        <v>328503291</v>
      </c>
    </row>
    <row r="1090">
      <c r="A1090" s="6" t="n">
        <v>2010</v>
      </c>
      <c r="B1090" s="6" t="inlineStr">
        <is>
          <t>zinc</t>
        </is>
      </c>
      <c r="C1090" s="6" t="inlineStr">
        <is>
          <t>E2 Metal en bruto/refinado</t>
        </is>
      </c>
      <c r="D1090" s="6" t="inlineStr">
        <is>
          <t>M</t>
        </is>
      </c>
      <c r="E1090" s="6" t="n">
        <v>18930426</v>
      </c>
    </row>
    <row r="1091">
      <c r="A1091" s="9" t="n">
        <v>2010</v>
      </c>
      <c r="B1091" s="9" t="inlineStr">
        <is>
          <t>zinc</t>
        </is>
      </c>
      <c r="C1091" s="9" t="inlineStr">
        <is>
          <t>E2 Metal en bruto/refinado</t>
        </is>
      </c>
      <c r="D1091" s="9" t="inlineStr">
        <is>
          <t>X</t>
        </is>
      </c>
      <c r="E1091" s="9" t="n">
        <v>456832840</v>
      </c>
    </row>
    <row r="1092">
      <c r="A1092" s="6" t="n">
        <v>2010</v>
      </c>
      <c r="B1092" s="6" t="inlineStr">
        <is>
          <t>zinc</t>
        </is>
      </c>
      <c r="C1092" s="6" t="inlineStr">
        <is>
          <t>E3 Semimanufacturas</t>
        </is>
      </c>
      <c r="D1092" s="6" t="inlineStr">
        <is>
          <t>M</t>
        </is>
      </c>
      <c r="E1092" s="6" t="n">
        <v>26984644</v>
      </c>
    </row>
    <row r="1093">
      <c r="A1093" s="9" t="n">
        <v>2010</v>
      </c>
      <c r="B1093" s="9" t="inlineStr">
        <is>
          <t>zinc</t>
        </is>
      </c>
      <c r="C1093" s="9" t="inlineStr">
        <is>
          <t>E3 Semimanufacturas</t>
        </is>
      </c>
      <c r="D1093" s="9" t="inlineStr">
        <is>
          <t>X</t>
        </is>
      </c>
      <c r="E1093" s="9" t="n">
        <v>5241474</v>
      </c>
    </row>
    <row r="1094">
      <c r="A1094" s="6" t="n">
        <v>2010</v>
      </c>
      <c r="B1094" s="6" t="inlineStr">
        <is>
          <t>zinc</t>
        </is>
      </c>
      <c r="C1094" s="6" t="inlineStr">
        <is>
          <t>E4 Manufacturas</t>
        </is>
      </c>
      <c r="D1094" s="6" t="inlineStr">
        <is>
          <t>M</t>
        </is>
      </c>
      <c r="E1094" s="6" t="n">
        <v>38163717</v>
      </c>
    </row>
    <row r="1095">
      <c r="A1095" s="9" t="n">
        <v>2010</v>
      </c>
      <c r="B1095" s="9" t="inlineStr">
        <is>
          <t>zinc</t>
        </is>
      </c>
      <c r="C1095" s="9" t="inlineStr">
        <is>
          <t>E4 Manufacturas</t>
        </is>
      </c>
      <c r="D1095" s="9" t="inlineStr">
        <is>
          <t>X</t>
        </is>
      </c>
      <c r="E1095" s="9" t="n">
        <v>15828589</v>
      </c>
    </row>
    <row r="1096">
      <c r="A1096" s="6" t="n">
        <v>2011</v>
      </c>
      <c r="B1096" s="6" t="inlineStr">
        <is>
          <t>barita</t>
        </is>
      </c>
      <c r="C1096" s="6" t="inlineStr">
        <is>
          <t>E1 Crudo/molido</t>
        </is>
      </c>
      <c r="D1096" s="6" t="inlineStr">
        <is>
          <t>M</t>
        </is>
      </c>
      <c r="E1096" s="6" t="n">
        <v>18861108</v>
      </c>
    </row>
    <row r="1097">
      <c r="A1097" s="9" t="n">
        <v>2011</v>
      </c>
      <c r="B1097" s="9" t="inlineStr">
        <is>
          <t>barita</t>
        </is>
      </c>
      <c r="C1097" s="9" t="inlineStr">
        <is>
          <t>E1 Crudo/molido</t>
        </is>
      </c>
      <c r="D1097" s="9" t="inlineStr">
        <is>
          <t>X</t>
        </is>
      </c>
      <c r="E1097" s="9" t="n">
        <v>4366662</v>
      </c>
    </row>
    <row r="1098">
      <c r="A1098" s="6" t="n">
        <v>2011</v>
      </c>
      <c r="B1098" s="6" t="inlineStr">
        <is>
          <t>barita</t>
        </is>
      </c>
      <c r="C1098" s="6" t="inlineStr">
        <is>
          <t>E2 Quimicos de bario</t>
        </is>
      </c>
      <c r="D1098" s="6" t="inlineStr">
        <is>
          <t>M</t>
        </is>
      </c>
      <c r="E1098" s="6" t="n">
        <v>3145613</v>
      </c>
    </row>
    <row r="1099">
      <c r="A1099" s="9" t="n">
        <v>2011</v>
      </c>
      <c r="B1099" s="9" t="inlineStr">
        <is>
          <t>barita</t>
        </is>
      </c>
      <c r="C1099" s="9" t="inlineStr">
        <is>
          <t>E2 Quimicos de bario</t>
        </is>
      </c>
      <c r="D1099" s="9" t="inlineStr">
        <is>
          <t>X</t>
        </is>
      </c>
      <c r="E1099" s="9" t="n">
        <v>13390</v>
      </c>
    </row>
    <row r="1100">
      <c r="A1100" s="6" t="n">
        <v>2011</v>
      </c>
      <c r="B1100" s="6" t="inlineStr">
        <is>
          <t>cobre</t>
        </is>
      </c>
      <c r="C1100" s="6" t="inlineStr">
        <is>
          <t>E1 Mena/concentrado</t>
        </is>
      </c>
      <c r="D1100" s="6" t="inlineStr">
        <is>
          <t>M</t>
        </is>
      </c>
      <c r="E1100" s="6" t="n">
        <v>175159411</v>
      </c>
    </row>
    <row r="1101">
      <c r="A1101" s="9" t="n">
        <v>2011</v>
      </c>
      <c r="B1101" s="9" t="inlineStr">
        <is>
          <t>cobre</t>
        </is>
      </c>
      <c r="C1101" s="9" t="inlineStr">
        <is>
          <t>E1 Mena/concentrado</t>
        </is>
      </c>
      <c r="D1101" s="9" t="inlineStr">
        <is>
          <t>X</t>
        </is>
      </c>
      <c r="E1101" s="9" t="n">
        <v>1170994128</v>
      </c>
    </row>
    <row r="1102">
      <c r="A1102" s="6" t="n">
        <v>2011</v>
      </c>
      <c r="B1102" s="6" t="inlineStr">
        <is>
          <t>cobre</t>
        </is>
      </c>
      <c r="C1102" s="6" t="inlineStr">
        <is>
          <t>E2 Metal en bruto/refinado</t>
        </is>
      </c>
      <c r="D1102" s="6" t="inlineStr">
        <is>
          <t>M</t>
        </is>
      </c>
      <c r="E1102" s="6" t="n">
        <v>817970494</v>
      </c>
    </row>
    <row r="1103">
      <c r="A1103" s="9" t="n">
        <v>2011</v>
      </c>
      <c r="B1103" s="9" t="inlineStr">
        <is>
          <t>cobre</t>
        </is>
      </c>
      <c r="C1103" s="9" t="inlineStr">
        <is>
          <t>E2 Metal en bruto/refinado</t>
        </is>
      </c>
      <c r="D1103" s="9" t="inlineStr">
        <is>
          <t>X</t>
        </is>
      </c>
      <c r="E1103" s="9" t="n">
        <v>1395991069</v>
      </c>
    </row>
    <row r="1104">
      <c r="A1104" s="6" t="n">
        <v>2011</v>
      </c>
      <c r="B1104" s="6" t="inlineStr">
        <is>
          <t>cobre</t>
        </is>
      </c>
      <c r="C1104" s="6" t="inlineStr">
        <is>
          <t>E3 Semimanufacturas</t>
        </is>
      </c>
      <c r="D1104" s="6" t="inlineStr">
        <is>
          <t>M</t>
        </is>
      </c>
      <c r="E1104" s="6" t="n">
        <v>1922363460</v>
      </c>
    </row>
    <row r="1105">
      <c r="A1105" s="9" t="n">
        <v>2011</v>
      </c>
      <c r="B1105" s="9" t="inlineStr">
        <is>
          <t>cobre</t>
        </is>
      </c>
      <c r="C1105" s="9" t="inlineStr">
        <is>
          <t>E3 Semimanufacturas</t>
        </is>
      </c>
      <c r="D1105" s="9" t="inlineStr">
        <is>
          <t>X</t>
        </is>
      </c>
      <c r="E1105" s="9" t="n">
        <v>689737347</v>
      </c>
    </row>
    <row r="1106">
      <c r="A1106" s="6" t="n">
        <v>2011</v>
      </c>
      <c r="B1106" s="6" t="inlineStr">
        <is>
          <t>cobre</t>
        </is>
      </c>
      <c r="C1106" s="6" t="inlineStr">
        <is>
          <t>E4 Manufacturas</t>
        </is>
      </c>
      <c r="D1106" s="6" t="inlineStr">
        <is>
          <t>M</t>
        </is>
      </c>
      <c r="E1106" s="6" t="n">
        <v>330249620</v>
      </c>
    </row>
    <row r="1107">
      <c r="A1107" s="9" t="n">
        <v>2011</v>
      </c>
      <c r="B1107" s="9" t="inlineStr">
        <is>
          <t>cobre</t>
        </is>
      </c>
      <c r="C1107" s="9" t="inlineStr">
        <is>
          <t>E4 Manufacturas</t>
        </is>
      </c>
      <c r="D1107" s="9" t="inlineStr">
        <is>
          <t>X</t>
        </is>
      </c>
      <c r="E1107" s="9" t="n">
        <v>147208350</v>
      </c>
    </row>
    <row r="1108">
      <c r="A1108" s="6" t="n">
        <v>2011</v>
      </c>
      <c r="B1108" s="6" t="inlineStr">
        <is>
          <t>fluorita</t>
        </is>
      </c>
      <c r="C1108" s="6" t="inlineStr">
        <is>
          <t>E1 Espato fluor (crudo)</t>
        </is>
      </c>
      <c r="D1108" s="6" t="inlineStr">
        <is>
          <t>M</t>
        </is>
      </c>
      <c r="E1108" s="6" t="n">
        <v>375736</v>
      </c>
    </row>
    <row r="1109">
      <c r="A1109" s="9" t="n">
        <v>2011</v>
      </c>
      <c r="B1109" s="9" t="inlineStr">
        <is>
          <t>fluorita</t>
        </is>
      </c>
      <c r="C1109" s="9" t="inlineStr">
        <is>
          <t>E1 Espato fluor (crudo)</t>
        </is>
      </c>
      <c r="D1109" s="9" t="inlineStr">
        <is>
          <t>X</t>
        </is>
      </c>
      <c r="E1109" s="9" t="n">
        <v>152988640</v>
      </c>
    </row>
    <row r="1110">
      <c r="A1110" s="6" t="n">
        <v>2011</v>
      </c>
      <c r="B1110" s="6" t="inlineStr">
        <is>
          <t>fluorita</t>
        </is>
      </c>
      <c r="C1110" s="6" t="inlineStr">
        <is>
          <t>E2 Fluoroquimica</t>
        </is>
      </c>
      <c r="D1110" s="6" t="inlineStr">
        <is>
          <t>M</t>
        </is>
      </c>
      <c r="E1110" s="6" t="n">
        <v>28285189</v>
      </c>
    </row>
    <row r="1111">
      <c r="A1111" s="9" t="n">
        <v>2011</v>
      </c>
      <c r="B1111" s="9" t="inlineStr">
        <is>
          <t>fluorita</t>
        </is>
      </c>
      <c r="C1111" s="9" t="inlineStr">
        <is>
          <t>E2 Fluoroquimica</t>
        </is>
      </c>
      <c r="D1111" s="9" t="inlineStr">
        <is>
          <t>X</t>
        </is>
      </c>
      <c r="E1111" s="9" t="n">
        <v>176693443</v>
      </c>
    </row>
    <row r="1112">
      <c r="A1112" s="6" t="n">
        <v>2011</v>
      </c>
      <c r="B1112" s="6" t="inlineStr">
        <is>
          <t>grafito</t>
        </is>
      </c>
      <c r="C1112" s="6" t="inlineStr">
        <is>
          <t>E1 Grafito natural</t>
        </is>
      </c>
      <c r="D1112" s="6" t="inlineStr">
        <is>
          <t>M</t>
        </is>
      </c>
      <c r="E1112" s="6" t="n">
        <v>4451104</v>
      </c>
    </row>
    <row r="1113">
      <c r="A1113" s="9" t="n">
        <v>2011</v>
      </c>
      <c r="B1113" s="9" t="inlineStr">
        <is>
          <t>grafito</t>
        </is>
      </c>
      <c r="C1113" s="9" t="inlineStr">
        <is>
          <t>E1 Grafito natural</t>
        </is>
      </c>
      <c r="D1113" s="9" t="inlineStr">
        <is>
          <t>X</t>
        </is>
      </c>
      <c r="E1113" s="9" t="n">
        <v>5648984</v>
      </c>
    </row>
    <row r="1114">
      <c r="A1114" s="6" t="n">
        <v>2011</v>
      </c>
      <c r="B1114" s="6" t="inlineStr">
        <is>
          <t>grafito</t>
        </is>
      </c>
      <c r="C1114" s="6" t="inlineStr">
        <is>
          <t>E2 Grafito artificial/prep.</t>
        </is>
      </c>
      <c r="D1114" s="6" t="inlineStr">
        <is>
          <t>M</t>
        </is>
      </c>
      <c r="E1114" s="6" t="n">
        <v>26946947</v>
      </c>
    </row>
    <row r="1115">
      <c r="A1115" s="9" t="n">
        <v>2011</v>
      </c>
      <c r="B1115" s="9" t="inlineStr">
        <is>
          <t>grafito</t>
        </is>
      </c>
      <c r="C1115" s="9" t="inlineStr">
        <is>
          <t>E2 Grafito artificial/prep.</t>
        </is>
      </c>
      <c r="D1115" s="9" t="inlineStr">
        <is>
          <t>X</t>
        </is>
      </c>
      <c r="E1115" s="9" t="n">
        <v>15799905</v>
      </c>
    </row>
    <row r="1116">
      <c r="A1116" s="6" t="n">
        <v>2011</v>
      </c>
      <c r="B1116" s="6" t="inlineStr">
        <is>
          <t>grafito</t>
        </is>
      </c>
      <c r="C1116" s="6" t="inlineStr">
        <is>
          <t>E3 Electrodos/articulos de carbono</t>
        </is>
      </c>
      <c r="D1116" s="6" t="inlineStr">
        <is>
          <t>M</t>
        </is>
      </c>
      <c r="E1116" s="6" t="n">
        <v>125911258</v>
      </c>
    </row>
    <row r="1117">
      <c r="A1117" s="9" t="n">
        <v>2011</v>
      </c>
      <c r="B1117" s="9" t="inlineStr">
        <is>
          <t>grafito</t>
        </is>
      </c>
      <c r="C1117" s="9" t="inlineStr">
        <is>
          <t>E3 Electrodos/articulos de carbono</t>
        </is>
      </c>
      <c r="D1117" s="9" t="inlineStr">
        <is>
          <t>X</t>
        </is>
      </c>
      <c r="E1117" s="9" t="n">
        <v>119905008</v>
      </c>
    </row>
    <row r="1118">
      <c r="A1118" s="6" t="n">
        <v>2011</v>
      </c>
      <c r="B1118" s="6" t="inlineStr">
        <is>
          <t>manganeso</t>
        </is>
      </c>
      <c r="C1118" s="6" t="inlineStr">
        <is>
          <t>E1 Mena/concentrado</t>
        </is>
      </c>
      <c r="D1118" s="6" t="inlineStr">
        <is>
          <t>M</t>
        </is>
      </c>
      <c r="E1118" s="6" t="n">
        <v>32211311</v>
      </c>
    </row>
    <row r="1119">
      <c r="A1119" s="9" t="n">
        <v>2011</v>
      </c>
      <c r="B1119" s="9" t="inlineStr">
        <is>
          <t>manganeso</t>
        </is>
      </c>
      <c r="C1119" s="9" t="inlineStr">
        <is>
          <t>E1 Mena/concentrado</t>
        </is>
      </c>
      <c r="D1119" s="9" t="inlineStr">
        <is>
          <t>X</t>
        </is>
      </c>
      <c r="E1119" s="9" t="n">
        <v>3948600</v>
      </c>
    </row>
    <row r="1120">
      <c r="A1120" s="6" t="n">
        <v>2011</v>
      </c>
      <c r="B1120" s="6" t="inlineStr">
        <is>
          <t>manganeso</t>
        </is>
      </c>
      <c r="C1120" s="6" t="inlineStr">
        <is>
          <t>E2 Ferroaleaciones</t>
        </is>
      </c>
      <c r="D1120" s="6" t="inlineStr">
        <is>
          <t>M</t>
        </is>
      </c>
      <c r="E1120" s="6" t="n">
        <v>68230989</v>
      </c>
    </row>
    <row r="1121">
      <c r="A1121" s="9" t="n">
        <v>2011</v>
      </c>
      <c r="B1121" s="9" t="inlineStr">
        <is>
          <t>manganeso</t>
        </is>
      </c>
      <c r="C1121" s="9" t="inlineStr">
        <is>
          <t>E2 Ferroaleaciones</t>
        </is>
      </c>
      <c r="D1121" s="9" t="inlineStr">
        <is>
          <t>X</t>
        </is>
      </c>
      <c r="E1121" s="9" t="n">
        <v>100540800</v>
      </c>
    </row>
    <row r="1122">
      <c r="A1122" s="6" t="n">
        <v>2011</v>
      </c>
      <c r="B1122" s="6" t="inlineStr">
        <is>
          <t>manganeso</t>
        </is>
      </c>
      <c r="C1122" s="6" t="inlineStr">
        <is>
          <t>E3 Quimicos/metal</t>
        </is>
      </c>
      <c r="D1122" s="6" t="inlineStr">
        <is>
          <t>M</t>
        </is>
      </c>
      <c r="E1122" s="6" t="n">
        <v>6619265</v>
      </c>
    </row>
    <row r="1123">
      <c r="A1123" s="9" t="n">
        <v>2011</v>
      </c>
      <c r="B1123" s="9" t="inlineStr">
        <is>
          <t>manganeso</t>
        </is>
      </c>
      <c r="C1123" s="9" t="inlineStr">
        <is>
          <t>E3 Quimicos/metal</t>
        </is>
      </c>
      <c r="D1123" s="9" t="inlineStr">
        <is>
          <t>X</t>
        </is>
      </c>
      <c r="E1123" s="9" t="n">
        <v>1553177</v>
      </c>
    </row>
    <row r="1124">
      <c r="A1124" s="6" t="n">
        <v>2011</v>
      </c>
      <c r="B1124" s="6" t="inlineStr">
        <is>
          <t>oro</t>
        </is>
      </c>
      <c r="C1124" s="6" t="inlineStr">
        <is>
          <t>E1 Mena/concentrado</t>
        </is>
      </c>
      <c r="D1124" s="6" t="inlineStr">
        <is>
          <t>M</t>
        </is>
      </c>
      <c r="E1124" s="6" t="n">
        <v>25527362</v>
      </c>
    </row>
    <row r="1125">
      <c r="A1125" s="9" t="n">
        <v>2011</v>
      </c>
      <c r="B1125" s="9" t="inlineStr">
        <is>
          <t>oro</t>
        </is>
      </c>
      <c r="C1125" s="9" t="inlineStr">
        <is>
          <t>E1 Mena/concentrado</t>
        </is>
      </c>
      <c r="D1125" s="9" t="inlineStr">
        <is>
          <t>X</t>
        </is>
      </c>
      <c r="E1125" s="9" t="n">
        <v>151638195</v>
      </c>
    </row>
    <row r="1126">
      <c r="A1126" s="6" t="n">
        <v>2011</v>
      </c>
      <c r="B1126" s="6" t="inlineStr">
        <is>
          <t>oro</t>
        </is>
      </c>
      <c r="C1126" s="6" t="inlineStr">
        <is>
          <t>E2 Bruto/semilabrado</t>
        </is>
      </c>
      <c r="D1126" s="6" t="inlineStr">
        <is>
          <t>M</t>
        </is>
      </c>
      <c r="E1126" s="6" t="n">
        <v>212839764</v>
      </c>
    </row>
    <row r="1127">
      <c r="A1127" s="9" t="n">
        <v>2011</v>
      </c>
      <c r="B1127" s="9" t="inlineStr">
        <is>
          <t>oro</t>
        </is>
      </c>
      <c r="C1127" s="9" t="inlineStr">
        <is>
          <t>E2 Bruto/semilabrado</t>
        </is>
      </c>
      <c r="D1127" s="9" t="inlineStr">
        <is>
          <t>X</t>
        </is>
      </c>
      <c r="E1127" s="9" t="n">
        <v>7721008673</v>
      </c>
    </row>
    <row r="1128">
      <c r="A1128" s="6" t="n">
        <v>2011</v>
      </c>
      <c r="B1128" s="6" t="inlineStr">
        <is>
          <t>oro-plata (manufacturas)</t>
        </is>
      </c>
      <c r="C1128" s="6" t="inlineStr">
        <is>
          <t>E4 Joyeria/orfebreria</t>
        </is>
      </c>
      <c r="D1128" s="6" t="inlineStr">
        <is>
          <t>M</t>
        </is>
      </c>
      <c r="E1128" s="6" t="n">
        <v>557956528</v>
      </c>
    </row>
    <row r="1129">
      <c r="A1129" s="9" t="n">
        <v>2011</v>
      </c>
      <c r="B1129" s="9" t="inlineStr">
        <is>
          <t>oro-plata (manufacturas)</t>
        </is>
      </c>
      <c r="C1129" s="9" t="inlineStr">
        <is>
          <t>E4 Joyeria/orfebreria</t>
        </is>
      </c>
      <c r="D1129" s="9" t="inlineStr">
        <is>
          <t>X</t>
        </is>
      </c>
      <c r="E1129" s="9" t="n">
        <v>614406830</v>
      </c>
    </row>
    <row r="1130">
      <c r="A1130" s="6" t="n">
        <v>2011</v>
      </c>
      <c r="B1130" s="6" t="inlineStr">
        <is>
          <t>plata</t>
        </is>
      </c>
      <c r="C1130" s="6" t="inlineStr">
        <is>
          <t>E1 Mena/concentrado</t>
        </is>
      </c>
      <c r="D1130" s="6" t="inlineStr">
        <is>
          <t>M</t>
        </is>
      </c>
      <c r="E1130" s="6" t="n">
        <v>118244332</v>
      </c>
    </row>
    <row r="1131">
      <c r="A1131" s="9" t="n">
        <v>2011</v>
      </c>
      <c r="B1131" s="9" t="inlineStr">
        <is>
          <t>plata</t>
        </is>
      </c>
      <c r="C1131" s="9" t="inlineStr">
        <is>
          <t>E1 Mena/concentrado</t>
        </is>
      </c>
      <c r="D1131" s="9" t="inlineStr">
        <is>
          <t>X</t>
        </is>
      </c>
      <c r="E1131" s="9" t="n">
        <v>109669779</v>
      </c>
    </row>
    <row r="1132">
      <c r="A1132" s="6" t="n">
        <v>2011</v>
      </c>
      <c r="B1132" s="6" t="inlineStr">
        <is>
          <t>plata</t>
        </is>
      </c>
      <c r="C1132" s="6" t="inlineStr">
        <is>
          <t>E2 Bruto/semilabrado</t>
        </is>
      </c>
      <c r="D1132" s="6" t="inlineStr">
        <is>
          <t>M</t>
        </is>
      </c>
      <c r="E1132" s="6" t="n">
        <v>120273346</v>
      </c>
    </row>
    <row r="1133">
      <c r="A1133" s="9" t="n">
        <v>2011</v>
      </c>
      <c r="B1133" s="9" t="inlineStr">
        <is>
          <t>plata</t>
        </is>
      </c>
      <c r="C1133" s="9" t="inlineStr">
        <is>
          <t>E2 Bruto/semilabrado</t>
        </is>
      </c>
      <c r="D1133" s="9" t="inlineStr">
        <is>
          <t>X</t>
        </is>
      </c>
      <c r="E1133" s="9" t="n">
        <v>4514898646</v>
      </c>
    </row>
    <row r="1134">
      <c r="A1134" s="6" t="n">
        <v>2011</v>
      </c>
      <c r="B1134" s="6" t="inlineStr">
        <is>
          <t>plomo</t>
        </is>
      </c>
      <c r="C1134" s="6" t="inlineStr">
        <is>
          <t>E1 Mena/concentrado</t>
        </is>
      </c>
      <c r="D1134" s="6" t="inlineStr">
        <is>
          <t>M</t>
        </is>
      </c>
      <c r="E1134" s="6" t="n">
        <v>124363837</v>
      </c>
    </row>
    <row r="1135">
      <c r="A1135" s="9" t="n">
        <v>2011</v>
      </c>
      <c r="B1135" s="9" t="inlineStr">
        <is>
          <t>plomo</t>
        </is>
      </c>
      <c r="C1135" s="9" t="inlineStr">
        <is>
          <t>E1 Mena/concentrado</t>
        </is>
      </c>
      <c r="D1135" s="9" t="inlineStr">
        <is>
          <t>X</t>
        </is>
      </c>
      <c r="E1135" s="9" t="n">
        <v>927940559</v>
      </c>
    </row>
    <row r="1136">
      <c r="A1136" s="6" t="n">
        <v>2011</v>
      </c>
      <c r="B1136" s="6" t="inlineStr">
        <is>
          <t>plomo</t>
        </is>
      </c>
      <c r="C1136" s="6" t="inlineStr">
        <is>
          <t>E2 Metal en bruto/refinado</t>
        </is>
      </c>
      <c r="D1136" s="6" t="inlineStr">
        <is>
          <t>M</t>
        </is>
      </c>
      <c r="E1136" s="6" t="n">
        <v>27419685</v>
      </c>
    </row>
    <row r="1137">
      <c r="A1137" s="9" t="n">
        <v>2011</v>
      </c>
      <c r="B1137" s="9" t="inlineStr">
        <is>
          <t>plomo</t>
        </is>
      </c>
      <c r="C1137" s="9" t="inlineStr">
        <is>
          <t>E2 Metal en bruto/refinado</t>
        </is>
      </c>
      <c r="D1137" s="9" t="inlineStr">
        <is>
          <t>X</t>
        </is>
      </c>
      <c r="E1137" s="9" t="n">
        <v>306845787</v>
      </c>
    </row>
    <row r="1138">
      <c r="A1138" s="6" t="n">
        <v>2011</v>
      </c>
      <c r="B1138" s="6" t="inlineStr">
        <is>
          <t>plomo</t>
        </is>
      </c>
      <c r="C1138" s="6" t="inlineStr">
        <is>
          <t>E3 Semimanufacturas</t>
        </is>
      </c>
      <c r="D1138" s="6" t="inlineStr">
        <is>
          <t>M</t>
        </is>
      </c>
      <c r="E1138" s="6" t="n">
        <v>5013081</v>
      </c>
    </row>
    <row r="1139">
      <c r="A1139" s="9" t="n">
        <v>2011</v>
      </c>
      <c r="B1139" s="9" t="inlineStr">
        <is>
          <t>plomo</t>
        </is>
      </c>
      <c r="C1139" s="9" t="inlineStr">
        <is>
          <t>E3 Semimanufacturas</t>
        </is>
      </c>
      <c r="D1139" s="9" t="inlineStr">
        <is>
          <t>X</t>
        </is>
      </c>
      <c r="E1139" s="9" t="n">
        <v>1019152</v>
      </c>
    </row>
    <row r="1140">
      <c r="A1140" s="6" t="n">
        <v>2011</v>
      </c>
      <c r="B1140" s="6" t="inlineStr">
        <is>
          <t>plomo</t>
        </is>
      </c>
      <c r="C1140" s="6" t="inlineStr">
        <is>
          <t>E4 Manufacturas</t>
        </is>
      </c>
      <c r="D1140" s="6" t="inlineStr">
        <is>
          <t>M</t>
        </is>
      </c>
      <c r="E1140" s="6" t="n">
        <v>15909534</v>
      </c>
    </row>
    <row r="1141">
      <c r="A1141" s="9" t="n">
        <v>2011</v>
      </c>
      <c r="B1141" s="9" t="inlineStr">
        <is>
          <t>plomo</t>
        </is>
      </c>
      <c r="C1141" s="9" t="inlineStr">
        <is>
          <t>E4 Manufacturas</t>
        </is>
      </c>
      <c r="D1141" s="9" t="inlineStr">
        <is>
          <t>X</t>
        </is>
      </c>
      <c r="E1141" s="9" t="n">
        <v>17614810</v>
      </c>
    </row>
    <row r="1142">
      <c r="A1142" s="6" t="n">
        <v>2011</v>
      </c>
      <c r="B1142" s="6" t="inlineStr">
        <is>
          <t>silice</t>
        </is>
      </c>
      <c r="C1142" s="6" t="inlineStr">
        <is>
          <t>E1 Arena silica/cuarzo</t>
        </is>
      </c>
      <c r="D1142" s="6" t="inlineStr">
        <is>
          <t>M</t>
        </is>
      </c>
      <c r="E1142" s="6" t="n">
        <v>94456467</v>
      </c>
    </row>
    <row r="1143">
      <c r="A1143" s="9" t="n">
        <v>2011</v>
      </c>
      <c r="B1143" s="9" t="inlineStr">
        <is>
          <t>silice</t>
        </is>
      </c>
      <c r="C1143" s="9" t="inlineStr">
        <is>
          <t>E1 Arena silica/cuarzo</t>
        </is>
      </c>
      <c r="D1143" s="9" t="inlineStr">
        <is>
          <t>X</t>
        </is>
      </c>
      <c r="E1143" s="9" t="n">
        <v>1665762</v>
      </c>
    </row>
    <row r="1144">
      <c r="A1144" s="6" t="n">
        <v>2011</v>
      </c>
      <c r="B1144" s="6" t="inlineStr">
        <is>
          <t>silice</t>
        </is>
      </c>
      <c r="C1144" s="6" t="inlineStr">
        <is>
          <t>E2 Silicio/ferrosilicio/SiO2</t>
        </is>
      </c>
      <c r="D1144" s="6" t="inlineStr">
        <is>
          <t>M</t>
        </is>
      </c>
      <c r="E1144" s="6" t="n">
        <v>180350573</v>
      </c>
    </row>
    <row r="1145">
      <c r="A1145" s="9" t="n">
        <v>2011</v>
      </c>
      <c r="B1145" s="9" t="inlineStr">
        <is>
          <t>silice</t>
        </is>
      </c>
      <c r="C1145" s="9" t="inlineStr">
        <is>
          <t>E2 Silicio/ferrosilicio/SiO2</t>
        </is>
      </c>
      <c r="D1145" s="9" t="inlineStr">
        <is>
          <t>X</t>
        </is>
      </c>
      <c r="E1145" s="9" t="n">
        <v>4849218</v>
      </c>
    </row>
    <row r="1146">
      <c r="A1146" s="6" t="n">
        <v>2011</v>
      </c>
      <c r="B1146" s="6" t="inlineStr">
        <is>
          <t>zinc</t>
        </is>
      </c>
      <c r="C1146" s="6" t="inlineStr">
        <is>
          <t>E1 Mena/concentrado</t>
        </is>
      </c>
      <c r="D1146" s="6" t="inlineStr">
        <is>
          <t>M</t>
        </is>
      </c>
      <c r="E1146" s="6" t="n">
        <v>23723165</v>
      </c>
    </row>
    <row r="1147">
      <c r="A1147" s="9" t="n">
        <v>2011</v>
      </c>
      <c r="B1147" s="9" t="inlineStr">
        <is>
          <t>zinc</t>
        </is>
      </c>
      <c r="C1147" s="9" t="inlineStr">
        <is>
          <t>E1 Mena/concentrado</t>
        </is>
      </c>
      <c r="D1147" s="9" t="inlineStr">
        <is>
          <t>X</t>
        </is>
      </c>
      <c r="E1147" s="9" t="n">
        <v>441759771</v>
      </c>
    </row>
    <row r="1148">
      <c r="A1148" s="6" t="n">
        <v>2011</v>
      </c>
      <c r="B1148" s="6" t="inlineStr">
        <is>
          <t>zinc</t>
        </is>
      </c>
      <c r="C1148" s="6" t="inlineStr">
        <is>
          <t>E2 Metal en bruto/refinado</t>
        </is>
      </c>
      <c r="D1148" s="6" t="inlineStr">
        <is>
          <t>M</t>
        </is>
      </c>
      <c r="E1148" s="6" t="n">
        <v>36097854</v>
      </c>
    </row>
    <row r="1149">
      <c r="A1149" s="9" t="n">
        <v>2011</v>
      </c>
      <c r="B1149" s="9" t="inlineStr">
        <is>
          <t>zinc</t>
        </is>
      </c>
      <c r="C1149" s="9" t="inlineStr">
        <is>
          <t>E2 Metal en bruto/refinado</t>
        </is>
      </c>
      <c r="D1149" s="9" t="inlineStr">
        <is>
          <t>X</t>
        </is>
      </c>
      <c r="E1149" s="9" t="n">
        <v>464607937</v>
      </c>
    </row>
    <row r="1150">
      <c r="A1150" s="6" t="n">
        <v>2011</v>
      </c>
      <c r="B1150" s="6" t="inlineStr">
        <is>
          <t>zinc</t>
        </is>
      </c>
      <c r="C1150" s="6" t="inlineStr">
        <is>
          <t>E3 Semimanufacturas</t>
        </is>
      </c>
      <c r="D1150" s="6" t="inlineStr">
        <is>
          <t>M</t>
        </is>
      </c>
      <c r="E1150" s="6" t="n">
        <v>36014153</v>
      </c>
    </row>
    <row r="1151">
      <c r="A1151" s="9" t="n">
        <v>2011</v>
      </c>
      <c r="B1151" s="9" t="inlineStr">
        <is>
          <t>zinc</t>
        </is>
      </c>
      <c r="C1151" s="9" t="inlineStr">
        <is>
          <t>E3 Semimanufacturas</t>
        </is>
      </c>
      <c r="D1151" s="9" t="inlineStr">
        <is>
          <t>X</t>
        </is>
      </c>
      <c r="E1151" s="9" t="n">
        <v>8537576</v>
      </c>
    </row>
    <row r="1152">
      <c r="A1152" s="6" t="n">
        <v>2011</v>
      </c>
      <c r="B1152" s="6" t="inlineStr">
        <is>
          <t>zinc</t>
        </is>
      </c>
      <c r="C1152" s="6" t="inlineStr">
        <is>
          <t>E4 Manufacturas</t>
        </is>
      </c>
      <c r="D1152" s="6" t="inlineStr">
        <is>
          <t>M</t>
        </is>
      </c>
      <c r="E1152" s="6" t="n">
        <v>45940325</v>
      </c>
    </row>
    <row r="1153">
      <c r="A1153" s="9" t="n">
        <v>2011</v>
      </c>
      <c r="B1153" s="9" t="inlineStr">
        <is>
          <t>zinc</t>
        </is>
      </c>
      <c r="C1153" s="9" t="inlineStr">
        <is>
          <t>E4 Manufacturas</t>
        </is>
      </c>
      <c r="D1153" s="9" t="inlineStr">
        <is>
          <t>X</t>
        </is>
      </c>
      <c r="E1153" s="9" t="n">
        <v>18168388</v>
      </c>
    </row>
    <row r="1154">
      <c r="A1154" s="6" t="n">
        <v>2012</v>
      </c>
      <c r="B1154" s="6" t="inlineStr">
        <is>
          <t>barita</t>
        </is>
      </c>
      <c r="C1154" s="6" t="inlineStr">
        <is>
          <t>E1 Crudo/molido</t>
        </is>
      </c>
      <c r="D1154" s="6" t="inlineStr">
        <is>
          <t>M</t>
        </is>
      </c>
      <c r="E1154" s="6" t="n">
        <v>23800033</v>
      </c>
    </row>
    <row r="1155">
      <c r="A1155" s="9" t="n">
        <v>2012</v>
      </c>
      <c r="B1155" s="9" t="inlineStr">
        <is>
          <t>barita</t>
        </is>
      </c>
      <c r="C1155" s="9" t="inlineStr">
        <is>
          <t>E1 Crudo/molido</t>
        </is>
      </c>
      <c r="D1155" s="9" t="inlineStr">
        <is>
          <t>X</t>
        </is>
      </c>
      <c r="E1155" s="9" t="n">
        <v>12563124</v>
      </c>
    </row>
    <row r="1156">
      <c r="A1156" s="6" t="n">
        <v>2012</v>
      </c>
      <c r="B1156" s="6" t="inlineStr">
        <is>
          <t>barita</t>
        </is>
      </c>
      <c r="C1156" s="6" t="inlineStr">
        <is>
          <t>E2 Quimicos de bario</t>
        </is>
      </c>
      <c r="D1156" s="6" t="inlineStr">
        <is>
          <t>M</t>
        </is>
      </c>
      <c r="E1156" s="6" t="n">
        <v>3132242</v>
      </c>
    </row>
    <row r="1157">
      <c r="A1157" s="9" t="n">
        <v>2012</v>
      </c>
      <c r="B1157" s="9" t="inlineStr">
        <is>
          <t>barita</t>
        </is>
      </c>
      <c r="C1157" s="9" t="inlineStr">
        <is>
          <t>E2 Quimicos de bario</t>
        </is>
      </c>
      <c r="D1157" s="9" t="inlineStr">
        <is>
          <t>X</t>
        </is>
      </c>
      <c r="E1157" s="9" t="n">
        <v>208</v>
      </c>
    </row>
    <row r="1158">
      <c r="A1158" s="6" t="n">
        <v>2012</v>
      </c>
      <c r="B1158" s="6" t="inlineStr">
        <is>
          <t>cobre</t>
        </is>
      </c>
      <c r="C1158" s="6" t="inlineStr">
        <is>
          <t>E1 Mena/concentrado</t>
        </is>
      </c>
      <c r="D1158" s="6" t="inlineStr">
        <is>
          <t>M</t>
        </is>
      </c>
      <c r="E1158" s="6" t="n">
        <v>271081215</v>
      </c>
    </row>
    <row r="1159">
      <c r="A1159" s="9" t="n">
        <v>2012</v>
      </c>
      <c r="B1159" s="9" t="inlineStr">
        <is>
          <t>cobre</t>
        </is>
      </c>
      <c r="C1159" s="9" t="inlineStr">
        <is>
          <t>E1 Mena/concentrado</t>
        </is>
      </c>
      <c r="D1159" s="9" t="inlineStr">
        <is>
          <t>X</t>
        </is>
      </c>
      <c r="E1159" s="9" t="n">
        <v>1362964233</v>
      </c>
    </row>
    <row r="1160">
      <c r="A1160" s="6" t="n">
        <v>2012</v>
      </c>
      <c r="B1160" s="6" t="inlineStr">
        <is>
          <t>cobre</t>
        </is>
      </c>
      <c r="C1160" s="6" t="inlineStr">
        <is>
          <t>E2 Metal en bruto/refinado</t>
        </is>
      </c>
      <c r="D1160" s="6" t="inlineStr">
        <is>
          <t>M</t>
        </is>
      </c>
      <c r="E1160" s="6" t="n">
        <v>643725879</v>
      </c>
    </row>
    <row r="1161">
      <c r="A1161" s="9" t="n">
        <v>2012</v>
      </c>
      <c r="B1161" s="9" t="inlineStr">
        <is>
          <t>cobre</t>
        </is>
      </c>
      <c r="C1161" s="9" t="inlineStr">
        <is>
          <t>E2 Metal en bruto/refinado</t>
        </is>
      </c>
      <c r="D1161" s="9" t="inlineStr">
        <is>
          <t>X</t>
        </is>
      </c>
      <c r="E1161" s="9" t="n">
        <v>1173766546</v>
      </c>
    </row>
    <row r="1162">
      <c r="A1162" s="6" t="n">
        <v>2012</v>
      </c>
      <c r="B1162" s="6" t="inlineStr">
        <is>
          <t>cobre</t>
        </is>
      </c>
      <c r="C1162" s="6" t="inlineStr">
        <is>
          <t>E3 Semimanufacturas</t>
        </is>
      </c>
      <c r="D1162" s="6" t="inlineStr">
        <is>
          <t>M</t>
        </is>
      </c>
      <c r="E1162" s="6" t="n">
        <v>1796126178</v>
      </c>
    </row>
    <row r="1163">
      <c r="A1163" s="9" t="n">
        <v>2012</v>
      </c>
      <c r="B1163" s="9" t="inlineStr">
        <is>
          <t>cobre</t>
        </is>
      </c>
      <c r="C1163" s="9" t="inlineStr">
        <is>
          <t>E3 Semimanufacturas</t>
        </is>
      </c>
      <c r="D1163" s="9" t="inlineStr">
        <is>
          <t>X</t>
        </is>
      </c>
      <c r="E1163" s="9" t="n">
        <v>657836493</v>
      </c>
    </row>
    <row r="1164">
      <c r="A1164" s="6" t="n">
        <v>2012</v>
      </c>
      <c r="B1164" s="6" t="inlineStr">
        <is>
          <t>cobre</t>
        </is>
      </c>
      <c r="C1164" s="6" t="inlineStr">
        <is>
          <t>E4 Manufacturas</t>
        </is>
      </c>
      <c r="D1164" s="6" t="inlineStr">
        <is>
          <t>M</t>
        </is>
      </c>
      <c r="E1164" s="6" t="n">
        <v>331688723</v>
      </c>
    </row>
    <row r="1165">
      <c r="A1165" s="9" t="n">
        <v>2012</v>
      </c>
      <c r="B1165" s="9" t="inlineStr">
        <is>
          <t>cobre</t>
        </is>
      </c>
      <c r="C1165" s="9" t="inlineStr">
        <is>
          <t>E4 Manufacturas</t>
        </is>
      </c>
      <c r="D1165" s="9" t="inlineStr">
        <is>
          <t>X</t>
        </is>
      </c>
      <c r="E1165" s="9" t="n">
        <v>50515727</v>
      </c>
    </row>
    <row r="1166">
      <c r="A1166" s="6" t="n">
        <v>2012</v>
      </c>
      <c r="B1166" s="6" t="inlineStr">
        <is>
          <t>fluorita</t>
        </is>
      </c>
      <c r="C1166" s="6" t="inlineStr">
        <is>
          <t>E1 Espato fluor (crudo)</t>
        </is>
      </c>
      <c r="D1166" s="6" t="inlineStr">
        <is>
          <t>M</t>
        </is>
      </c>
      <c r="E1166" s="6" t="n">
        <v>150722</v>
      </c>
    </row>
    <row r="1167">
      <c r="A1167" s="9" t="n">
        <v>2012</v>
      </c>
      <c r="B1167" s="9" t="inlineStr">
        <is>
          <t>fluorita</t>
        </is>
      </c>
      <c r="C1167" s="9" t="inlineStr">
        <is>
          <t>E1 Espato fluor (crudo)</t>
        </is>
      </c>
      <c r="D1167" s="9" t="inlineStr">
        <is>
          <t>X</t>
        </is>
      </c>
      <c r="E1167" s="9" t="n">
        <v>207835946</v>
      </c>
    </row>
    <row r="1168">
      <c r="A1168" s="6" t="n">
        <v>2012</v>
      </c>
      <c r="B1168" s="6" t="inlineStr">
        <is>
          <t>fluorita</t>
        </is>
      </c>
      <c r="C1168" s="6" t="inlineStr">
        <is>
          <t>E2 Fluoroquimica</t>
        </is>
      </c>
      <c r="D1168" s="6" t="inlineStr">
        <is>
          <t>M</t>
        </is>
      </c>
      <c r="E1168" s="6" t="n">
        <v>35642020</v>
      </c>
    </row>
    <row r="1169">
      <c r="A1169" s="9" t="n">
        <v>2012</v>
      </c>
      <c r="B1169" s="9" t="inlineStr">
        <is>
          <t>fluorita</t>
        </is>
      </c>
      <c r="C1169" s="9" t="inlineStr">
        <is>
          <t>E2 Fluoroquimica</t>
        </is>
      </c>
      <c r="D1169" s="9" t="inlineStr">
        <is>
          <t>X</t>
        </is>
      </c>
      <c r="E1169" s="9" t="n">
        <v>244261432</v>
      </c>
    </row>
    <row r="1170">
      <c r="A1170" s="6" t="n">
        <v>2012</v>
      </c>
      <c r="B1170" s="6" t="inlineStr">
        <is>
          <t>grafito</t>
        </is>
      </c>
      <c r="C1170" s="6" t="inlineStr">
        <is>
          <t>E1 Grafito natural</t>
        </is>
      </c>
      <c r="D1170" s="6" t="inlineStr">
        <is>
          <t>M</t>
        </is>
      </c>
      <c r="E1170" s="6" t="n">
        <v>5182543</v>
      </c>
    </row>
    <row r="1171">
      <c r="A1171" s="9" t="n">
        <v>2012</v>
      </c>
      <c r="B1171" s="9" t="inlineStr">
        <is>
          <t>grafito</t>
        </is>
      </c>
      <c r="C1171" s="9" t="inlineStr">
        <is>
          <t>E1 Grafito natural</t>
        </is>
      </c>
      <c r="D1171" s="9" t="inlineStr">
        <is>
          <t>X</t>
        </is>
      </c>
      <c r="E1171" s="9" t="n">
        <v>7342268</v>
      </c>
    </row>
    <row r="1172">
      <c r="A1172" s="6" t="n">
        <v>2012</v>
      </c>
      <c r="B1172" s="6" t="inlineStr">
        <is>
          <t>grafito</t>
        </is>
      </c>
      <c r="C1172" s="6" t="inlineStr">
        <is>
          <t>E2 Grafito artificial/prep.</t>
        </is>
      </c>
      <c r="D1172" s="6" t="inlineStr">
        <is>
          <t>M</t>
        </is>
      </c>
      <c r="E1172" s="6" t="n">
        <v>28527042</v>
      </c>
    </row>
    <row r="1173">
      <c r="A1173" s="9" t="n">
        <v>2012</v>
      </c>
      <c r="B1173" s="9" t="inlineStr">
        <is>
          <t>grafito</t>
        </is>
      </c>
      <c r="C1173" s="9" t="inlineStr">
        <is>
          <t>E2 Grafito artificial/prep.</t>
        </is>
      </c>
      <c r="D1173" s="9" t="inlineStr">
        <is>
          <t>X</t>
        </is>
      </c>
      <c r="E1173" s="9" t="n">
        <v>22915790</v>
      </c>
    </row>
    <row r="1174">
      <c r="A1174" s="6" t="n">
        <v>2012</v>
      </c>
      <c r="B1174" s="6" t="inlineStr">
        <is>
          <t>grafito</t>
        </is>
      </c>
      <c r="C1174" s="6" t="inlineStr">
        <is>
          <t>E3 Electrodos/articulos de carbono</t>
        </is>
      </c>
      <c r="D1174" s="6" t="inlineStr">
        <is>
          <t>M</t>
        </is>
      </c>
      <c r="E1174" s="6" t="n">
        <v>120308617</v>
      </c>
    </row>
    <row r="1175">
      <c r="A1175" s="9" t="n">
        <v>2012</v>
      </c>
      <c r="B1175" s="9" t="inlineStr">
        <is>
          <t>grafito</t>
        </is>
      </c>
      <c r="C1175" s="9" t="inlineStr">
        <is>
          <t>E3 Electrodos/articulos de carbono</t>
        </is>
      </c>
      <c r="D1175" s="9" t="inlineStr">
        <is>
          <t>X</t>
        </is>
      </c>
      <c r="E1175" s="9" t="n">
        <v>119836696</v>
      </c>
    </row>
    <row r="1176">
      <c r="A1176" s="6" t="n">
        <v>2012</v>
      </c>
      <c r="B1176" s="6" t="inlineStr">
        <is>
          <t>manganeso</t>
        </is>
      </c>
      <c r="C1176" s="6" t="inlineStr">
        <is>
          <t>E1 Mena/concentrado</t>
        </is>
      </c>
      <c r="D1176" s="6" t="inlineStr">
        <is>
          <t>M</t>
        </is>
      </c>
      <c r="E1176" s="6" t="n">
        <v>34912180</v>
      </c>
    </row>
    <row r="1177">
      <c r="A1177" s="9" t="n">
        <v>2012</v>
      </c>
      <c r="B1177" s="9" t="inlineStr">
        <is>
          <t>manganeso</t>
        </is>
      </c>
      <c r="C1177" s="9" t="inlineStr">
        <is>
          <t>E1 Mena/concentrado</t>
        </is>
      </c>
      <c r="D1177" s="9" t="inlineStr">
        <is>
          <t>X</t>
        </is>
      </c>
      <c r="E1177" s="9" t="n">
        <v>3592455</v>
      </c>
    </row>
    <row r="1178">
      <c r="A1178" s="6" t="n">
        <v>2012</v>
      </c>
      <c r="B1178" s="6" t="inlineStr">
        <is>
          <t>manganeso</t>
        </is>
      </c>
      <c r="C1178" s="6" t="inlineStr">
        <is>
          <t>E2 Ferroaleaciones</t>
        </is>
      </c>
      <c r="D1178" s="6" t="inlineStr">
        <is>
          <t>M</t>
        </is>
      </c>
      <c r="E1178" s="6" t="n">
        <v>34761081</v>
      </c>
    </row>
    <row r="1179">
      <c r="A1179" s="9" t="n">
        <v>2012</v>
      </c>
      <c r="B1179" s="9" t="inlineStr">
        <is>
          <t>manganeso</t>
        </is>
      </c>
      <c r="C1179" s="9" t="inlineStr">
        <is>
          <t>E2 Ferroaleaciones</t>
        </is>
      </c>
      <c r="D1179" s="9" t="inlineStr">
        <is>
          <t>X</t>
        </is>
      </c>
      <c r="E1179" s="9" t="n">
        <v>84064418</v>
      </c>
    </row>
    <row r="1180">
      <c r="A1180" s="6" t="n">
        <v>2012</v>
      </c>
      <c r="B1180" s="6" t="inlineStr">
        <is>
          <t>manganeso</t>
        </is>
      </c>
      <c r="C1180" s="6" t="inlineStr">
        <is>
          <t>E3 Quimicos/metal</t>
        </is>
      </c>
      <c r="D1180" s="6" t="inlineStr">
        <is>
          <t>M</t>
        </is>
      </c>
      <c r="E1180" s="6" t="n">
        <v>8745110</v>
      </c>
    </row>
    <row r="1181">
      <c r="A1181" s="9" t="n">
        <v>2012</v>
      </c>
      <c r="B1181" s="9" t="inlineStr">
        <is>
          <t>manganeso</t>
        </is>
      </c>
      <c r="C1181" s="9" t="inlineStr">
        <is>
          <t>E3 Quimicos/metal</t>
        </is>
      </c>
      <c r="D1181" s="9" t="inlineStr">
        <is>
          <t>X</t>
        </is>
      </c>
      <c r="E1181" s="9" t="n">
        <v>1849397</v>
      </c>
    </row>
    <row r="1182">
      <c r="A1182" s="6" t="n">
        <v>2012</v>
      </c>
      <c r="B1182" s="6" t="inlineStr">
        <is>
          <t>oro</t>
        </is>
      </c>
      <c r="C1182" s="6" t="inlineStr">
        <is>
          <t>E1 Mena/concentrado</t>
        </is>
      </c>
      <c r="D1182" s="6" t="inlineStr">
        <is>
          <t>M</t>
        </is>
      </c>
      <c r="E1182" s="6" t="n">
        <v>26718</v>
      </c>
    </row>
    <row r="1183">
      <c r="A1183" s="9" t="n">
        <v>2012</v>
      </c>
      <c r="B1183" s="9" t="inlineStr">
        <is>
          <t>oro</t>
        </is>
      </c>
      <c r="C1183" s="9" t="inlineStr">
        <is>
          <t>E1 Mena/concentrado</t>
        </is>
      </c>
      <c r="D1183" s="9" t="inlineStr">
        <is>
          <t>X</t>
        </is>
      </c>
      <c r="E1183" s="9" t="n">
        <v>170876680</v>
      </c>
    </row>
    <row r="1184">
      <c r="A1184" s="6" t="n">
        <v>2012</v>
      </c>
      <c r="B1184" s="6" t="inlineStr">
        <is>
          <t>oro</t>
        </is>
      </c>
      <c r="C1184" s="6" t="inlineStr">
        <is>
          <t>E2 Bruto/semilabrado</t>
        </is>
      </c>
      <c r="D1184" s="6" t="inlineStr">
        <is>
          <t>M</t>
        </is>
      </c>
      <c r="E1184" s="6" t="n">
        <v>170333625</v>
      </c>
    </row>
    <row r="1185">
      <c r="A1185" s="9" t="n">
        <v>2012</v>
      </c>
      <c r="B1185" s="9" t="inlineStr">
        <is>
          <t>oro</t>
        </is>
      </c>
      <c r="C1185" s="9" t="inlineStr">
        <is>
          <t>E2 Bruto/semilabrado</t>
        </is>
      </c>
      <c r="D1185" s="9" t="inlineStr">
        <is>
          <t>X</t>
        </is>
      </c>
      <c r="E1185" s="9" t="n">
        <v>7974076269</v>
      </c>
    </row>
    <row r="1186">
      <c r="A1186" s="6" t="n">
        <v>2012</v>
      </c>
      <c r="B1186" s="6" t="inlineStr">
        <is>
          <t>oro-plata (manufacturas)</t>
        </is>
      </c>
      <c r="C1186" s="6" t="inlineStr">
        <is>
          <t>E4 Joyeria/orfebreria</t>
        </is>
      </c>
      <c r="D1186" s="6" t="inlineStr">
        <is>
          <t>M</t>
        </is>
      </c>
      <c r="E1186" s="6" t="n">
        <v>551473361</v>
      </c>
    </row>
    <row r="1187">
      <c r="A1187" s="9" t="n">
        <v>2012</v>
      </c>
      <c r="B1187" s="9" t="inlineStr">
        <is>
          <t>oro-plata (manufacturas)</t>
        </is>
      </c>
      <c r="C1187" s="9" t="inlineStr">
        <is>
          <t>E4 Joyeria/orfebreria</t>
        </is>
      </c>
      <c r="D1187" s="9" t="inlineStr">
        <is>
          <t>X</t>
        </is>
      </c>
      <c r="E1187" s="9" t="n">
        <v>528572883</v>
      </c>
    </row>
    <row r="1188">
      <c r="A1188" s="6" t="n">
        <v>2012</v>
      </c>
      <c r="B1188" s="6" t="inlineStr">
        <is>
          <t>plata</t>
        </is>
      </c>
      <c r="C1188" s="6" t="inlineStr">
        <is>
          <t>E1 Mena/concentrado</t>
        </is>
      </c>
      <c r="D1188" s="6" t="inlineStr">
        <is>
          <t>M</t>
        </is>
      </c>
      <c r="E1188" s="6" t="n">
        <v>74758538</v>
      </c>
    </row>
    <row r="1189">
      <c r="A1189" s="9" t="n">
        <v>2012</v>
      </c>
      <c r="B1189" s="9" t="inlineStr">
        <is>
          <t>plata</t>
        </is>
      </c>
      <c r="C1189" s="9" t="inlineStr">
        <is>
          <t>E1 Mena/concentrado</t>
        </is>
      </c>
      <c r="D1189" s="9" t="inlineStr">
        <is>
          <t>X</t>
        </is>
      </c>
      <c r="E1189" s="9" t="n">
        <v>36011593</v>
      </c>
    </row>
    <row r="1190">
      <c r="A1190" s="6" t="n">
        <v>2012</v>
      </c>
      <c r="B1190" s="6" t="inlineStr">
        <is>
          <t>plata</t>
        </is>
      </c>
      <c r="C1190" s="6" t="inlineStr">
        <is>
          <t>E2 Bruto/semilabrado</t>
        </is>
      </c>
      <c r="D1190" s="6" t="inlineStr">
        <is>
          <t>M</t>
        </is>
      </c>
      <c r="E1190" s="6" t="n">
        <v>96015571</v>
      </c>
    </row>
    <row r="1191">
      <c r="A1191" s="9" t="n">
        <v>2012</v>
      </c>
      <c r="B1191" s="9" t="inlineStr">
        <is>
          <t>plata</t>
        </is>
      </c>
      <c r="C1191" s="9" t="inlineStr">
        <is>
          <t>E2 Bruto/semilabrado</t>
        </is>
      </c>
      <c r="D1191" s="9" t="inlineStr">
        <is>
          <t>X</t>
        </is>
      </c>
      <c r="E1191" s="9" t="n">
        <v>4269669360</v>
      </c>
    </row>
    <row r="1192">
      <c r="A1192" s="6" t="n">
        <v>2012</v>
      </c>
      <c r="B1192" s="6" t="inlineStr">
        <is>
          <t>plomo</t>
        </is>
      </c>
      <c r="C1192" s="6" t="inlineStr">
        <is>
          <t>E1 Mena/concentrado</t>
        </is>
      </c>
      <c r="D1192" s="6" t="inlineStr">
        <is>
          <t>M</t>
        </is>
      </c>
      <c r="E1192" s="6" t="n">
        <v>35653192</v>
      </c>
    </row>
    <row r="1193">
      <c r="A1193" s="9" t="n">
        <v>2012</v>
      </c>
      <c r="B1193" s="9" t="inlineStr">
        <is>
          <t>plomo</t>
        </is>
      </c>
      <c r="C1193" s="9" t="inlineStr">
        <is>
          <t>E1 Mena/concentrado</t>
        </is>
      </c>
      <c r="D1193" s="9" t="inlineStr">
        <is>
          <t>X</t>
        </is>
      </c>
      <c r="E1193" s="9" t="n">
        <v>1556786147</v>
      </c>
    </row>
    <row r="1194">
      <c r="A1194" s="6" t="n">
        <v>2012</v>
      </c>
      <c r="B1194" s="6" t="inlineStr">
        <is>
          <t>plomo</t>
        </is>
      </c>
      <c r="C1194" s="6" t="inlineStr">
        <is>
          <t>E2 Metal en bruto/refinado</t>
        </is>
      </c>
      <c r="D1194" s="6" t="inlineStr">
        <is>
          <t>M</t>
        </is>
      </c>
      <c r="E1194" s="6" t="n">
        <v>34908996</v>
      </c>
    </row>
    <row r="1195">
      <c r="A1195" s="9" t="n">
        <v>2012</v>
      </c>
      <c r="B1195" s="9" t="inlineStr">
        <is>
          <t>plomo</t>
        </is>
      </c>
      <c r="C1195" s="9" t="inlineStr">
        <is>
          <t>E2 Metal en bruto/refinado</t>
        </is>
      </c>
      <c r="D1195" s="9" t="inlineStr">
        <is>
          <t>X</t>
        </is>
      </c>
      <c r="E1195" s="9" t="n">
        <v>217052892</v>
      </c>
    </row>
    <row r="1196">
      <c r="A1196" s="6" t="n">
        <v>2012</v>
      </c>
      <c r="B1196" s="6" t="inlineStr">
        <is>
          <t>plomo</t>
        </is>
      </c>
      <c r="C1196" s="6" t="inlineStr">
        <is>
          <t>E3 Semimanufacturas</t>
        </is>
      </c>
      <c r="D1196" s="6" t="inlineStr">
        <is>
          <t>M</t>
        </is>
      </c>
      <c r="E1196" s="6" t="n">
        <v>3930133</v>
      </c>
    </row>
    <row r="1197">
      <c r="A1197" s="9" t="n">
        <v>2012</v>
      </c>
      <c r="B1197" s="9" t="inlineStr">
        <is>
          <t>plomo</t>
        </is>
      </c>
      <c r="C1197" s="9" t="inlineStr">
        <is>
          <t>E3 Semimanufacturas</t>
        </is>
      </c>
      <c r="D1197" s="9" t="inlineStr">
        <is>
          <t>X</t>
        </is>
      </c>
      <c r="E1197" s="9" t="n">
        <v>1002613</v>
      </c>
    </row>
    <row r="1198">
      <c r="A1198" s="6" t="n">
        <v>2012</v>
      </c>
      <c r="B1198" s="6" t="inlineStr">
        <is>
          <t>plomo</t>
        </is>
      </c>
      <c r="C1198" s="6" t="inlineStr">
        <is>
          <t>E4 Manufacturas</t>
        </is>
      </c>
      <c r="D1198" s="6" t="inlineStr">
        <is>
          <t>M</t>
        </is>
      </c>
      <c r="E1198" s="6" t="n">
        <v>16431335</v>
      </c>
    </row>
    <row r="1199">
      <c r="A1199" s="9" t="n">
        <v>2012</v>
      </c>
      <c r="B1199" s="9" t="inlineStr">
        <is>
          <t>plomo</t>
        </is>
      </c>
      <c r="C1199" s="9" t="inlineStr">
        <is>
          <t>E4 Manufacturas</t>
        </is>
      </c>
      <c r="D1199" s="9" t="inlineStr">
        <is>
          <t>X</t>
        </is>
      </c>
      <c r="E1199" s="9" t="n">
        <v>7840881</v>
      </c>
    </row>
    <row r="1200">
      <c r="A1200" s="6" t="n">
        <v>2012</v>
      </c>
      <c r="B1200" s="6" t="inlineStr">
        <is>
          <t>silice</t>
        </is>
      </c>
      <c r="C1200" s="6" t="inlineStr">
        <is>
          <t>E1 Arena silica/cuarzo</t>
        </is>
      </c>
      <c r="D1200" s="6" t="inlineStr">
        <is>
          <t>M</t>
        </is>
      </c>
      <c r="E1200" s="6" t="n">
        <v>93524659</v>
      </c>
    </row>
    <row r="1201">
      <c r="A1201" s="9" t="n">
        <v>2012</v>
      </c>
      <c r="B1201" s="9" t="inlineStr">
        <is>
          <t>silice</t>
        </is>
      </c>
      <c r="C1201" s="9" t="inlineStr">
        <is>
          <t>E1 Arena silica/cuarzo</t>
        </is>
      </c>
      <c r="D1201" s="9" t="inlineStr">
        <is>
          <t>X</t>
        </is>
      </c>
      <c r="E1201" s="9" t="n">
        <v>1047996</v>
      </c>
    </row>
    <row r="1202">
      <c r="A1202" s="6" t="n">
        <v>2012</v>
      </c>
      <c r="B1202" s="6" t="inlineStr">
        <is>
          <t>silice</t>
        </is>
      </c>
      <c r="C1202" s="6" t="inlineStr">
        <is>
          <t>E2 Silicio/ferrosilicio/SiO2</t>
        </is>
      </c>
      <c r="D1202" s="6" t="inlineStr">
        <is>
          <t>M</t>
        </is>
      </c>
      <c r="E1202" s="6" t="n">
        <v>206368451</v>
      </c>
    </row>
    <row r="1203">
      <c r="A1203" s="9" t="n">
        <v>2012</v>
      </c>
      <c r="B1203" s="9" t="inlineStr">
        <is>
          <t>silice</t>
        </is>
      </c>
      <c r="C1203" s="9" t="inlineStr">
        <is>
          <t>E2 Silicio/ferrosilicio/SiO2</t>
        </is>
      </c>
      <c r="D1203" s="9" t="inlineStr">
        <is>
          <t>X</t>
        </is>
      </c>
      <c r="E1203" s="9" t="n">
        <v>4650019</v>
      </c>
    </row>
    <row r="1204">
      <c r="A1204" s="6" t="n">
        <v>2012</v>
      </c>
      <c r="B1204" s="6" t="inlineStr">
        <is>
          <t>zinc</t>
        </is>
      </c>
      <c r="C1204" s="6" t="inlineStr">
        <is>
          <t>E1 Mena/concentrado</t>
        </is>
      </c>
      <c r="D1204" s="6" t="inlineStr">
        <is>
          <t>M</t>
        </is>
      </c>
      <c r="E1204" s="6" t="n">
        <v>14761826</v>
      </c>
    </row>
    <row r="1205">
      <c r="A1205" s="9" t="n">
        <v>2012</v>
      </c>
      <c r="B1205" s="9" t="inlineStr">
        <is>
          <t>zinc</t>
        </is>
      </c>
      <c r="C1205" s="9" t="inlineStr">
        <is>
          <t>E1 Mena/concentrado</t>
        </is>
      </c>
      <c r="D1205" s="9" t="inlineStr">
        <is>
          <t>X</t>
        </is>
      </c>
      <c r="E1205" s="9" t="n">
        <v>499961383</v>
      </c>
    </row>
    <row r="1206">
      <c r="A1206" s="6" t="n">
        <v>2012</v>
      </c>
      <c r="B1206" s="6" t="inlineStr">
        <is>
          <t>zinc</t>
        </is>
      </c>
      <c r="C1206" s="6" t="inlineStr">
        <is>
          <t>E2 Metal en bruto/refinado</t>
        </is>
      </c>
      <c r="D1206" s="6" t="inlineStr">
        <is>
          <t>M</t>
        </is>
      </c>
      <c r="E1206" s="6" t="n">
        <v>39132421</v>
      </c>
    </row>
    <row r="1207">
      <c r="A1207" s="9" t="n">
        <v>2012</v>
      </c>
      <c r="B1207" s="9" t="inlineStr">
        <is>
          <t>zinc</t>
        </is>
      </c>
      <c r="C1207" s="9" t="inlineStr">
        <is>
          <t>E2 Metal en bruto/refinado</t>
        </is>
      </c>
      <c r="D1207" s="9" t="inlineStr">
        <is>
          <t>X</t>
        </is>
      </c>
      <c r="E1207" s="9" t="n">
        <v>387819946</v>
      </c>
    </row>
    <row r="1208">
      <c r="A1208" s="6" t="n">
        <v>2012</v>
      </c>
      <c r="B1208" s="6" t="inlineStr">
        <is>
          <t>zinc</t>
        </is>
      </c>
      <c r="C1208" s="6" t="inlineStr">
        <is>
          <t>E3 Semimanufacturas</t>
        </is>
      </c>
      <c r="D1208" s="6" t="inlineStr">
        <is>
          <t>M</t>
        </is>
      </c>
      <c r="E1208" s="6" t="n">
        <v>29575433</v>
      </c>
    </row>
    <row r="1209">
      <c r="A1209" s="9" t="n">
        <v>2012</v>
      </c>
      <c r="B1209" s="9" t="inlineStr">
        <is>
          <t>zinc</t>
        </is>
      </c>
      <c r="C1209" s="9" t="inlineStr">
        <is>
          <t>E3 Semimanufacturas</t>
        </is>
      </c>
      <c r="D1209" s="9" t="inlineStr">
        <is>
          <t>X</t>
        </is>
      </c>
      <c r="E1209" s="9" t="n">
        <v>8473968</v>
      </c>
    </row>
    <row r="1210">
      <c r="A1210" s="6" t="n">
        <v>2012</v>
      </c>
      <c r="B1210" s="6" t="inlineStr">
        <is>
          <t>zinc</t>
        </is>
      </c>
      <c r="C1210" s="6" t="inlineStr">
        <is>
          <t>E4 Manufacturas</t>
        </is>
      </c>
      <c r="D1210" s="6" t="inlineStr">
        <is>
          <t>M</t>
        </is>
      </c>
      <c r="E1210" s="6" t="n">
        <v>51229874</v>
      </c>
    </row>
    <row r="1211">
      <c r="A1211" s="9" t="n">
        <v>2012</v>
      </c>
      <c r="B1211" s="9" t="inlineStr">
        <is>
          <t>zinc</t>
        </is>
      </c>
      <c r="C1211" s="9" t="inlineStr">
        <is>
          <t>E4 Manufacturas</t>
        </is>
      </c>
      <c r="D1211" s="9" t="inlineStr">
        <is>
          <t>X</t>
        </is>
      </c>
      <c r="E1211" s="9" t="n">
        <v>19460506</v>
      </c>
    </row>
    <row r="1212">
      <c r="A1212" s="6" t="n">
        <v>2013</v>
      </c>
      <c r="B1212" s="6" t="inlineStr">
        <is>
          <t>barita</t>
        </is>
      </c>
      <c r="C1212" s="6" t="inlineStr">
        <is>
          <t>E1 Crudo/molido</t>
        </is>
      </c>
      <c r="D1212" s="6" t="inlineStr">
        <is>
          <t>M</t>
        </is>
      </c>
      <c r="E1212" s="6" t="n">
        <v>14289184</v>
      </c>
    </row>
    <row r="1213">
      <c r="A1213" s="9" t="n">
        <v>2013</v>
      </c>
      <c r="B1213" s="9" t="inlineStr">
        <is>
          <t>barita</t>
        </is>
      </c>
      <c r="C1213" s="9" t="inlineStr">
        <is>
          <t>E1 Crudo/molido</t>
        </is>
      </c>
      <c r="D1213" s="9" t="inlineStr">
        <is>
          <t>X</t>
        </is>
      </c>
      <c r="E1213" s="9" t="n">
        <v>28863901</v>
      </c>
    </row>
    <row r="1214">
      <c r="A1214" s="6" t="n">
        <v>2013</v>
      </c>
      <c r="B1214" s="6" t="inlineStr">
        <is>
          <t>barita</t>
        </is>
      </c>
      <c r="C1214" s="6" t="inlineStr">
        <is>
          <t>E2 Quimicos de bario</t>
        </is>
      </c>
      <c r="D1214" s="6" t="inlineStr">
        <is>
          <t>M</t>
        </is>
      </c>
      <c r="E1214" s="6" t="n">
        <v>3436040</v>
      </c>
    </row>
    <row r="1215">
      <c r="A1215" s="9" t="n">
        <v>2013</v>
      </c>
      <c r="B1215" s="9" t="inlineStr">
        <is>
          <t>barita</t>
        </is>
      </c>
      <c r="C1215" s="9" t="inlineStr">
        <is>
          <t>E2 Quimicos de bario</t>
        </is>
      </c>
      <c r="D1215" s="9" t="inlineStr">
        <is>
          <t>X</t>
        </is>
      </c>
      <c r="E1215" s="9" t="n">
        <v>5247</v>
      </c>
    </row>
    <row r="1216">
      <c r="A1216" s="6" t="n">
        <v>2013</v>
      </c>
      <c r="B1216" s="6" t="inlineStr">
        <is>
          <t>cobre</t>
        </is>
      </c>
      <c r="C1216" s="6" t="inlineStr">
        <is>
          <t>E1 Mena/concentrado</t>
        </is>
      </c>
      <c r="D1216" s="6" t="inlineStr">
        <is>
          <t>M</t>
        </is>
      </c>
      <c r="E1216" s="6" t="n">
        <v>195992835</v>
      </c>
    </row>
    <row r="1217">
      <c r="A1217" s="9" t="n">
        <v>2013</v>
      </c>
      <c r="B1217" s="9" t="inlineStr">
        <is>
          <t>cobre</t>
        </is>
      </c>
      <c r="C1217" s="9" t="inlineStr">
        <is>
          <t>E1 Mena/concentrado</t>
        </is>
      </c>
      <c r="D1217" s="9" t="inlineStr">
        <is>
          <t>X</t>
        </is>
      </c>
      <c r="E1217" s="9" t="n">
        <v>1486416565</v>
      </c>
    </row>
    <row r="1218">
      <c r="A1218" s="6" t="n">
        <v>2013</v>
      </c>
      <c r="B1218" s="6" t="inlineStr">
        <is>
          <t>cobre</t>
        </is>
      </c>
      <c r="C1218" s="6" t="inlineStr">
        <is>
          <t>E2 Metal en bruto/refinado</t>
        </is>
      </c>
      <c r="D1218" s="6" t="inlineStr">
        <is>
          <t>M</t>
        </is>
      </c>
      <c r="E1218" s="6" t="n">
        <v>570170762</v>
      </c>
    </row>
    <row r="1219">
      <c r="A1219" s="9" t="n">
        <v>2013</v>
      </c>
      <c r="B1219" s="9" t="inlineStr">
        <is>
          <t>cobre</t>
        </is>
      </c>
      <c r="C1219" s="9" t="inlineStr">
        <is>
          <t>E2 Metal en bruto/refinado</t>
        </is>
      </c>
      <c r="D1219" s="9" t="inlineStr">
        <is>
          <t>X</t>
        </is>
      </c>
      <c r="E1219" s="9" t="n">
        <v>686240869</v>
      </c>
    </row>
    <row r="1220">
      <c r="A1220" s="6" t="n">
        <v>2013</v>
      </c>
      <c r="B1220" s="6" t="inlineStr">
        <is>
          <t>cobre</t>
        </is>
      </c>
      <c r="C1220" s="6" t="inlineStr">
        <is>
          <t>E3 Semimanufacturas</t>
        </is>
      </c>
      <c r="D1220" s="6" t="inlineStr">
        <is>
          <t>M</t>
        </is>
      </c>
      <c r="E1220" s="6" t="n">
        <v>1841421483</v>
      </c>
    </row>
    <row r="1221">
      <c r="A1221" s="9" t="n">
        <v>2013</v>
      </c>
      <c r="B1221" s="9" t="inlineStr">
        <is>
          <t>cobre</t>
        </is>
      </c>
      <c r="C1221" s="9" t="inlineStr">
        <is>
          <t>E3 Semimanufacturas</t>
        </is>
      </c>
      <c r="D1221" s="9" t="inlineStr">
        <is>
          <t>X</t>
        </is>
      </c>
      <c r="E1221" s="9" t="n">
        <v>651056794</v>
      </c>
    </row>
    <row r="1222">
      <c r="A1222" s="6" t="n">
        <v>2013</v>
      </c>
      <c r="B1222" s="6" t="inlineStr">
        <is>
          <t>cobre</t>
        </is>
      </c>
      <c r="C1222" s="6" t="inlineStr">
        <is>
          <t>E4 Manufacturas</t>
        </is>
      </c>
      <c r="D1222" s="6" t="inlineStr">
        <is>
          <t>M</t>
        </is>
      </c>
      <c r="E1222" s="6" t="n">
        <v>348973664</v>
      </c>
    </row>
    <row r="1223">
      <c r="A1223" s="9" t="n">
        <v>2013</v>
      </c>
      <c r="B1223" s="9" t="inlineStr">
        <is>
          <t>cobre</t>
        </is>
      </c>
      <c r="C1223" s="9" t="inlineStr">
        <is>
          <t>E4 Manufacturas</t>
        </is>
      </c>
      <c r="D1223" s="9" t="inlineStr">
        <is>
          <t>X</t>
        </is>
      </c>
      <c r="E1223" s="9" t="n">
        <v>46582968</v>
      </c>
    </row>
    <row r="1224">
      <c r="A1224" s="6" t="n">
        <v>2013</v>
      </c>
      <c r="B1224" s="6" t="inlineStr">
        <is>
          <t>fluorita</t>
        </is>
      </c>
      <c r="C1224" s="6" t="inlineStr">
        <is>
          <t>E1 Espato fluor (crudo)</t>
        </is>
      </c>
      <c r="D1224" s="6" t="inlineStr">
        <is>
          <t>M</t>
        </is>
      </c>
      <c r="E1224" s="6" t="n">
        <v>162622</v>
      </c>
    </row>
    <row r="1225">
      <c r="A1225" s="9" t="n">
        <v>2013</v>
      </c>
      <c r="B1225" s="9" t="inlineStr">
        <is>
          <t>fluorita</t>
        </is>
      </c>
      <c r="C1225" s="9" t="inlineStr">
        <is>
          <t>E1 Espato fluor (crudo)</t>
        </is>
      </c>
      <c r="D1225" s="9" t="inlineStr">
        <is>
          <t>X</t>
        </is>
      </c>
      <c r="E1225" s="9" t="n">
        <v>164211292</v>
      </c>
    </row>
    <row r="1226">
      <c r="A1226" s="6" t="n">
        <v>2013</v>
      </c>
      <c r="B1226" s="6" t="inlineStr">
        <is>
          <t>fluorita</t>
        </is>
      </c>
      <c r="C1226" s="6" t="inlineStr">
        <is>
          <t>E2 Fluoroquimica</t>
        </is>
      </c>
      <c r="D1226" s="6" t="inlineStr">
        <is>
          <t>M</t>
        </is>
      </c>
      <c r="E1226" s="6" t="n">
        <v>36514196</v>
      </c>
    </row>
    <row r="1227">
      <c r="A1227" s="9" t="n">
        <v>2013</v>
      </c>
      <c r="B1227" s="9" t="inlineStr">
        <is>
          <t>fluorita</t>
        </is>
      </c>
      <c r="C1227" s="9" t="inlineStr">
        <is>
          <t>E2 Fluoroquimica</t>
        </is>
      </c>
      <c r="D1227" s="9" t="inlineStr">
        <is>
          <t>X</t>
        </is>
      </c>
      <c r="E1227" s="9" t="n">
        <v>212052468</v>
      </c>
    </row>
    <row r="1228">
      <c r="A1228" s="6" t="n">
        <v>2013</v>
      </c>
      <c r="B1228" s="6" t="inlineStr">
        <is>
          <t>grafito</t>
        </is>
      </c>
      <c r="C1228" s="6" t="inlineStr">
        <is>
          <t>E1 Grafito natural</t>
        </is>
      </c>
      <c r="D1228" s="6" t="inlineStr">
        <is>
          <t>M</t>
        </is>
      </c>
      <c r="E1228" s="6" t="n">
        <v>5372411</v>
      </c>
    </row>
    <row r="1229">
      <c r="A1229" s="9" t="n">
        <v>2013</v>
      </c>
      <c r="B1229" s="9" t="inlineStr">
        <is>
          <t>grafito</t>
        </is>
      </c>
      <c r="C1229" s="9" t="inlineStr">
        <is>
          <t>E1 Grafito natural</t>
        </is>
      </c>
      <c r="D1229" s="9" t="inlineStr">
        <is>
          <t>X</t>
        </is>
      </c>
      <c r="E1229" s="9" t="n">
        <v>7102214</v>
      </c>
    </row>
    <row r="1230">
      <c r="A1230" s="6" t="n">
        <v>2013</v>
      </c>
      <c r="B1230" s="6" t="inlineStr">
        <is>
          <t>grafito</t>
        </is>
      </c>
      <c r="C1230" s="6" t="inlineStr">
        <is>
          <t>E2 Grafito artificial/prep.</t>
        </is>
      </c>
      <c r="D1230" s="6" t="inlineStr">
        <is>
          <t>M</t>
        </is>
      </c>
      <c r="E1230" s="6" t="n">
        <v>27474014</v>
      </c>
    </row>
    <row r="1231">
      <c r="A1231" s="9" t="n">
        <v>2013</v>
      </c>
      <c r="B1231" s="9" t="inlineStr">
        <is>
          <t>grafito</t>
        </is>
      </c>
      <c r="C1231" s="9" t="inlineStr">
        <is>
          <t>E2 Grafito artificial/prep.</t>
        </is>
      </c>
      <c r="D1231" s="9" t="inlineStr">
        <is>
          <t>X</t>
        </is>
      </c>
      <c r="E1231" s="9" t="n">
        <v>26682474</v>
      </c>
    </row>
    <row r="1232">
      <c r="A1232" s="6" t="n">
        <v>2013</v>
      </c>
      <c r="B1232" s="6" t="inlineStr">
        <is>
          <t>grafito</t>
        </is>
      </c>
      <c r="C1232" s="6" t="inlineStr">
        <is>
          <t>E3 Electrodos/articulos de carbono</t>
        </is>
      </c>
      <c r="D1232" s="6" t="inlineStr">
        <is>
          <t>M</t>
        </is>
      </c>
      <c r="E1232" s="6" t="n">
        <v>95913754</v>
      </c>
    </row>
    <row r="1233">
      <c r="A1233" s="9" t="n">
        <v>2013</v>
      </c>
      <c r="B1233" s="9" t="inlineStr">
        <is>
          <t>grafito</t>
        </is>
      </c>
      <c r="C1233" s="9" t="inlineStr">
        <is>
          <t>E3 Electrodos/articulos de carbono</t>
        </is>
      </c>
      <c r="D1233" s="9" t="inlineStr">
        <is>
          <t>X</t>
        </is>
      </c>
      <c r="E1233" s="9" t="n">
        <v>111952011</v>
      </c>
    </row>
    <row r="1234">
      <c r="A1234" s="6" t="n">
        <v>2013</v>
      </c>
      <c r="B1234" s="6" t="inlineStr">
        <is>
          <t>manganeso</t>
        </is>
      </c>
      <c r="C1234" s="6" t="inlineStr">
        <is>
          <t>E1 Mena/concentrado</t>
        </is>
      </c>
      <c r="D1234" s="6" t="inlineStr">
        <is>
          <t>M</t>
        </is>
      </c>
      <c r="E1234" s="6" t="n">
        <v>10853699</v>
      </c>
    </row>
    <row r="1235">
      <c r="A1235" s="9" t="n">
        <v>2013</v>
      </c>
      <c r="B1235" s="9" t="inlineStr">
        <is>
          <t>manganeso</t>
        </is>
      </c>
      <c r="C1235" s="9" t="inlineStr">
        <is>
          <t>E1 Mena/concentrado</t>
        </is>
      </c>
      <c r="D1235" s="9" t="inlineStr">
        <is>
          <t>X</t>
        </is>
      </c>
      <c r="E1235" s="9" t="n">
        <v>11065299</v>
      </c>
    </row>
    <row r="1236">
      <c r="A1236" s="6" t="n">
        <v>2013</v>
      </c>
      <c r="B1236" s="6" t="inlineStr">
        <is>
          <t>manganeso</t>
        </is>
      </c>
      <c r="C1236" s="6" t="inlineStr">
        <is>
          <t>E2 Ferroaleaciones</t>
        </is>
      </c>
      <c r="D1236" s="6" t="inlineStr">
        <is>
          <t>M</t>
        </is>
      </c>
      <c r="E1236" s="6" t="n">
        <v>25236681</v>
      </c>
    </row>
    <row r="1237">
      <c r="A1237" s="9" t="n">
        <v>2013</v>
      </c>
      <c r="B1237" s="9" t="inlineStr">
        <is>
          <t>manganeso</t>
        </is>
      </c>
      <c r="C1237" s="9" t="inlineStr">
        <is>
          <t>E2 Ferroaleaciones</t>
        </is>
      </c>
      <c r="D1237" s="9" t="inlineStr">
        <is>
          <t>X</t>
        </is>
      </c>
      <c r="E1237" s="9" t="n">
        <v>51491781</v>
      </c>
    </row>
    <row r="1238">
      <c r="A1238" s="6" t="n">
        <v>2013</v>
      </c>
      <c r="B1238" s="6" t="inlineStr">
        <is>
          <t>manganeso</t>
        </is>
      </c>
      <c r="C1238" s="6" t="inlineStr">
        <is>
          <t>E3 Quimicos/metal</t>
        </is>
      </c>
      <c r="D1238" s="6" t="inlineStr">
        <is>
          <t>M</t>
        </is>
      </c>
      <c r="E1238" s="6" t="n">
        <v>10295345</v>
      </c>
    </row>
    <row r="1239">
      <c r="A1239" s="9" t="n">
        <v>2013</v>
      </c>
      <c r="B1239" s="9" t="inlineStr">
        <is>
          <t>manganeso</t>
        </is>
      </c>
      <c r="C1239" s="9" t="inlineStr">
        <is>
          <t>E3 Quimicos/metal</t>
        </is>
      </c>
      <c r="D1239" s="9" t="inlineStr">
        <is>
          <t>X</t>
        </is>
      </c>
      <c r="E1239" s="9" t="n">
        <v>2617203</v>
      </c>
    </row>
    <row r="1240">
      <c r="A1240" s="6" t="n">
        <v>2013</v>
      </c>
      <c r="B1240" s="6" t="inlineStr">
        <is>
          <t>oro</t>
        </is>
      </c>
      <c r="C1240" s="6" t="inlineStr">
        <is>
          <t>E1 Mena/concentrado</t>
        </is>
      </c>
      <c r="D1240" s="6" t="inlineStr">
        <is>
          <t>M</t>
        </is>
      </c>
      <c r="E1240" s="6" t="n">
        <v>8140</v>
      </c>
    </row>
    <row r="1241">
      <c r="A1241" s="9" t="n">
        <v>2013</v>
      </c>
      <c r="B1241" s="9" t="inlineStr">
        <is>
          <t>oro</t>
        </is>
      </c>
      <c r="C1241" s="9" t="inlineStr">
        <is>
          <t>E1 Mena/concentrado</t>
        </is>
      </c>
      <c r="D1241" s="9" t="inlineStr">
        <is>
          <t>X</t>
        </is>
      </c>
      <c r="E1241" s="9" t="n">
        <v>228701307</v>
      </c>
    </row>
    <row r="1242">
      <c r="A1242" s="6" t="n">
        <v>2013</v>
      </c>
      <c r="B1242" s="6" t="inlineStr">
        <is>
          <t>oro</t>
        </is>
      </c>
      <c r="C1242" s="6" t="inlineStr">
        <is>
          <t>E2 Bruto/semilabrado</t>
        </is>
      </c>
      <c r="D1242" s="6" t="inlineStr">
        <is>
          <t>M</t>
        </is>
      </c>
      <c r="E1242" s="6" t="n">
        <v>140882683</v>
      </c>
    </row>
    <row r="1243">
      <c r="A1243" s="9" t="n">
        <v>2013</v>
      </c>
      <c r="B1243" s="9" t="inlineStr">
        <is>
          <t>oro</t>
        </is>
      </c>
      <c r="C1243" s="9" t="inlineStr">
        <is>
          <t>E2 Bruto/semilabrado</t>
        </is>
      </c>
      <c r="D1243" s="9" t="inlineStr">
        <is>
          <t>X</t>
        </is>
      </c>
      <c r="E1243" s="9" t="n">
        <v>5816271418</v>
      </c>
    </row>
    <row r="1244">
      <c r="A1244" s="6" t="n">
        <v>2013</v>
      </c>
      <c r="B1244" s="6" t="inlineStr">
        <is>
          <t>oro-plata (manufacturas)</t>
        </is>
      </c>
      <c r="C1244" s="6" t="inlineStr">
        <is>
          <t>E4 Joyeria/orfebreria</t>
        </is>
      </c>
      <c r="D1244" s="6" t="inlineStr">
        <is>
          <t>M</t>
        </is>
      </c>
      <c r="E1244" s="6" t="n">
        <v>555608589</v>
      </c>
    </row>
    <row r="1245">
      <c r="A1245" s="9" t="n">
        <v>2013</v>
      </c>
      <c r="B1245" s="9" t="inlineStr">
        <is>
          <t>oro-plata (manufacturas)</t>
        </is>
      </c>
      <c r="C1245" s="9" t="inlineStr">
        <is>
          <t>E4 Joyeria/orfebreria</t>
        </is>
      </c>
      <c r="D1245" s="9" t="inlineStr">
        <is>
          <t>X</t>
        </is>
      </c>
      <c r="E1245" s="9" t="n">
        <v>510580647</v>
      </c>
    </row>
    <row r="1246">
      <c r="A1246" s="6" t="n">
        <v>2013</v>
      </c>
      <c r="B1246" s="6" t="inlineStr">
        <is>
          <t>plata</t>
        </is>
      </c>
      <c r="C1246" s="6" t="inlineStr">
        <is>
          <t>E1 Mena/concentrado</t>
        </is>
      </c>
      <c r="D1246" s="6" t="inlineStr">
        <is>
          <t>M</t>
        </is>
      </c>
      <c r="E1246" s="6" t="n">
        <v>18798012</v>
      </c>
    </row>
    <row r="1247">
      <c r="A1247" s="9" t="n">
        <v>2013</v>
      </c>
      <c r="B1247" s="9" t="inlineStr">
        <is>
          <t>plata</t>
        </is>
      </c>
      <c r="C1247" s="9" t="inlineStr">
        <is>
          <t>E1 Mena/concentrado</t>
        </is>
      </c>
      <c r="D1247" s="9" t="inlineStr">
        <is>
          <t>X</t>
        </is>
      </c>
      <c r="E1247" s="9" t="n">
        <v>2274437</v>
      </c>
    </row>
    <row r="1248">
      <c r="A1248" s="6" t="n">
        <v>2013</v>
      </c>
      <c r="B1248" s="6" t="inlineStr">
        <is>
          <t>plata</t>
        </is>
      </c>
      <c r="C1248" s="6" t="inlineStr">
        <is>
          <t>E2 Bruto/semilabrado</t>
        </is>
      </c>
      <c r="D1248" s="6" t="inlineStr">
        <is>
          <t>M</t>
        </is>
      </c>
      <c r="E1248" s="6" t="n">
        <v>150369731</v>
      </c>
    </row>
    <row r="1249">
      <c r="A1249" s="9" t="n">
        <v>2013</v>
      </c>
      <c r="B1249" s="9" t="inlineStr">
        <is>
          <t>plata</t>
        </is>
      </c>
      <c r="C1249" s="9" t="inlineStr">
        <is>
          <t>E2 Bruto/semilabrado</t>
        </is>
      </c>
      <c r="D1249" s="9" t="inlineStr">
        <is>
          <t>X</t>
        </is>
      </c>
      <c r="E1249" s="9" t="n">
        <v>3121139286</v>
      </c>
    </row>
    <row r="1250">
      <c r="A1250" s="6" t="n">
        <v>2013</v>
      </c>
      <c r="B1250" s="6" t="inlineStr">
        <is>
          <t>plomo</t>
        </is>
      </c>
      <c r="C1250" s="6" t="inlineStr">
        <is>
          <t>E1 Mena/concentrado</t>
        </is>
      </c>
      <c r="D1250" s="6" t="inlineStr">
        <is>
          <t>M</t>
        </is>
      </c>
      <c r="E1250" s="6" t="n">
        <v>45778831</v>
      </c>
    </row>
    <row r="1251">
      <c r="A1251" s="9" t="n">
        <v>2013</v>
      </c>
      <c r="B1251" s="9" t="inlineStr">
        <is>
          <t>plomo</t>
        </is>
      </c>
      <c r="C1251" s="9" t="inlineStr">
        <is>
          <t>E1 Mena/concentrado</t>
        </is>
      </c>
      <c r="D1251" s="9" t="inlineStr">
        <is>
          <t>X</t>
        </is>
      </c>
      <c r="E1251" s="9" t="n">
        <v>1119233415</v>
      </c>
    </row>
    <row r="1252">
      <c r="A1252" s="6" t="n">
        <v>2013</v>
      </c>
      <c r="B1252" s="6" t="inlineStr">
        <is>
          <t>plomo</t>
        </is>
      </c>
      <c r="C1252" s="6" t="inlineStr">
        <is>
          <t>E2 Metal en bruto/refinado</t>
        </is>
      </c>
      <c r="D1252" s="6" t="inlineStr">
        <is>
          <t>M</t>
        </is>
      </c>
      <c r="E1252" s="6" t="n">
        <v>42123814</v>
      </c>
    </row>
    <row r="1253">
      <c r="A1253" s="9" t="n">
        <v>2013</v>
      </c>
      <c r="B1253" s="9" t="inlineStr">
        <is>
          <t>plomo</t>
        </is>
      </c>
      <c r="C1253" s="9" t="inlineStr">
        <is>
          <t>E2 Metal en bruto/refinado</t>
        </is>
      </c>
      <c r="D1253" s="9" t="inlineStr">
        <is>
          <t>X</t>
        </is>
      </c>
      <c r="E1253" s="9" t="n">
        <v>232936591</v>
      </c>
    </row>
    <row r="1254">
      <c r="A1254" s="6" t="n">
        <v>2013</v>
      </c>
      <c r="B1254" s="6" t="inlineStr">
        <is>
          <t>plomo</t>
        </is>
      </c>
      <c r="C1254" s="6" t="inlineStr">
        <is>
          <t>E3 Semimanufacturas</t>
        </is>
      </c>
      <c r="D1254" s="6" t="inlineStr">
        <is>
          <t>M</t>
        </is>
      </c>
      <c r="E1254" s="6" t="n">
        <v>4387823</v>
      </c>
    </row>
    <row r="1255">
      <c r="A1255" s="9" t="n">
        <v>2013</v>
      </c>
      <c r="B1255" s="9" t="inlineStr">
        <is>
          <t>plomo</t>
        </is>
      </c>
      <c r="C1255" s="9" t="inlineStr">
        <is>
          <t>E3 Semimanufacturas</t>
        </is>
      </c>
      <c r="D1255" s="9" t="inlineStr">
        <is>
          <t>X</t>
        </is>
      </c>
      <c r="E1255" s="9" t="n">
        <v>50814</v>
      </c>
    </row>
    <row r="1256">
      <c r="A1256" s="6" t="n">
        <v>2013</v>
      </c>
      <c r="B1256" s="6" t="inlineStr">
        <is>
          <t>plomo</t>
        </is>
      </c>
      <c r="C1256" s="6" t="inlineStr">
        <is>
          <t>E4 Manufacturas</t>
        </is>
      </c>
      <c r="D1256" s="6" t="inlineStr">
        <is>
          <t>M</t>
        </is>
      </c>
      <c r="E1256" s="6" t="n">
        <v>17063731</v>
      </c>
    </row>
    <row r="1257">
      <c r="A1257" s="9" t="n">
        <v>2013</v>
      </c>
      <c r="B1257" s="9" t="inlineStr">
        <is>
          <t>plomo</t>
        </is>
      </c>
      <c r="C1257" s="9" t="inlineStr">
        <is>
          <t>E4 Manufacturas</t>
        </is>
      </c>
      <c r="D1257" s="9" t="inlineStr">
        <is>
          <t>X</t>
        </is>
      </c>
      <c r="E1257" s="9" t="n">
        <v>11744015</v>
      </c>
    </row>
    <row r="1258">
      <c r="A1258" s="6" t="n">
        <v>2013</v>
      </c>
      <c r="B1258" s="6" t="inlineStr">
        <is>
          <t>silice</t>
        </is>
      </c>
      <c r="C1258" s="6" t="inlineStr">
        <is>
          <t>E1 Arena silica/cuarzo</t>
        </is>
      </c>
      <c r="D1258" s="6" t="inlineStr">
        <is>
          <t>M</t>
        </is>
      </c>
      <c r="E1258" s="6" t="n">
        <v>93755773</v>
      </c>
    </row>
    <row r="1259">
      <c r="A1259" s="9" t="n">
        <v>2013</v>
      </c>
      <c r="B1259" s="9" t="inlineStr">
        <is>
          <t>silice</t>
        </is>
      </c>
      <c r="C1259" s="9" t="inlineStr">
        <is>
          <t>E1 Arena silica/cuarzo</t>
        </is>
      </c>
      <c r="D1259" s="9" t="inlineStr">
        <is>
          <t>X</t>
        </is>
      </c>
      <c r="E1259" s="9" t="n">
        <v>2163162</v>
      </c>
    </row>
    <row r="1260">
      <c r="A1260" s="6" t="n">
        <v>2013</v>
      </c>
      <c r="B1260" s="6" t="inlineStr">
        <is>
          <t>silice</t>
        </is>
      </c>
      <c r="C1260" s="6" t="inlineStr">
        <is>
          <t>E2 Silicio/ferrosilicio/SiO2</t>
        </is>
      </c>
      <c r="D1260" s="6" t="inlineStr">
        <is>
          <t>M</t>
        </is>
      </c>
      <c r="E1260" s="6" t="n">
        <v>189922819</v>
      </c>
    </row>
    <row r="1261">
      <c r="A1261" s="9" t="n">
        <v>2013</v>
      </c>
      <c r="B1261" s="9" t="inlineStr">
        <is>
          <t>silice</t>
        </is>
      </c>
      <c r="C1261" s="9" t="inlineStr">
        <is>
          <t>E2 Silicio/ferrosilicio/SiO2</t>
        </is>
      </c>
      <c r="D1261" s="9" t="inlineStr">
        <is>
          <t>X</t>
        </is>
      </c>
      <c r="E1261" s="9" t="n">
        <v>5835147</v>
      </c>
    </row>
    <row r="1262">
      <c r="A1262" s="6" t="n">
        <v>2013</v>
      </c>
      <c r="B1262" s="6" t="inlineStr">
        <is>
          <t>zinc</t>
        </is>
      </c>
      <c r="C1262" s="6" t="inlineStr">
        <is>
          <t>E1 Mena/concentrado</t>
        </is>
      </c>
      <c r="D1262" s="6" t="inlineStr">
        <is>
          <t>M</t>
        </is>
      </c>
      <c r="E1262" s="6" t="n">
        <v>11159583</v>
      </c>
    </row>
    <row r="1263">
      <c r="A1263" s="9" t="n">
        <v>2013</v>
      </c>
      <c r="B1263" s="9" t="inlineStr">
        <is>
          <t>zinc</t>
        </is>
      </c>
      <c r="C1263" s="9" t="inlineStr">
        <is>
          <t>E1 Mena/concentrado</t>
        </is>
      </c>
      <c r="D1263" s="9" t="inlineStr">
        <is>
          <t>X</t>
        </is>
      </c>
      <c r="E1263" s="9" t="n">
        <v>409476638</v>
      </c>
    </row>
    <row r="1264">
      <c r="A1264" s="6" t="n">
        <v>2013</v>
      </c>
      <c r="B1264" s="6" t="inlineStr">
        <is>
          <t>zinc</t>
        </is>
      </c>
      <c r="C1264" s="6" t="inlineStr">
        <is>
          <t>E2 Metal en bruto/refinado</t>
        </is>
      </c>
      <c r="D1264" s="6" t="inlineStr">
        <is>
          <t>M</t>
        </is>
      </c>
      <c r="E1264" s="6" t="n">
        <v>37028728</v>
      </c>
    </row>
    <row r="1265">
      <c r="A1265" s="9" t="n">
        <v>2013</v>
      </c>
      <c r="B1265" s="9" t="inlineStr">
        <is>
          <t>zinc</t>
        </is>
      </c>
      <c r="C1265" s="9" t="inlineStr">
        <is>
          <t>E2 Metal en bruto/refinado</t>
        </is>
      </c>
      <c r="D1265" s="9" t="inlineStr">
        <is>
          <t>X</t>
        </is>
      </c>
      <c r="E1265" s="9" t="n">
        <v>376631319</v>
      </c>
    </row>
    <row r="1266">
      <c r="A1266" s="6" t="n">
        <v>2013</v>
      </c>
      <c r="B1266" s="6" t="inlineStr">
        <is>
          <t>zinc</t>
        </is>
      </c>
      <c r="C1266" s="6" t="inlineStr">
        <is>
          <t>E3 Semimanufacturas</t>
        </is>
      </c>
      <c r="D1266" s="6" t="inlineStr">
        <is>
          <t>M</t>
        </is>
      </c>
      <c r="E1266" s="6" t="n">
        <v>58888752</v>
      </c>
    </row>
    <row r="1267">
      <c r="A1267" s="9" t="n">
        <v>2013</v>
      </c>
      <c r="B1267" s="9" t="inlineStr">
        <is>
          <t>zinc</t>
        </is>
      </c>
      <c r="C1267" s="9" t="inlineStr">
        <is>
          <t>E3 Semimanufacturas</t>
        </is>
      </c>
      <c r="D1267" s="9" t="inlineStr">
        <is>
          <t>X</t>
        </is>
      </c>
      <c r="E1267" s="9" t="n">
        <v>6378431</v>
      </c>
    </row>
    <row r="1268">
      <c r="A1268" s="6" t="n">
        <v>2013</v>
      </c>
      <c r="B1268" s="6" t="inlineStr">
        <is>
          <t>zinc</t>
        </is>
      </c>
      <c r="C1268" s="6" t="inlineStr">
        <is>
          <t>E4 Manufacturas</t>
        </is>
      </c>
      <c r="D1268" s="6" t="inlineStr">
        <is>
          <t>M</t>
        </is>
      </c>
      <c r="E1268" s="6" t="n">
        <v>55223531</v>
      </c>
    </row>
    <row r="1269">
      <c r="A1269" s="9" t="n">
        <v>2013</v>
      </c>
      <c r="B1269" s="9" t="inlineStr">
        <is>
          <t>zinc</t>
        </is>
      </c>
      <c r="C1269" s="9" t="inlineStr">
        <is>
          <t>E4 Manufacturas</t>
        </is>
      </c>
      <c r="D1269" s="9" t="inlineStr">
        <is>
          <t>X</t>
        </is>
      </c>
      <c r="E1269" s="9" t="n">
        <v>19171217</v>
      </c>
    </row>
    <row r="1270">
      <c r="A1270" s="6" t="n">
        <v>2014</v>
      </c>
      <c r="B1270" s="6" t="inlineStr">
        <is>
          <t>barita</t>
        </is>
      </c>
      <c r="C1270" s="6" t="inlineStr">
        <is>
          <t>E1 Crudo/molido</t>
        </is>
      </c>
      <c r="D1270" s="6" t="inlineStr">
        <is>
          <t>M</t>
        </is>
      </c>
      <c r="E1270" s="6" t="n">
        <v>15052174</v>
      </c>
    </row>
    <row r="1271">
      <c r="A1271" s="9" t="n">
        <v>2014</v>
      </c>
      <c r="B1271" s="9" t="inlineStr">
        <is>
          <t>barita</t>
        </is>
      </c>
      <c r="C1271" s="9" t="inlineStr">
        <is>
          <t>E2 Quimicos de bario</t>
        </is>
      </c>
      <c r="D1271" s="9" t="inlineStr">
        <is>
          <t>M</t>
        </is>
      </c>
      <c r="E1271" s="9" t="n">
        <v>2743143</v>
      </c>
    </row>
    <row r="1272">
      <c r="A1272" s="6" t="n">
        <v>2014</v>
      </c>
      <c r="B1272" s="6" t="inlineStr">
        <is>
          <t>cobre</t>
        </is>
      </c>
      <c r="C1272" s="6" t="inlineStr">
        <is>
          <t>E1 Mena/concentrado</t>
        </is>
      </c>
      <c r="D1272" s="6" t="inlineStr">
        <is>
          <t>M</t>
        </is>
      </c>
      <c r="E1272" s="6" t="n">
        <v>72372802</v>
      </c>
    </row>
    <row r="1273">
      <c r="A1273" s="9" t="n">
        <v>2014</v>
      </c>
      <c r="B1273" s="9" t="inlineStr">
        <is>
          <t>cobre</t>
        </is>
      </c>
      <c r="C1273" s="9" t="inlineStr">
        <is>
          <t>E1 Mena/concentrado</t>
        </is>
      </c>
      <c r="D1273" s="9" t="inlineStr">
        <is>
          <t>X</t>
        </is>
      </c>
      <c r="E1273" s="9" t="n">
        <v>1170641398</v>
      </c>
    </row>
    <row r="1274">
      <c r="A1274" s="6" t="n">
        <v>2014</v>
      </c>
      <c r="B1274" s="6" t="inlineStr">
        <is>
          <t>cobre</t>
        </is>
      </c>
      <c r="C1274" s="6" t="inlineStr">
        <is>
          <t>E2 Metal en bruto/refinado</t>
        </is>
      </c>
      <c r="D1274" s="6" t="inlineStr">
        <is>
          <t>M</t>
        </is>
      </c>
      <c r="E1274" s="6" t="n">
        <v>580509855</v>
      </c>
    </row>
    <row r="1275">
      <c r="A1275" s="9" t="n">
        <v>2014</v>
      </c>
      <c r="B1275" s="9" t="inlineStr">
        <is>
          <t>cobre</t>
        </is>
      </c>
      <c r="C1275" s="9" t="inlineStr">
        <is>
          <t>E2 Metal en bruto/refinado</t>
        </is>
      </c>
      <c r="D1275" s="9" t="inlineStr">
        <is>
          <t>X</t>
        </is>
      </c>
      <c r="E1275" s="9" t="n">
        <v>801954537</v>
      </c>
    </row>
    <row r="1276">
      <c r="A1276" s="6" t="n">
        <v>2014</v>
      </c>
      <c r="B1276" s="6" t="inlineStr">
        <is>
          <t>cobre</t>
        </is>
      </c>
      <c r="C1276" s="6" t="inlineStr">
        <is>
          <t>E3 Semimanufacturas</t>
        </is>
      </c>
      <c r="D1276" s="6" t="inlineStr">
        <is>
          <t>M</t>
        </is>
      </c>
      <c r="E1276" s="6" t="n">
        <v>1899632807</v>
      </c>
    </row>
    <row r="1277">
      <c r="A1277" s="9" t="n">
        <v>2014</v>
      </c>
      <c r="B1277" s="9" t="inlineStr">
        <is>
          <t>cobre</t>
        </is>
      </c>
      <c r="C1277" s="9" t="inlineStr">
        <is>
          <t>E3 Semimanufacturas</t>
        </is>
      </c>
      <c r="D1277" s="9" t="inlineStr">
        <is>
          <t>X</t>
        </is>
      </c>
      <c r="E1277" s="9" t="n">
        <v>578809007</v>
      </c>
    </row>
    <row r="1278">
      <c r="A1278" s="6" t="n">
        <v>2014</v>
      </c>
      <c r="B1278" s="6" t="inlineStr">
        <is>
          <t>cobre</t>
        </is>
      </c>
      <c r="C1278" s="6" t="inlineStr">
        <is>
          <t>E4 Manufacturas</t>
        </is>
      </c>
      <c r="D1278" s="6" t="inlineStr">
        <is>
          <t>M</t>
        </is>
      </c>
      <c r="E1278" s="6" t="n">
        <v>348660405</v>
      </c>
    </row>
    <row r="1279">
      <c r="A1279" s="9" t="n">
        <v>2014</v>
      </c>
      <c r="B1279" s="9" t="inlineStr">
        <is>
          <t>cobre</t>
        </is>
      </c>
      <c r="C1279" s="9" t="inlineStr">
        <is>
          <t>E4 Manufacturas</t>
        </is>
      </c>
      <c r="D1279" s="9" t="inlineStr">
        <is>
          <t>X</t>
        </is>
      </c>
      <c r="E1279" s="9" t="n">
        <v>74317651</v>
      </c>
    </row>
    <row r="1280">
      <c r="A1280" s="6" t="n">
        <v>2014</v>
      </c>
      <c r="B1280" s="6" t="inlineStr">
        <is>
          <t>fluorita</t>
        </is>
      </c>
      <c r="C1280" s="6" t="inlineStr">
        <is>
          <t>E1 Espato fluor (crudo)</t>
        </is>
      </c>
      <c r="D1280" s="6" t="inlineStr">
        <is>
          <t>M</t>
        </is>
      </c>
      <c r="E1280" s="6" t="n">
        <v>86828</v>
      </c>
    </row>
    <row r="1281">
      <c r="A1281" s="9" t="n">
        <v>2014</v>
      </c>
      <c r="B1281" s="9" t="inlineStr">
        <is>
          <t>fluorita</t>
        </is>
      </c>
      <c r="C1281" s="9" t="inlineStr">
        <is>
          <t>E1 Espato fluor (crudo)</t>
        </is>
      </c>
      <c r="D1281" s="9" t="inlineStr">
        <is>
          <t>X</t>
        </is>
      </c>
      <c r="E1281" s="9" t="n">
        <v>69212880</v>
      </c>
    </row>
    <row r="1282">
      <c r="A1282" s="6" t="n">
        <v>2014</v>
      </c>
      <c r="B1282" s="6" t="inlineStr">
        <is>
          <t>fluorita</t>
        </is>
      </c>
      <c r="C1282" s="6" t="inlineStr">
        <is>
          <t>E2 Fluoroquimica</t>
        </is>
      </c>
      <c r="D1282" s="6" t="inlineStr">
        <is>
          <t>M</t>
        </is>
      </c>
      <c r="E1282" s="6" t="n">
        <v>29985153</v>
      </c>
    </row>
    <row r="1283">
      <c r="A1283" s="9" t="n">
        <v>2014</v>
      </c>
      <c r="B1283" s="9" t="inlineStr">
        <is>
          <t>fluorita</t>
        </is>
      </c>
      <c r="C1283" s="9" t="inlineStr">
        <is>
          <t>E2 Fluoroquimica</t>
        </is>
      </c>
      <c r="D1283" s="9" t="inlineStr">
        <is>
          <t>X</t>
        </is>
      </c>
      <c r="E1283" s="9" t="n">
        <v>186979883</v>
      </c>
    </row>
    <row r="1284">
      <c r="A1284" s="6" t="n">
        <v>2014</v>
      </c>
      <c r="B1284" s="6" t="inlineStr">
        <is>
          <t>grafito</t>
        </is>
      </c>
      <c r="C1284" s="6" t="inlineStr">
        <is>
          <t>E1 Grafito natural</t>
        </is>
      </c>
      <c r="D1284" s="6" t="inlineStr">
        <is>
          <t>M</t>
        </is>
      </c>
      <c r="E1284" s="6" t="n">
        <v>3980528</v>
      </c>
    </row>
    <row r="1285">
      <c r="A1285" s="9" t="n">
        <v>2014</v>
      </c>
      <c r="B1285" s="9" t="inlineStr">
        <is>
          <t>grafito</t>
        </is>
      </c>
      <c r="C1285" s="9" t="inlineStr">
        <is>
          <t>E1 Grafito natural</t>
        </is>
      </c>
      <c r="D1285" s="9" t="inlineStr">
        <is>
          <t>X</t>
        </is>
      </c>
      <c r="E1285" s="9" t="n">
        <v>7256629</v>
      </c>
    </row>
    <row r="1286">
      <c r="A1286" s="6" t="n">
        <v>2014</v>
      </c>
      <c r="B1286" s="6" t="inlineStr">
        <is>
          <t>grafito</t>
        </is>
      </c>
      <c r="C1286" s="6" t="inlineStr">
        <is>
          <t>E2 Grafito artificial/prep.</t>
        </is>
      </c>
      <c r="D1286" s="6" t="inlineStr">
        <is>
          <t>M</t>
        </is>
      </c>
      <c r="E1286" s="6" t="n">
        <v>32093022</v>
      </c>
    </row>
    <row r="1287">
      <c r="A1287" s="9" t="n">
        <v>2014</v>
      </c>
      <c r="B1287" s="9" t="inlineStr">
        <is>
          <t>grafito</t>
        </is>
      </c>
      <c r="C1287" s="9" t="inlineStr">
        <is>
          <t>E2 Grafito artificial/prep.</t>
        </is>
      </c>
      <c r="D1287" s="9" t="inlineStr">
        <is>
          <t>X</t>
        </is>
      </c>
      <c r="E1287" s="9" t="n">
        <v>48800122</v>
      </c>
    </row>
    <row r="1288">
      <c r="A1288" s="6" t="n">
        <v>2014</v>
      </c>
      <c r="B1288" s="6" t="inlineStr">
        <is>
          <t>grafito</t>
        </is>
      </c>
      <c r="C1288" s="6" t="inlineStr">
        <is>
          <t>E3 Electrodos/articulos de carbono</t>
        </is>
      </c>
      <c r="D1288" s="6" t="inlineStr">
        <is>
          <t>M</t>
        </is>
      </c>
      <c r="E1288" s="6" t="n">
        <v>93625513</v>
      </c>
    </row>
    <row r="1289">
      <c r="A1289" s="9" t="n">
        <v>2014</v>
      </c>
      <c r="B1289" s="9" t="inlineStr">
        <is>
          <t>grafito</t>
        </is>
      </c>
      <c r="C1289" s="9" t="inlineStr">
        <is>
          <t>E3 Electrodos/articulos de carbono</t>
        </is>
      </c>
      <c r="D1289" s="9" t="inlineStr">
        <is>
          <t>X</t>
        </is>
      </c>
      <c r="E1289" s="9" t="n">
        <v>109462664</v>
      </c>
    </row>
    <row r="1290">
      <c r="A1290" s="6" t="n">
        <v>2014</v>
      </c>
      <c r="B1290" s="6" t="inlineStr">
        <is>
          <t>manganeso</t>
        </is>
      </c>
      <c r="C1290" s="6" t="inlineStr">
        <is>
          <t>E1 Mena/concentrado</t>
        </is>
      </c>
      <c r="D1290" s="6" t="inlineStr">
        <is>
          <t>M</t>
        </is>
      </c>
      <c r="E1290" s="6" t="n">
        <v>49782</v>
      </c>
    </row>
    <row r="1291">
      <c r="A1291" s="9" t="n">
        <v>2014</v>
      </c>
      <c r="B1291" s="9" t="inlineStr">
        <is>
          <t>manganeso</t>
        </is>
      </c>
      <c r="C1291" s="9" t="inlineStr">
        <is>
          <t>E1 Mena/concentrado</t>
        </is>
      </c>
      <c r="D1291" s="9" t="inlineStr">
        <is>
          <t>X</t>
        </is>
      </c>
      <c r="E1291" s="9" t="n">
        <v>81079</v>
      </c>
    </row>
    <row r="1292">
      <c r="A1292" s="6" t="n">
        <v>2014</v>
      </c>
      <c r="B1292" s="6" t="inlineStr">
        <is>
          <t>manganeso</t>
        </is>
      </c>
      <c r="C1292" s="6" t="inlineStr">
        <is>
          <t>E2 Ferroaleaciones</t>
        </is>
      </c>
      <c r="D1292" s="6" t="inlineStr">
        <is>
          <t>M</t>
        </is>
      </c>
      <c r="E1292" s="6" t="n">
        <v>12809455</v>
      </c>
    </row>
    <row r="1293">
      <c r="A1293" s="9" t="n">
        <v>2014</v>
      </c>
      <c r="B1293" s="9" t="inlineStr">
        <is>
          <t>manganeso</t>
        </is>
      </c>
      <c r="C1293" s="9" t="inlineStr">
        <is>
          <t>E3 Quimicos/metal</t>
        </is>
      </c>
      <c r="D1293" s="9" t="inlineStr">
        <is>
          <t>M</t>
        </is>
      </c>
      <c r="E1293" s="9" t="n">
        <v>16970485</v>
      </c>
    </row>
    <row r="1294">
      <c r="A1294" s="6" t="n">
        <v>2014</v>
      </c>
      <c r="B1294" s="6" t="inlineStr">
        <is>
          <t>manganeso</t>
        </is>
      </c>
      <c r="C1294" s="6" t="inlineStr">
        <is>
          <t>E3 Quimicos/metal</t>
        </is>
      </c>
      <c r="D1294" s="6" t="inlineStr">
        <is>
          <t>X</t>
        </is>
      </c>
      <c r="E1294" s="6" t="n">
        <v>1179788</v>
      </c>
    </row>
    <row r="1295">
      <c r="A1295" s="9" t="n">
        <v>2014</v>
      </c>
      <c r="B1295" s="9" t="inlineStr">
        <is>
          <t>oro</t>
        </is>
      </c>
      <c r="C1295" s="9" t="inlineStr">
        <is>
          <t>E1 Mena/concentrado</t>
        </is>
      </c>
      <c r="D1295" s="9" t="inlineStr">
        <is>
          <t>M</t>
        </is>
      </c>
      <c r="E1295" s="9" t="n">
        <v>10107</v>
      </c>
    </row>
    <row r="1296">
      <c r="A1296" s="6" t="n">
        <v>2014</v>
      </c>
      <c r="B1296" s="6" t="inlineStr">
        <is>
          <t>oro</t>
        </is>
      </c>
      <c r="C1296" s="6" t="inlineStr">
        <is>
          <t>E1 Mena/concentrado</t>
        </is>
      </c>
      <c r="D1296" s="6" t="inlineStr">
        <is>
          <t>X</t>
        </is>
      </c>
      <c r="E1296" s="6" t="n">
        <v>123028351</v>
      </c>
    </row>
    <row r="1297">
      <c r="A1297" s="9" t="n">
        <v>2014</v>
      </c>
      <c r="B1297" s="9" t="inlineStr">
        <is>
          <t>oro</t>
        </is>
      </c>
      <c r="C1297" s="9" t="inlineStr">
        <is>
          <t>E2 Bruto/semilabrado</t>
        </is>
      </c>
      <c r="D1297" s="9" t="inlineStr">
        <is>
          <t>M</t>
        </is>
      </c>
      <c r="E1297" s="9" t="n">
        <v>83831607</v>
      </c>
    </row>
    <row r="1298">
      <c r="A1298" s="6" t="n">
        <v>2014</v>
      </c>
      <c r="B1298" s="6" t="inlineStr">
        <is>
          <t>oro</t>
        </is>
      </c>
      <c r="C1298" s="6" t="inlineStr">
        <is>
          <t>E2 Bruto/semilabrado</t>
        </is>
      </c>
      <c r="D1298" s="6" t="inlineStr">
        <is>
          <t>X</t>
        </is>
      </c>
      <c r="E1298" s="6" t="n">
        <v>3439635835</v>
      </c>
    </row>
    <row r="1299">
      <c r="A1299" s="9" t="n">
        <v>2014</v>
      </c>
      <c r="B1299" s="9" t="inlineStr">
        <is>
          <t>oro-plata (manufacturas)</t>
        </is>
      </c>
      <c r="C1299" s="9" t="inlineStr">
        <is>
          <t>E4 Joyeria/orfebreria</t>
        </is>
      </c>
      <c r="D1299" s="9" t="inlineStr">
        <is>
          <t>M</t>
        </is>
      </c>
      <c r="E1299" s="9" t="n">
        <v>688401424</v>
      </c>
    </row>
    <row r="1300">
      <c r="A1300" s="6" t="n">
        <v>2014</v>
      </c>
      <c r="B1300" s="6" t="inlineStr">
        <is>
          <t>oro-plata (manufacturas)</t>
        </is>
      </c>
      <c r="C1300" s="6" t="inlineStr">
        <is>
          <t>E4 Joyeria/orfebreria</t>
        </is>
      </c>
      <c r="D1300" s="6" t="inlineStr">
        <is>
          <t>X</t>
        </is>
      </c>
      <c r="E1300" s="6" t="n">
        <v>583564487</v>
      </c>
    </row>
    <row r="1301">
      <c r="A1301" s="9" t="n">
        <v>2014</v>
      </c>
      <c r="B1301" s="9" t="inlineStr">
        <is>
          <t>plata</t>
        </is>
      </c>
      <c r="C1301" s="9" t="inlineStr">
        <is>
          <t>E1 Mena/concentrado</t>
        </is>
      </c>
      <c r="D1301" s="9" t="inlineStr">
        <is>
          <t>M</t>
        </is>
      </c>
      <c r="E1301" s="9" t="n">
        <v>1748125</v>
      </c>
    </row>
    <row r="1302">
      <c r="A1302" s="6" t="n">
        <v>2014</v>
      </c>
      <c r="B1302" s="6" t="inlineStr">
        <is>
          <t>plata</t>
        </is>
      </c>
      <c r="C1302" s="6" t="inlineStr">
        <is>
          <t>E1 Mena/concentrado</t>
        </is>
      </c>
      <c r="D1302" s="6" t="inlineStr">
        <is>
          <t>X</t>
        </is>
      </c>
      <c r="E1302" s="6" t="n">
        <v>935178</v>
      </c>
    </row>
    <row r="1303">
      <c r="A1303" s="9" t="n">
        <v>2014</v>
      </c>
      <c r="B1303" s="9" t="inlineStr">
        <is>
          <t>plata</t>
        </is>
      </c>
      <c r="C1303" s="9" t="inlineStr">
        <is>
          <t>E2 Bruto/semilabrado</t>
        </is>
      </c>
      <c r="D1303" s="9" t="inlineStr">
        <is>
          <t>M</t>
        </is>
      </c>
      <c r="E1303" s="9" t="n">
        <v>132186041</v>
      </c>
    </row>
    <row r="1304">
      <c r="A1304" s="6" t="n">
        <v>2014</v>
      </c>
      <c r="B1304" s="6" t="inlineStr">
        <is>
          <t>plata</t>
        </is>
      </c>
      <c r="C1304" s="6" t="inlineStr">
        <is>
          <t>E2 Bruto/semilabrado</t>
        </is>
      </c>
      <c r="D1304" s="6" t="inlineStr">
        <is>
          <t>X</t>
        </is>
      </c>
      <c r="E1304" s="6" t="n">
        <v>2221300717</v>
      </c>
    </row>
    <row r="1305">
      <c r="A1305" s="9" t="n">
        <v>2014</v>
      </c>
      <c r="B1305" s="9" t="inlineStr">
        <is>
          <t>plomo</t>
        </is>
      </c>
      <c r="C1305" s="9" t="inlineStr">
        <is>
          <t>E1 Mena/concentrado</t>
        </is>
      </c>
      <c r="D1305" s="9" t="inlineStr">
        <is>
          <t>M</t>
        </is>
      </c>
      <c r="E1305" s="9" t="n">
        <v>11561780</v>
      </c>
    </row>
    <row r="1306">
      <c r="A1306" s="6" t="n">
        <v>2014</v>
      </c>
      <c r="B1306" s="6" t="inlineStr">
        <is>
          <t>plomo</t>
        </is>
      </c>
      <c r="C1306" s="6" t="inlineStr">
        <is>
          <t>E1 Mena/concentrado</t>
        </is>
      </c>
      <c r="D1306" s="6" t="inlineStr">
        <is>
          <t>X</t>
        </is>
      </c>
      <c r="E1306" s="6" t="n">
        <v>1162916141</v>
      </c>
    </row>
    <row r="1307">
      <c r="A1307" s="9" t="n">
        <v>2014</v>
      </c>
      <c r="B1307" s="9" t="inlineStr">
        <is>
          <t>plomo</t>
        </is>
      </c>
      <c r="C1307" s="9" t="inlineStr">
        <is>
          <t>E2 Metal en bruto/refinado</t>
        </is>
      </c>
      <c r="D1307" s="9" t="inlineStr">
        <is>
          <t>M</t>
        </is>
      </c>
      <c r="E1307" s="9" t="n">
        <v>39387386</v>
      </c>
    </row>
    <row r="1308">
      <c r="A1308" s="6" t="n">
        <v>2014</v>
      </c>
      <c r="B1308" s="6" t="inlineStr">
        <is>
          <t>plomo</t>
        </is>
      </c>
      <c r="C1308" s="6" t="inlineStr">
        <is>
          <t>E2 Metal en bruto/refinado</t>
        </is>
      </c>
      <c r="D1308" s="6" t="inlineStr">
        <is>
          <t>X</t>
        </is>
      </c>
      <c r="E1308" s="6" t="n">
        <v>146807743</v>
      </c>
    </row>
    <row r="1309">
      <c r="A1309" s="9" t="n">
        <v>2014</v>
      </c>
      <c r="B1309" s="9" t="inlineStr">
        <is>
          <t>plomo</t>
        </is>
      </c>
      <c r="C1309" s="9" t="inlineStr">
        <is>
          <t>E4 Manufacturas</t>
        </is>
      </c>
      <c r="D1309" s="9" t="inlineStr">
        <is>
          <t>M</t>
        </is>
      </c>
      <c r="E1309" s="9" t="n">
        <v>5956647</v>
      </c>
    </row>
    <row r="1310">
      <c r="A1310" s="6" t="n">
        <v>2014</v>
      </c>
      <c r="B1310" s="6" t="inlineStr">
        <is>
          <t>plomo</t>
        </is>
      </c>
      <c r="C1310" s="6" t="inlineStr">
        <is>
          <t>E4 Manufacturas</t>
        </is>
      </c>
      <c r="D1310" s="6" t="inlineStr">
        <is>
          <t>X</t>
        </is>
      </c>
      <c r="E1310" s="6" t="n">
        <v>2384658</v>
      </c>
    </row>
    <row r="1311">
      <c r="A1311" s="9" t="n">
        <v>2014</v>
      </c>
      <c r="B1311" s="9" t="inlineStr">
        <is>
          <t>silice</t>
        </is>
      </c>
      <c r="C1311" s="9" t="inlineStr">
        <is>
          <t>E1 Arena silica/cuarzo</t>
        </is>
      </c>
      <c r="D1311" s="9" t="inlineStr">
        <is>
          <t>M</t>
        </is>
      </c>
      <c r="E1311" s="9" t="n">
        <v>103118227</v>
      </c>
    </row>
    <row r="1312">
      <c r="A1312" s="6" t="n">
        <v>2014</v>
      </c>
      <c r="B1312" s="6" t="inlineStr">
        <is>
          <t>silice</t>
        </is>
      </c>
      <c r="C1312" s="6" t="inlineStr">
        <is>
          <t>E1 Arena silica/cuarzo</t>
        </is>
      </c>
      <c r="D1312" s="6" t="inlineStr">
        <is>
          <t>X</t>
        </is>
      </c>
      <c r="E1312" s="6" t="n">
        <v>1977476</v>
      </c>
    </row>
    <row r="1313">
      <c r="A1313" s="9" t="n">
        <v>2014</v>
      </c>
      <c r="B1313" s="9" t="inlineStr">
        <is>
          <t>silice</t>
        </is>
      </c>
      <c r="C1313" s="9" t="inlineStr">
        <is>
          <t>E2 Silicio/ferrosilicio/SiO2</t>
        </is>
      </c>
      <c r="D1313" s="9" t="inlineStr">
        <is>
          <t>M</t>
        </is>
      </c>
      <c r="E1313" s="9" t="n">
        <v>192968718</v>
      </c>
    </row>
    <row r="1314">
      <c r="A1314" s="6" t="n">
        <v>2014</v>
      </c>
      <c r="B1314" s="6" t="inlineStr">
        <is>
          <t>silice</t>
        </is>
      </c>
      <c r="C1314" s="6" t="inlineStr">
        <is>
          <t>E2 Silicio/ferrosilicio/SiO2</t>
        </is>
      </c>
      <c r="D1314" s="6" t="inlineStr">
        <is>
          <t>X</t>
        </is>
      </c>
      <c r="E1314" s="6" t="n">
        <v>4335048</v>
      </c>
    </row>
    <row r="1315">
      <c r="A1315" s="9" t="n">
        <v>2014</v>
      </c>
      <c r="B1315" s="9" t="inlineStr">
        <is>
          <t>zinc</t>
        </is>
      </c>
      <c r="C1315" s="9" t="inlineStr">
        <is>
          <t>E1 Mena/concentrado</t>
        </is>
      </c>
      <c r="D1315" s="9" t="inlineStr">
        <is>
          <t>M</t>
        </is>
      </c>
      <c r="E1315" s="9" t="n">
        <v>365</v>
      </c>
    </row>
    <row r="1316">
      <c r="A1316" s="6" t="n">
        <v>2014</v>
      </c>
      <c r="B1316" s="6" t="inlineStr">
        <is>
          <t>zinc</t>
        </is>
      </c>
      <c r="C1316" s="6" t="inlineStr">
        <is>
          <t>E1 Mena/concentrado</t>
        </is>
      </c>
      <c r="D1316" s="6" t="inlineStr">
        <is>
          <t>X</t>
        </is>
      </c>
      <c r="E1316" s="6" t="n">
        <v>309233960</v>
      </c>
    </row>
    <row r="1317">
      <c r="A1317" s="9" t="n">
        <v>2014</v>
      </c>
      <c r="B1317" s="9" t="inlineStr">
        <is>
          <t>zinc</t>
        </is>
      </c>
      <c r="C1317" s="9" t="inlineStr">
        <is>
          <t>E2 Metal en bruto/refinado</t>
        </is>
      </c>
      <c r="D1317" s="9" t="inlineStr">
        <is>
          <t>M</t>
        </is>
      </c>
      <c r="E1317" s="9" t="n">
        <v>36467236</v>
      </c>
    </row>
    <row r="1318">
      <c r="A1318" s="6" t="n">
        <v>2014</v>
      </c>
      <c r="B1318" s="6" t="inlineStr">
        <is>
          <t>zinc</t>
        </is>
      </c>
      <c r="C1318" s="6" t="inlineStr">
        <is>
          <t>E2 Metal en bruto/refinado</t>
        </is>
      </c>
      <c r="D1318" s="6" t="inlineStr">
        <is>
          <t>X</t>
        </is>
      </c>
      <c r="E1318" s="6" t="n">
        <v>248728844</v>
      </c>
    </row>
    <row r="1319">
      <c r="A1319" s="9" t="n">
        <v>2014</v>
      </c>
      <c r="B1319" s="9" t="inlineStr">
        <is>
          <t>zinc</t>
        </is>
      </c>
      <c r="C1319" s="9" t="inlineStr">
        <is>
          <t>E3 Semimanufacturas</t>
        </is>
      </c>
      <c r="D1319" s="9" t="inlineStr">
        <is>
          <t>M</t>
        </is>
      </c>
      <c r="E1319" s="9" t="n">
        <v>79875690</v>
      </c>
    </row>
    <row r="1320">
      <c r="A1320" s="6" t="n">
        <v>2014</v>
      </c>
      <c r="B1320" s="6" t="inlineStr">
        <is>
          <t>zinc</t>
        </is>
      </c>
      <c r="C1320" s="6" t="inlineStr">
        <is>
          <t>E3 Semimanufacturas</t>
        </is>
      </c>
      <c r="D1320" s="6" t="inlineStr">
        <is>
          <t>X</t>
        </is>
      </c>
      <c r="E1320" s="6" t="n">
        <v>4250412</v>
      </c>
    </row>
    <row r="1321">
      <c r="A1321" s="9" t="n">
        <v>2014</v>
      </c>
      <c r="B1321" s="9" t="inlineStr">
        <is>
          <t>zinc</t>
        </is>
      </c>
      <c r="C1321" s="9" t="inlineStr">
        <is>
          <t>E4 Manufacturas</t>
        </is>
      </c>
      <c r="D1321" s="9" t="inlineStr">
        <is>
          <t>M</t>
        </is>
      </c>
      <c r="E1321" s="9" t="n">
        <v>61847538</v>
      </c>
    </row>
    <row r="1322">
      <c r="A1322" s="6" t="n">
        <v>2014</v>
      </c>
      <c r="B1322" s="6" t="inlineStr">
        <is>
          <t>zinc</t>
        </is>
      </c>
      <c r="C1322" s="6" t="inlineStr">
        <is>
          <t>E4 Manufacturas</t>
        </is>
      </c>
      <c r="D1322" s="6" t="inlineStr">
        <is>
          <t>X</t>
        </is>
      </c>
      <c r="E1322" s="6" t="n">
        <v>17071879</v>
      </c>
    </row>
    <row r="1323">
      <c r="A1323" s="9" t="n">
        <v>2015</v>
      </c>
      <c r="B1323" s="9" t="inlineStr">
        <is>
          <t>barita</t>
        </is>
      </c>
      <c r="C1323" s="9" t="inlineStr">
        <is>
          <t>E1 Crudo/molido</t>
        </is>
      </c>
      <c r="D1323" s="9" t="inlineStr">
        <is>
          <t>M</t>
        </is>
      </c>
      <c r="E1323" s="9" t="n">
        <v>11869579</v>
      </c>
    </row>
    <row r="1324">
      <c r="A1324" s="6" t="n">
        <v>2015</v>
      </c>
      <c r="B1324" s="6" t="inlineStr">
        <is>
          <t>barita</t>
        </is>
      </c>
      <c r="C1324" s="6" t="inlineStr">
        <is>
          <t>E1 Crudo/molido</t>
        </is>
      </c>
      <c r="D1324" s="6" t="inlineStr">
        <is>
          <t>X</t>
        </is>
      </c>
      <c r="E1324" s="6" t="n">
        <v>1595323</v>
      </c>
    </row>
    <row r="1325">
      <c r="A1325" s="9" t="n">
        <v>2015</v>
      </c>
      <c r="B1325" s="9" t="inlineStr">
        <is>
          <t>barita</t>
        </is>
      </c>
      <c r="C1325" s="9" t="inlineStr">
        <is>
          <t>E2 Quimicos de bario</t>
        </is>
      </c>
      <c r="D1325" s="9" t="inlineStr">
        <is>
          <t>M</t>
        </is>
      </c>
      <c r="E1325" s="9" t="n">
        <v>4064525</v>
      </c>
    </row>
    <row r="1326">
      <c r="A1326" s="6" t="n">
        <v>2015</v>
      </c>
      <c r="B1326" s="6" t="inlineStr">
        <is>
          <t>barita</t>
        </is>
      </c>
      <c r="C1326" s="6" t="inlineStr">
        <is>
          <t>E2 Quimicos de bario</t>
        </is>
      </c>
      <c r="D1326" s="6" t="inlineStr">
        <is>
          <t>X</t>
        </is>
      </c>
      <c r="E1326" s="6" t="n">
        <v>0</v>
      </c>
    </row>
    <row r="1327">
      <c r="A1327" s="9" t="n">
        <v>2015</v>
      </c>
      <c r="B1327" s="9" t="inlineStr">
        <is>
          <t>cobre</t>
        </is>
      </c>
      <c r="C1327" s="9" t="inlineStr">
        <is>
          <t>E1 Mena/concentrado</t>
        </is>
      </c>
      <c r="D1327" s="9" t="inlineStr">
        <is>
          <t>M</t>
        </is>
      </c>
      <c r="E1327" s="9" t="n">
        <v>79571708</v>
      </c>
    </row>
    <row r="1328">
      <c r="A1328" s="6" t="n">
        <v>2015</v>
      </c>
      <c r="B1328" s="6" t="inlineStr">
        <is>
          <t>cobre</t>
        </is>
      </c>
      <c r="C1328" s="6" t="inlineStr">
        <is>
          <t>E1 Mena/concentrado</t>
        </is>
      </c>
      <c r="D1328" s="6" t="inlineStr">
        <is>
          <t>X</t>
        </is>
      </c>
      <c r="E1328" s="6" t="n">
        <v>933983883</v>
      </c>
    </row>
    <row r="1329">
      <c r="A1329" s="9" t="n">
        <v>2015</v>
      </c>
      <c r="B1329" s="9" t="inlineStr">
        <is>
          <t>cobre</t>
        </is>
      </c>
      <c r="C1329" s="9" t="inlineStr">
        <is>
          <t>E2 Metal en bruto/refinado</t>
        </is>
      </c>
      <c r="D1329" s="9" t="inlineStr">
        <is>
          <t>M</t>
        </is>
      </c>
      <c r="E1329" s="9" t="n">
        <v>521537971</v>
      </c>
    </row>
    <row r="1330">
      <c r="A1330" s="6" t="n">
        <v>2015</v>
      </c>
      <c r="B1330" s="6" t="inlineStr">
        <is>
          <t>cobre</t>
        </is>
      </c>
      <c r="C1330" s="6" t="inlineStr">
        <is>
          <t>E2 Metal en bruto/refinado</t>
        </is>
      </c>
      <c r="D1330" s="6" t="inlineStr">
        <is>
          <t>X</t>
        </is>
      </c>
      <c r="E1330" s="6" t="n">
        <v>727229420</v>
      </c>
    </row>
    <row r="1331">
      <c r="A1331" s="9" t="n">
        <v>2015</v>
      </c>
      <c r="B1331" s="9" t="inlineStr">
        <is>
          <t>cobre</t>
        </is>
      </c>
      <c r="C1331" s="9" t="inlineStr">
        <is>
          <t>E3 Semimanufacturas</t>
        </is>
      </c>
      <c r="D1331" s="9" t="inlineStr">
        <is>
          <t>M</t>
        </is>
      </c>
      <c r="E1331" s="9" t="n">
        <v>1804060147</v>
      </c>
    </row>
    <row r="1332">
      <c r="A1332" s="6" t="n">
        <v>2015</v>
      </c>
      <c r="B1332" s="6" t="inlineStr">
        <is>
          <t>cobre</t>
        </is>
      </c>
      <c r="C1332" s="6" t="inlineStr">
        <is>
          <t>E3 Semimanufacturas</t>
        </is>
      </c>
      <c r="D1332" s="6" t="inlineStr">
        <is>
          <t>X</t>
        </is>
      </c>
      <c r="E1332" s="6" t="n">
        <v>505836887</v>
      </c>
    </row>
    <row r="1333">
      <c r="A1333" s="9" t="n">
        <v>2015</v>
      </c>
      <c r="B1333" s="9" t="inlineStr">
        <is>
          <t>cobre</t>
        </is>
      </c>
      <c r="C1333" s="9" t="inlineStr">
        <is>
          <t>E4 Manufacturas</t>
        </is>
      </c>
      <c r="D1333" s="9" t="inlineStr">
        <is>
          <t>M</t>
        </is>
      </c>
      <c r="E1333" s="9" t="n">
        <v>339599551</v>
      </c>
    </row>
    <row r="1334">
      <c r="A1334" s="6" t="n">
        <v>2015</v>
      </c>
      <c r="B1334" s="6" t="inlineStr">
        <is>
          <t>cobre</t>
        </is>
      </c>
      <c r="C1334" s="6" t="inlineStr">
        <is>
          <t>E4 Manufacturas</t>
        </is>
      </c>
      <c r="D1334" s="6" t="inlineStr">
        <is>
          <t>X</t>
        </is>
      </c>
      <c r="E1334" s="6" t="n">
        <v>53044708</v>
      </c>
    </row>
    <row r="1335">
      <c r="A1335" s="9" t="n">
        <v>2015</v>
      </c>
      <c r="B1335" s="9" t="inlineStr">
        <is>
          <t>fluorita</t>
        </is>
      </c>
      <c r="C1335" s="9" t="inlineStr">
        <is>
          <t>E1 Espato fluor (crudo)</t>
        </is>
      </c>
      <c r="D1335" s="9" t="inlineStr">
        <is>
          <t>M</t>
        </is>
      </c>
      <c r="E1335" s="9" t="n">
        <v>91308</v>
      </c>
    </row>
    <row r="1336">
      <c r="A1336" s="6" t="n">
        <v>2015</v>
      </c>
      <c r="B1336" s="6" t="inlineStr">
        <is>
          <t>fluorita</t>
        </is>
      </c>
      <c r="C1336" s="6" t="inlineStr">
        <is>
          <t>E1 Espato fluor (crudo)</t>
        </is>
      </c>
      <c r="D1336" s="6" t="inlineStr">
        <is>
          <t>X</t>
        </is>
      </c>
      <c r="E1336" s="6" t="n">
        <v>59599502</v>
      </c>
    </row>
    <row r="1337">
      <c r="A1337" s="9" t="n">
        <v>2015</v>
      </c>
      <c r="B1337" s="9" t="inlineStr">
        <is>
          <t>fluorita</t>
        </is>
      </c>
      <c r="C1337" s="9" t="inlineStr">
        <is>
          <t>E2 Fluoroquimica</t>
        </is>
      </c>
      <c r="D1337" s="9" t="inlineStr">
        <is>
          <t>M</t>
        </is>
      </c>
      <c r="E1337" s="9" t="n">
        <v>29375593</v>
      </c>
    </row>
    <row r="1338">
      <c r="A1338" s="6" t="n">
        <v>2015</v>
      </c>
      <c r="B1338" s="6" t="inlineStr">
        <is>
          <t>fluorita</t>
        </is>
      </c>
      <c r="C1338" s="6" t="inlineStr">
        <is>
          <t>E2 Fluoroquimica</t>
        </is>
      </c>
      <c r="D1338" s="6" t="inlineStr">
        <is>
          <t>X</t>
        </is>
      </c>
      <c r="E1338" s="6" t="n">
        <v>182427511</v>
      </c>
    </row>
    <row r="1339">
      <c r="A1339" s="9" t="n">
        <v>2015</v>
      </c>
      <c r="B1339" s="9" t="inlineStr">
        <is>
          <t>grafito</t>
        </is>
      </c>
      <c r="C1339" s="9" t="inlineStr">
        <is>
          <t>E1 Grafito natural</t>
        </is>
      </c>
      <c r="D1339" s="9" t="inlineStr">
        <is>
          <t>M</t>
        </is>
      </c>
      <c r="E1339" s="9" t="n">
        <v>3819388</v>
      </c>
    </row>
    <row r="1340">
      <c r="A1340" s="6" t="n">
        <v>2015</v>
      </c>
      <c r="B1340" s="6" t="inlineStr">
        <is>
          <t>grafito</t>
        </is>
      </c>
      <c r="C1340" s="6" t="inlineStr">
        <is>
          <t>E1 Grafito natural</t>
        </is>
      </c>
      <c r="D1340" s="6" t="inlineStr">
        <is>
          <t>X</t>
        </is>
      </c>
      <c r="E1340" s="6" t="n">
        <v>102168</v>
      </c>
    </row>
    <row r="1341">
      <c r="A1341" s="9" t="n">
        <v>2015</v>
      </c>
      <c r="B1341" s="9" t="inlineStr">
        <is>
          <t>grafito</t>
        </is>
      </c>
      <c r="C1341" s="9" t="inlineStr">
        <is>
          <t>E2 Grafito artificial/prep.</t>
        </is>
      </c>
      <c r="D1341" s="9" t="inlineStr">
        <is>
          <t>M</t>
        </is>
      </c>
      <c r="E1341" s="9" t="n">
        <v>25997286</v>
      </c>
    </row>
    <row r="1342">
      <c r="A1342" s="6" t="n">
        <v>2015</v>
      </c>
      <c r="B1342" s="6" t="inlineStr">
        <is>
          <t>grafito</t>
        </is>
      </c>
      <c r="C1342" s="6" t="inlineStr">
        <is>
          <t>E2 Grafito artificial/prep.</t>
        </is>
      </c>
      <c r="D1342" s="6" t="inlineStr">
        <is>
          <t>X</t>
        </is>
      </c>
      <c r="E1342" s="6" t="n">
        <v>27117314</v>
      </c>
    </row>
    <row r="1343">
      <c r="A1343" s="9" t="n">
        <v>2015</v>
      </c>
      <c r="B1343" s="9" t="inlineStr">
        <is>
          <t>grafito</t>
        </is>
      </c>
      <c r="C1343" s="9" t="inlineStr">
        <is>
          <t>E3 Electrodos/articulos de carbono</t>
        </is>
      </c>
      <c r="D1343" s="9" t="inlineStr">
        <is>
          <t>M</t>
        </is>
      </c>
      <c r="E1343" s="9" t="n">
        <v>86603082</v>
      </c>
    </row>
    <row r="1344">
      <c r="A1344" s="6" t="n">
        <v>2015</v>
      </c>
      <c r="B1344" s="6" t="inlineStr">
        <is>
          <t>grafito</t>
        </is>
      </c>
      <c r="C1344" s="6" t="inlineStr">
        <is>
          <t>E3 Electrodos/articulos de carbono</t>
        </is>
      </c>
      <c r="D1344" s="6" t="inlineStr">
        <is>
          <t>X</t>
        </is>
      </c>
      <c r="E1344" s="6" t="n">
        <v>79721767</v>
      </c>
    </row>
    <row r="1345">
      <c r="A1345" s="9" t="n">
        <v>2015</v>
      </c>
      <c r="B1345" s="9" t="inlineStr">
        <is>
          <t>manganeso</t>
        </is>
      </c>
      <c r="C1345" s="9" t="inlineStr">
        <is>
          <t>E1 Mena/concentrado</t>
        </is>
      </c>
      <c r="D1345" s="9" t="inlineStr">
        <is>
          <t>M</t>
        </is>
      </c>
      <c r="E1345" s="9" t="n">
        <v>13687005</v>
      </c>
    </row>
    <row r="1346">
      <c r="A1346" s="6" t="n">
        <v>2015</v>
      </c>
      <c r="B1346" s="6" t="inlineStr">
        <is>
          <t>manganeso</t>
        </is>
      </c>
      <c r="C1346" s="6" t="inlineStr">
        <is>
          <t>E1 Mena/concentrado</t>
        </is>
      </c>
      <c r="D1346" s="6" t="inlineStr">
        <is>
          <t>X</t>
        </is>
      </c>
      <c r="E1346" s="6" t="n">
        <v>0</v>
      </c>
    </row>
    <row r="1347">
      <c r="A1347" s="9" t="n">
        <v>2015</v>
      </c>
      <c r="B1347" s="9" t="inlineStr">
        <is>
          <t>manganeso</t>
        </is>
      </c>
      <c r="C1347" s="9" t="inlineStr">
        <is>
          <t>E2 Ferroaleaciones</t>
        </is>
      </c>
      <c r="D1347" s="9" t="inlineStr">
        <is>
          <t>M</t>
        </is>
      </c>
      <c r="E1347" s="9" t="n">
        <v>6280428</v>
      </c>
    </row>
    <row r="1348">
      <c r="A1348" s="6" t="n">
        <v>2015</v>
      </c>
      <c r="B1348" s="6" t="inlineStr">
        <is>
          <t>manganeso</t>
        </is>
      </c>
      <c r="C1348" s="6" t="inlineStr">
        <is>
          <t>E2 Ferroaleaciones</t>
        </is>
      </c>
      <c r="D1348" s="6" t="inlineStr">
        <is>
          <t>X</t>
        </is>
      </c>
      <c r="E1348" s="6" t="n">
        <v>9092986</v>
      </c>
    </row>
    <row r="1349">
      <c r="A1349" s="9" t="n">
        <v>2015</v>
      </c>
      <c r="B1349" s="9" t="inlineStr">
        <is>
          <t>manganeso</t>
        </is>
      </c>
      <c r="C1349" s="9" t="inlineStr">
        <is>
          <t>E3 Quimicos/metal</t>
        </is>
      </c>
      <c r="D1349" s="9" t="inlineStr">
        <is>
          <t>M</t>
        </is>
      </c>
      <c r="E1349" s="9" t="n">
        <v>11003004</v>
      </c>
    </row>
    <row r="1350">
      <c r="A1350" s="6" t="n">
        <v>2015</v>
      </c>
      <c r="B1350" s="6" t="inlineStr">
        <is>
          <t>manganeso</t>
        </is>
      </c>
      <c r="C1350" s="6" t="inlineStr">
        <is>
          <t>E3 Quimicos/metal</t>
        </is>
      </c>
      <c r="D1350" s="6" t="inlineStr">
        <is>
          <t>X</t>
        </is>
      </c>
      <c r="E1350" s="6" t="n">
        <v>1794022</v>
      </c>
    </row>
    <row r="1351">
      <c r="A1351" s="9" t="n">
        <v>2015</v>
      </c>
      <c r="B1351" s="9" t="inlineStr">
        <is>
          <t>oro</t>
        </is>
      </c>
      <c r="C1351" s="9" t="inlineStr">
        <is>
          <t>E1 Mena/concentrado</t>
        </is>
      </c>
      <c r="D1351" s="9" t="inlineStr">
        <is>
          <t>M</t>
        </is>
      </c>
      <c r="E1351" s="9" t="n">
        <v>5396</v>
      </c>
    </row>
    <row r="1352">
      <c r="A1352" s="6" t="n">
        <v>2015</v>
      </c>
      <c r="B1352" s="6" t="inlineStr">
        <is>
          <t>oro</t>
        </is>
      </c>
      <c r="C1352" s="6" t="inlineStr">
        <is>
          <t>E1 Mena/concentrado</t>
        </is>
      </c>
      <c r="D1352" s="6" t="inlineStr">
        <is>
          <t>X</t>
        </is>
      </c>
      <c r="E1352" s="6" t="n">
        <v>271995011</v>
      </c>
    </row>
    <row r="1353">
      <c r="A1353" s="9" t="n">
        <v>2015</v>
      </c>
      <c r="B1353" s="9" t="inlineStr">
        <is>
          <t>oro</t>
        </is>
      </c>
      <c r="C1353" s="9" t="inlineStr">
        <is>
          <t>E2 Bruto/semilabrado</t>
        </is>
      </c>
      <c r="D1353" s="9" t="inlineStr">
        <is>
          <t>M</t>
        </is>
      </c>
      <c r="E1353" s="9" t="n">
        <v>176632602</v>
      </c>
    </row>
    <row r="1354">
      <c r="A1354" s="6" t="n">
        <v>2015</v>
      </c>
      <c r="B1354" s="6" t="inlineStr">
        <is>
          <t>oro</t>
        </is>
      </c>
      <c r="C1354" s="6" t="inlineStr">
        <is>
          <t>E2 Bruto/semilabrado</t>
        </is>
      </c>
      <c r="D1354" s="6" t="inlineStr">
        <is>
          <t>X</t>
        </is>
      </c>
      <c r="E1354" s="6" t="n">
        <v>2872369467</v>
      </c>
    </row>
    <row r="1355">
      <c r="A1355" s="9" t="n">
        <v>2015</v>
      </c>
      <c r="B1355" s="9" t="inlineStr">
        <is>
          <t>oro-plata (manufacturas)</t>
        </is>
      </c>
      <c r="C1355" s="9" t="inlineStr">
        <is>
          <t>E4 Joyeria/orfebreria</t>
        </is>
      </c>
      <c r="D1355" s="9" t="inlineStr">
        <is>
          <t>M</t>
        </is>
      </c>
      <c r="E1355" s="9" t="n">
        <v>696050390</v>
      </c>
    </row>
    <row r="1356">
      <c r="A1356" s="6" t="n">
        <v>2015</v>
      </c>
      <c r="B1356" s="6" t="inlineStr">
        <is>
          <t>oro-plata (manufacturas)</t>
        </is>
      </c>
      <c r="C1356" s="6" t="inlineStr">
        <is>
          <t>E4 Joyeria/orfebreria</t>
        </is>
      </c>
      <c r="D1356" s="6" t="inlineStr">
        <is>
          <t>X</t>
        </is>
      </c>
      <c r="E1356" s="6" t="n">
        <v>602373143</v>
      </c>
    </row>
    <row r="1357">
      <c r="A1357" s="9" t="n">
        <v>2015</v>
      </c>
      <c r="B1357" s="9" t="inlineStr">
        <is>
          <t>plata</t>
        </is>
      </c>
      <c r="C1357" s="9" t="inlineStr">
        <is>
          <t>E1 Mena/concentrado</t>
        </is>
      </c>
      <c r="D1357" s="9" t="inlineStr">
        <is>
          <t>M</t>
        </is>
      </c>
      <c r="E1357" s="9" t="n">
        <v>2719</v>
      </c>
    </row>
    <row r="1358">
      <c r="A1358" s="6" t="n">
        <v>2015</v>
      </c>
      <c r="B1358" s="6" t="inlineStr">
        <is>
          <t>plata</t>
        </is>
      </c>
      <c r="C1358" s="6" t="inlineStr">
        <is>
          <t>E1 Mena/concentrado</t>
        </is>
      </c>
      <c r="D1358" s="6" t="inlineStr">
        <is>
          <t>X</t>
        </is>
      </c>
      <c r="E1358" s="6" t="n">
        <v>4428927</v>
      </c>
    </row>
    <row r="1359">
      <c r="A1359" s="9" t="n">
        <v>2015</v>
      </c>
      <c r="B1359" s="9" t="inlineStr">
        <is>
          <t>plata</t>
        </is>
      </c>
      <c r="C1359" s="9" t="inlineStr">
        <is>
          <t>E2 Bruto/semilabrado</t>
        </is>
      </c>
      <c r="D1359" s="9" t="inlineStr">
        <is>
          <t>M</t>
        </is>
      </c>
      <c r="E1359" s="9" t="n">
        <v>78763755</v>
      </c>
    </row>
    <row r="1360">
      <c r="A1360" s="6" t="n">
        <v>2015</v>
      </c>
      <c r="B1360" s="6" t="inlineStr">
        <is>
          <t>plata</t>
        </is>
      </c>
      <c r="C1360" s="6" t="inlineStr">
        <is>
          <t>E2 Bruto/semilabrado</t>
        </is>
      </c>
      <c r="D1360" s="6" t="inlineStr">
        <is>
          <t>X</t>
        </is>
      </c>
      <c r="E1360" s="6" t="n">
        <v>1854205755</v>
      </c>
    </row>
    <row r="1361">
      <c r="A1361" s="9" t="n">
        <v>2015</v>
      </c>
      <c r="B1361" s="9" t="inlineStr">
        <is>
          <t>plomo</t>
        </is>
      </c>
      <c r="C1361" s="9" t="inlineStr">
        <is>
          <t>E1 Mena/concentrado</t>
        </is>
      </c>
      <c r="D1361" s="9" t="inlineStr">
        <is>
          <t>M</t>
        </is>
      </c>
      <c r="E1361" s="9" t="n">
        <v>19654172</v>
      </c>
    </row>
    <row r="1362">
      <c r="A1362" s="6" t="n">
        <v>2015</v>
      </c>
      <c r="B1362" s="6" t="inlineStr">
        <is>
          <t>plomo</t>
        </is>
      </c>
      <c r="C1362" s="6" t="inlineStr">
        <is>
          <t>E1 Mena/concentrado</t>
        </is>
      </c>
      <c r="D1362" s="6" t="inlineStr">
        <is>
          <t>X</t>
        </is>
      </c>
      <c r="E1362" s="6" t="n">
        <v>893177730</v>
      </c>
    </row>
    <row r="1363">
      <c r="A1363" s="9" t="n">
        <v>2015</v>
      </c>
      <c r="B1363" s="9" t="inlineStr">
        <is>
          <t>plomo</t>
        </is>
      </c>
      <c r="C1363" s="9" t="inlineStr">
        <is>
          <t>E2 Metal en bruto/refinado</t>
        </is>
      </c>
      <c r="D1363" s="9" t="inlineStr">
        <is>
          <t>M</t>
        </is>
      </c>
      <c r="E1363" s="9" t="n">
        <v>34652673</v>
      </c>
    </row>
    <row r="1364">
      <c r="A1364" s="6" t="n">
        <v>2015</v>
      </c>
      <c r="B1364" s="6" t="inlineStr">
        <is>
          <t>plomo</t>
        </is>
      </c>
      <c r="C1364" s="6" t="inlineStr">
        <is>
          <t>E2 Metal en bruto/refinado</t>
        </is>
      </c>
      <c r="D1364" s="6" t="inlineStr">
        <is>
          <t>X</t>
        </is>
      </c>
      <c r="E1364" s="6" t="n">
        <v>166257785</v>
      </c>
    </row>
    <row r="1365">
      <c r="A1365" s="9" t="n">
        <v>2015</v>
      </c>
      <c r="B1365" s="9" t="inlineStr">
        <is>
          <t>plomo</t>
        </is>
      </c>
      <c r="C1365" s="9" t="inlineStr">
        <is>
          <t>E3 Semimanufacturas</t>
        </is>
      </c>
      <c r="D1365" s="9" t="inlineStr">
        <is>
          <t>M</t>
        </is>
      </c>
      <c r="E1365" s="9" t="n">
        <v>0</v>
      </c>
    </row>
    <row r="1366">
      <c r="A1366" s="6" t="n">
        <v>2015</v>
      </c>
      <c r="B1366" s="6" t="inlineStr">
        <is>
          <t>plomo</t>
        </is>
      </c>
      <c r="C1366" s="6" t="inlineStr">
        <is>
          <t>E3 Semimanufacturas</t>
        </is>
      </c>
      <c r="D1366" s="6" t="inlineStr">
        <is>
          <t>X</t>
        </is>
      </c>
      <c r="E1366" s="6" t="n">
        <v>132295</v>
      </c>
    </row>
    <row r="1367">
      <c r="A1367" s="9" t="n">
        <v>2015</v>
      </c>
      <c r="B1367" s="9" t="inlineStr">
        <is>
          <t>plomo</t>
        </is>
      </c>
      <c r="C1367" s="9" t="inlineStr">
        <is>
          <t>E4 Manufacturas</t>
        </is>
      </c>
      <c r="D1367" s="9" t="inlineStr">
        <is>
          <t>M</t>
        </is>
      </c>
      <c r="E1367" s="9" t="n">
        <v>7122679</v>
      </c>
    </row>
    <row r="1368">
      <c r="A1368" s="6" t="n">
        <v>2015</v>
      </c>
      <c r="B1368" s="6" t="inlineStr">
        <is>
          <t>plomo</t>
        </is>
      </c>
      <c r="C1368" s="6" t="inlineStr">
        <is>
          <t>E4 Manufacturas</t>
        </is>
      </c>
      <c r="D1368" s="6" t="inlineStr">
        <is>
          <t>X</t>
        </is>
      </c>
      <c r="E1368" s="6" t="n">
        <v>1949557</v>
      </c>
    </row>
    <row r="1369">
      <c r="A1369" s="9" t="n">
        <v>2015</v>
      </c>
      <c r="B1369" s="9" t="inlineStr">
        <is>
          <t>silice</t>
        </is>
      </c>
      <c r="C1369" s="9" t="inlineStr">
        <is>
          <t>E1 Arena silica/cuarzo</t>
        </is>
      </c>
      <c r="D1369" s="9" t="inlineStr">
        <is>
          <t>M</t>
        </is>
      </c>
      <c r="E1369" s="9" t="n">
        <v>66621984</v>
      </c>
    </row>
    <row r="1370">
      <c r="A1370" s="6" t="n">
        <v>2015</v>
      </c>
      <c r="B1370" s="6" t="inlineStr">
        <is>
          <t>silice</t>
        </is>
      </c>
      <c r="C1370" s="6" t="inlineStr">
        <is>
          <t>E1 Arena silica/cuarzo</t>
        </is>
      </c>
      <c r="D1370" s="6" t="inlineStr">
        <is>
          <t>X</t>
        </is>
      </c>
      <c r="E1370" s="6" t="n">
        <v>2315668</v>
      </c>
    </row>
    <row r="1371">
      <c r="A1371" s="9" t="n">
        <v>2015</v>
      </c>
      <c r="B1371" s="9" t="inlineStr">
        <is>
          <t>silice</t>
        </is>
      </c>
      <c r="C1371" s="9" t="inlineStr">
        <is>
          <t>E2 Silicio/ferrosilicio/SiO2</t>
        </is>
      </c>
      <c r="D1371" s="9" t="inlineStr">
        <is>
          <t>M</t>
        </is>
      </c>
      <c r="E1371" s="9" t="n">
        <v>212679881</v>
      </c>
    </row>
    <row r="1372">
      <c r="A1372" s="6" t="n">
        <v>2015</v>
      </c>
      <c r="B1372" s="6" t="inlineStr">
        <is>
          <t>silice</t>
        </is>
      </c>
      <c r="C1372" s="6" t="inlineStr">
        <is>
          <t>E2 Silicio/ferrosilicio/SiO2</t>
        </is>
      </c>
      <c r="D1372" s="6" t="inlineStr">
        <is>
          <t>X</t>
        </is>
      </c>
      <c r="E1372" s="6" t="n">
        <v>5472738</v>
      </c>
    </row>
    <row r="1373">
      <c r="A1373" s="9" t="n">
        <v>2015</v>
      </c>
      <c r="B1373" s="9" t="inlineStr">
        <is>
          <t>zinc</t>
        </is>
      </c>
      <c r="C1373" s="9" t="inlineStr">
        <is>
          <t>E1 Mena/concentrado</t>
        </is>
      </c>
      <c r="D1373" s="9" t="inlineStr">
        <is>
          <t>M</t>
        </is>
      </c>
      <c r="E1373" s="9" t="n">
        <v>3175749</v>
      </c>
    </row>
    <row r="1374">
      <c r="A1374" s="6" t="n">
        <v>2015</v>
      </c>
      <c r="B1374" s="6" t="inlineStr">
        <is>
          <t>zinc</t>
        </is>
      </c>
      <c r="C1374" s="6" t="inlineStr">
        <is>
          <t>E1 Mena/concentrado</t>
        </is>
      </c>
      <c r="D1374" s="6" t="inlineStr">
        <is>
          <t>X</t>
        </is>
      </c>
      <c r="E1374" s="6" t="n">
        <v>365685096</v>
      </c>
    </row>
    <row r="1375">
      <c r="A1375" s="9" t="n">
        <v>2015</v>
      </c>
      <c r="B1375" s="9" t="inlineStr">
        <is>
          <t>zinc</t>
        </is>
      </c>
      <c r="C1375" s="9" t="inlineStr">
        <is>
          <t>E2 Metal en bruto/refinado</t>
        </is>
      </c>
      <c r="D1375" s="9" t="inlineStr">
        <is>
          <t>M</t>
        </is>
      </c>
      <c r="E1375" s="9" t="n">
        <v>40010130</v>
      </c>
    </row>
    <row r="1376">
      <c r="A1376" s="6" t="n">
        <v>2015</v>
      </c>
      <c r="B1376" s="6" t="inlineStr">
        <is>
          <t>zinc</t>
        </is>
      </c>
      <c r="C1376" s="6" t="inlineStr">
        <is>
          <t>E2 Metal en bruto/refinado</t>
        </is>
      </c>
      <c r="D1376" s="6" t="inlineStr">
        <is>
          <t>X</t>
        </is>
      </c>
      <c r="E1376" s="6" t="n">
        <v>263224660</v>
      </c>
    </row>
    <row r="1377">
      <c r="A1377" s="9" t="n">
        <v>2015</v>
      </c>
      <c r="B1377" s="9" t="inlineStr">
        <is>
          <t>zinc</t>
        </is>
      </c>
      <c r="C1377" s="9" t="inlineStr">
        <is>
          <t>E3 Semimanufacturas</t>
        </is>
      </c>
      <c r="D1377" s="9" t="inlineStr">
        <is>
          <t>M</t>
        </is>
      </c>
      <c r="E1377" s="9" t="n">
        <v>41284254</v>
      </c>
    </row>
    <row r="1378">
      <c r="A1378" s="6" t="n">
        <v>2015</v>
      </c>
      <c r="B1378" s="6" t="inlineStr">
        <is>
          <t>zinc</t>
        </is>
      </c>
      <c r="C1378" s="6" t="inlineStr">
        <is>
          <t>E3 Semimanufacturas</t>
        </is>
      </c>
      <c r="D1378" s="6" t="inlineStr">
        <is>
          <t>X</t>
        </is>
      </c>
      <c r="E1378" s="6" t="n">
        <v>2498986</v>
      </c>
    </row>
    <row r="1379">
      <c r="A1379" s="9" t="n">
        <v>2015</v>
      </c>
      <c r="B1379" s="9" t="inlineStr">
        <is>
          <t>zinc</t>
        </is>
      </c>
      <c r="C1379" s="9" t="inlineStr">
        <is>
          <t>E4 Manufacturas</t>
        </is>
      </c>
      <c r="D1379" s="9" t="inlineStr">
        <is>
          <t>M</t>
        </is>
      </c>
      <c r="E1379" s="9" t="n">
        <v>63625654</v>
      </c>
    </row>
    <row r="1380">
      <c r="A1380" s="6" t="n">
        <v>2015</v>
      </c>
      <c r="B1380" s="6" t="inlineStr">
        <is>
          <t>zinc</t>
        </is>
      </c>
      <c r="C1380" s="6" t="inlineStr">
        <is>
          <t>E4 Manufacturas</t>
        </is>
      </c>
      <c r="D1380" s="6" t="inlineStr">
        <is>
          <t>X</t>
        </is>
      </c>
      <c r="E1380" s="6" t="n">
        <v>15449208</v>
      </c>
    </row>
    <row r="1381">
      <c r="A1381" s="9" t="n">
        <v>2016</v>
      </c>
      <c r="B1381" s="9" t="inlineStr">
        <is>
          <t>barita</t>
        </is>
      </c>
      <c r="C1381" s="9" t="inlineStr">
        <is>
          <t>E1 Crudo/molido</t>
        </is>
      </c>
      <c r="D1381" s="9" t="inlineStr">
        <is>
          <t>M</t>
        </is>
      </c>
      <c r="E1381" s="9" t="n">
        <v>1870242</v>
      </c>
    </row>
    <row r="1382">
      <c r="A1382" s="6" t="n">
        <v>2016</v>
      </c>
      <c r="B1382" s="6" t="inlineStr">
        <is>
          <t>barita</t>
        </is>
      </c>
      <c r="C1382" s="6" t="inlineStr">
        <is>
          <t>E1 Crudo/molido</t>
        </is>
      </c>
      <c r="D1382" s="6" t="inlineStr">
        <is>
          <t>X</t>
        </is>
      </c>
      <c r="E1382" s="6" t="n">
        <v>0</v>
      </c>
    </row>
    <row r="1383">
      <c r="A1383" s="9" t="n">
        <v>2016</v>
      </c>
      <c r="B1383" s="9" t="inlineStr">
        <is>
          <t>barita</t>
        </is>
      </c>
      <c r="C1383" s="9" t="inlineStr">
        <is>
          <t>E2 Quimicos de bario</t>
        </is>
      </c>
      <c r="D1383" s="9" t="inlineStr">
        <is>
          <t>M</t>
        </is>
      </c>
      <c r="E1383" s="9" t="n">
        <v>2512718</v>
      </c>
    </row>
    <row r="1384">
      <c r="A1384" s="6" t="n">
        <v>2016</v>
      </c>
      <c r="B1384" s="6" t="inlineStr">
        <is>
          <t>barita</t>
        </is>
      </c>
      <c r="C1384" s="6" t="inlineStr">
        <is>
          <t>E2 Quimicos de bario</t>
        </is>
      </c>
      <c r="D1384" s="6" t="inlineStr">
        <is>
          <t>X</t>
        </is>
      </c>
      <c r="E1384" s="6" t="n">
        <v>0</v>
      </c>
    </row>
    <row r="1385">
      <c r="A1385" s="9" t="n">
        <v>2016</v>
      </c>
      <c r="B1385" s="9" t="inlineStr">
        <is>
          <t>cobre</t>
        </is>
      </c>
      <c r="C1385" s="9" t="inlineStr">
        <is>
          <t>E1 Mena/concentrado</t>
        </is>
      </c>
      <c r="D1385" s="9" t="inlineStr">
        <is>
          <t>M</t>
        </is>
      </c>
      <c r="E1385" s="9" t="n">
        <v>131899433</v>
      </c>
    </row>
    <row r="1386">
      <c r="A1386" s="6" t="n">
        <v>2016</v>
      </c>
      <c r="B1386" s="6" t="inlineStr">
        <is>
          <t>cobre</t>
        </is>
      </c>
      <c r="C1386" s="6" t="inlineStr">
        <is>
          <t>E1 Mena/concentrado</t>
        </is>
      </c>
      <c r="D1386" s="6" t="inlineStr">
        <is>
          <t>X</t>
        </is>
      </c>
      <c r="E1386" s="6" t="n">
        <v>1323559500</v>
      </c>
    </row>
    <row r="1387">
      <c r="A1387" s="9" t="n">
        <v>2016</v>
      </c>
      <c r="B1387" s="9" t="inlineStr">
        <is>
          <t>cobre</t>
        </is>
      </c>
      <c r="C1387" s="9" t="inlineStr">
        <is>
          <t>E2 Metal en bruto/refinado</t>
        </is>
      </c>
      <c r="D1387" s="9" t="inlineStr">
        <is>
          <t>M</t>
        </is>
      </c>
      <c r="E1387" s="9" t="n">
        <v>544439957</v>
      </c>
    </row>
    <row r="1388">
      <c r="A1388" s="6" t="n">
        <v>2016</v>
      </c>
      <c r="B1388" s="6" t="inlineStr">
        <is>
          <t>cobre</t>
        </is>
      </c>
      <c r="C1388" s="6" t="inlineStr">
        <is>
          <t>E2 Metal en bruto/refinado</t>
        </is>
      </c>
      <c r="D1388" s="6" t="inlineStr">
        <is>
          <t>X</t>
        </is>
      </c>
      <c r="E1388" s="6" t="n">
        <v>849212300</v>
      </c>
    </row>
    <row r="1389">
      <c r="A1389" s="9" t="n">
        <v>2016</v>
      </c>
      <c r="B1389" s="9" t="inlineStr">
        <is>
          <t>cobre</t>
        </is>
      </c>
      <c r="C1389" s="9" t="inlineStr">
        <is>
          <t>E3 Semimanufacturas</t>
        </is>
      </c>
      <c r="D1389" s="9" t="inlineStr">
        <is>
          <t>M</t>
        </is>
      </c>
      <c r="E1389" s="9" t="n">
        <v>1615400657</v>
      </c>
    </row>
    <row r="1390">
      <c r="A1390" s="6" t="n">
        <v>2016</v>
      </c>
      <c r="B1390" s="6" t="inlineStr">
        <is>
          <t>cobre</t>
        </is>
      </c>
      <c r="C1390" s="6" t="inlineStr">
        <is>
          <t>E3 Semimanufacturas</t>
        </is>
      </c>
      <c r="D1390" s="6" t="inlineStr">
        <is>
          <t>X</t>
        </is>
      </c>
      <c r="E1390" s="6" t="n">
        <v>439471037</v>
      </c>
    </row>
    <row r="1391">
      <c r="A1391" s="9" t="n">
        <v>2016</v>
      </c>
      <c r="B1391" s="9" t="inlineStr">
        <is>
          <t>cobre</t>
        </is>
      </c>
      <c r="C1391" s="9" t="inlineStr">
        <is>
          <t>E4 Manufacturas</t>
        </is>
      </c>
      <c r="D1391" s="9" t="inlineStr">
        <is>
          <t>M</t>
        </is>
      </c>
      <c r="E1391" s="9" t="n">
        <v>329722817</v>
      </c>
    </row>
    <row r="1392">
      <c r="A1392" s="6" t="n">
        <v>2016</v>
      </c>
      <c r="B1392" s="6" t="inlineStr">
        <is>
          <t>cobre</t>
        </is>
      </c>
      <c r="C1392" s="6" t="inlineStr">
        <is>
          <t>E4 Manufacturas</t>
        </is>
      </c>
      <c r="D1392" s="6" t="inlineStr">
        <is>
          <t>X</t>
        </is>
      </c>
      <c r="E1392" s="6" t="n">
        <v>58244998</v>
      </c>
    </row>
    <row r="1393">
      <c r="A1393" s="9" t="n">
        <v>2016</v>
      </c>
      <c r="B1393" s="9" t="inlineStr">
        <is>
          <t>fluorita</t>
        </is>
      </c>
      <c r="C1393" s="9" t="inlineStr">
        <is>
          <t>E1 Espato fluor (crudo)</t>
        </is>
      </c>
      <c r="D1393" s="9" t="inlineStr">
        <is>
          <t>M</t>
        </is>
      </c>
      <c r="E1393" s="9" t="n">
        <v>88162</v>
      </c>
    </row>
    <row r="1394">
      <c r="A1394" s="6" t="n">
        <v>2016</v>
      </c>
      <c r="B1394" s="6" t="inlineStr">
        <is>
          <t>fluorita</t>
        </is>
      </c>
      <c r="C1394" s="6" t="inlineStr">
        <is>
          <t>E1 Espato fluor (crudo)</t>
        </is>
      </c>
      <c r="D1394" s="6" t="inlineStr">
        <is>
          <t>X</t>
        </is>
      </c>
      <c r="E1394" s="6" t="n">
        <v>62572145</v>
      </c>
    </row>
    <row r="1395">
      <c r="A1395" s="9" t="n">
        <v>2016</v>
      </c>
      <c r="B1395" s="9" t="inlineStr">
        <is>
          <t>fluorita</t>
        </is>
      </c>
      <c r="C1395" s="9" t="inlineStr">
        <is>
          <t>E2 Fluoroquimica</t>
        </is>
      </c>
      <c r="D1395" s="9" t="inlineStr">
        <is>
          <t>M</t>
        </is>
      </c>
      <c r="E1395" s="9" t="n">
        <v>31373703</v>
      </c>
    </row>
    <row r="1396">
      <c r="A1396" s="6" t="n">
        <v>2016</v>
      </c>
      <c r="B1396" s="6" t="inlineStr">
        <is>
          <t>fluorita</t>
        </is>
      </c>
      <c r="C1396" s="6" t="inlineStr">
        <is>
          <t>E2 Fluoroquimica</t>
        </is>
      </c>
      <c r="D1396" s="6" t="inlineStr">
        <is>
          <t>X</t>
        </is>
      </c>
      <c r="E1396" s="6" t="n">
        <v>170727897</v>
      </c>
    </row>
    <row r="1397">
      <c r="A1397" s="9" t="n">
        <v>2016</v>
      </c>
      <c r="B1397" s="9" t="inlineStr">
        <is>
          <t>grafito</t>
        </is>
      </c>
      <c r="C1397" s="9" t="inlineStr">
        <is>
          <t>E1 Grafito natural</t>
        </is>
      </c>
      <c r="D1397" s="9" t="inlineStr">
        <is>
          <t>M</t>
        </is>
      </c>
      <c r="E1397" s="9" t="n">
        <v>2645553</v>
      </c>
    </row>
    <row r="1398">
      <c r="A1398" s="6" t="n">
        <v>2016</v>
      </c>
      <c r="B1398" s="6" t="inlineStr">
        <is>
          <t>grafito</t>
        </is>
      </c>
      <c r="C1398" s="6" t="inlineStr">
        <is>
          <t>E1 Grafito natural</t>
        </is>
      </c>
      <c r="D1398" s="6" t="inlineStr">
        <is>
          <t>X</t>
        </is>
      </c>
      <c r="E1398" s="6" t="n">
        <v>3889142</v>
      </c>
    </row>
    <row r="1399">
      <c r="A1399" s="9" t="n">
        <v>2016</v>
      </c>
      <c r="B1399" s="9" t="inlineStr">
        <is>
          <t>grafito</t>
        </is>
      </c>
      <c r="C1399" s="9" t="inlineStr">
        <is>
          <t>E2 Grafito artificial/prep.</t>
        </is>
      </c>
      <c r="D1399" s="9" t="inlineStr">
        <is>
          <t>M</t>
        </is>
      </c>
      <c r="E1399" s="9" t="n">
        <v>25385642</v>
      </c>
    </row>
    <row r="1400">
      <c r="A1400" s="6" t="n">
        <v>2016</v>
      </c>
      <c r="B1400" s="6" t="inlineStr">
        <is>
          <t>grafito</t>
        </is>
      </c>
      <c r="C1400" s="6" t="inlineStr">
        <is>
          <t>E2 Grafito artificial/prep.</t>
        </is>
      </c>
      <c r="D1400" s="6" t="inlineStr">
        <is>
          <t>X</t>
        </is>
      </c>
      <c r="E1400" s="6" t="n">
        <v>29900022</v>
      </c>
    </row>
    <row r="1401">
      <c r="A1401" s="9" t="n">
        <v>2016</v>
      </c>
      <c r="B1401" s="9" t="inlineStr">
        <is>
          <t>grafito</t>
        </is>
      </c>
      <c r="C1401" s="9" t="inlineStr">
        <is>
          <t>E3 Electrodos/articulos de carbono</t>
        </is>
      </c>
      <c r="D1401" s="9" t="inlineStr">
        <is>
          <t>M</t>
        </is>
      </c>
      <c r="E1401" s="9" t="n">
        <v>77598064</v>
      </c>
    </row>
    <row r="1402">
      <c r="A1402" s="6" t="n">
        <v>2016</v>
      </c>
      <c r="B1402" s="6" t="inlineStr">
        <is>
          <t>grafito</t>
        </is>
      </c>
      <c r="C1402" s="6" t="inlineStr">
        <is>
          <t>E3 Electrodos/articulos de carbono</t>
        </is>
      </c>
      <c r="D1402" s="6" t="inlineStr">
        <is>
          <t>X</t>
        </is>
      </c>
      <c r="E1402" s="6" t="n">
        <v>60943822</v>
      </c>
    </row>
    <row r="1403">
      <c r="A1403" s="9" t="n">
        <v>2016</v>
      </c>
      <c r="B1403" s="9" t="inlineStr">
        <is>
          <t>manganeso</t>
        </is>
      </c>
      <c r="C1403" s="9" t="inlineStr">
        <is>
          <t>E1 Mena/concentrado</t>
        </is>
      </c>
      <c r="D1403" s="9" t="inlineStr">
        <is>
          <t>M</t>
        </is>
      </c>
      <c r="E1403" s="9" t="n">
        <v>11562621</v>
      </c>
    </row>
    <row r="1404">
      <c r="A1404" s="6" t="n">
        <v>2016</v>
      </c>
      <c r="B1404" s="6" t="inlineStr">
        <is>
          <t>manganeso</t>
        </is>
      </c>
      <c r="C1404" s="6" t="inlineStr">
        <is>
          <t>E1 Mena/concentrado</t>
        </is>
      </c>
      <c r="D1404" s="6" t="inlineStr">
        <is>
          <t>X</t>
        </is>
      </c>
      <c r="E1404" s="6" t="n">
        <v>0</v>
      </c>
    </row>
    <row r="1405">
      <c r="A1405" s="9" t="n">
        <v>2016</v>
      </c>
      <c r="B1405" s="9" t="inlineStr">
        <is>
          <t>manganeso</t>
        </is>
      </c>
      <c r="C1405" s="9" t="inlineStr">
        <is>
          <t>E2 Ferroaleaciones</t>
        </is>
      </c>
      <c r="D1405" s="9" t="inlineStr">
        <is>
          <t>M</t>
        </is>
      </c>
      <c r="E1405" s="9" t="n">
        <v>16343053</v>
      </c>
    </row>
    <row r="1406">
      <c r="A1406" s="6" t="n">
        <v>2016</v>
      </c>
      <c r="B1406" s="6" t="inlineStr">
        <is>
          <t>manganeso</t>
        </is>
      </c>
      <c r="C1406" s="6" t="inlineStr">
        <is>
          <t>E2 Ferroaleaciones</t>
        </is>
      </c>
      <c r="D1406" s="6" t="inlineStr">
        <is>
          <t>X</t>
        </is>
      </c>
      <c r="E1406" s="6" t="n">
        <v>33549583</v>
      </c>
    </row>
    <row r="1407">
      <c r="A1407" s="9" t="n">
        <v>2016</v>
      </c>
      <c r="B1407" s="9" t="inlineStr">
        <is>
          <t>manganeso</t>
        </is>
      </c>
      <c r="C1407" s="9" t="inlineStr">
        <is>
          <t>E3 Quimicos/metal</t>
        </is>
      </c>
      <c r="D1407" s="9" t="inlineStr">
        <is>
          <t>M</t>
        </is>
      </c>
      <c r="E1407" s="9" t="n">
        <v>10951881</v>
      </c>
    </row>
    <row r="1408">
      <c r="A1408" s="6" t="n">
        <v>2016</v>
      </c>
      <c r="B1408" s="6" t="inlineStr">
        <is>
          <t>manganeso</t>
        </is>
      </c>
      <c r="C1408" s="6" t="inlineStr">
        <is>
          <t>E3 Quimicos/metal</t>
        </is>
      </c>
      <c r="D1408" s="6" t="inlineStr">
        <is>
          <t>X</t>
        </is>
      </c>
      <c r="E1408" s="6" t="n">
        <v>904551</v>
      </c>
    </row>
    <row r="1409">
      <c r="A1409" s="9" t="n">
        <v>2016</v>
      </c>
      <c r="B1409" s="9" t="inlineStr">
        <is>
          <t>oro</t>
        </is>
      </c>
      <c r="C1409" s="9" t="inlineStr">
        <is>
          <t>E1 Mena/concentrado</t>
        </is>
      </c>
      <c r="D1409" s="9" t="inlineStr">
        <is>
          <t>M</t>
        </is>
      </c>
      <c r="E1409" s="9" t="n">
        <v>26</v>
      </c>
    </row>
    <row r="1410">
      <c r="A1410" s="6" t="n">
        <v>2016</v>
      </c>
      <c r="B1410" s="6" t="inlineStr">
        <is>
          <t>oro</t>
        </is>
      </c>
      <c r="C1410" s="6" t="inlineStr">
        <is>
          <t>E1 Mena/concentrado</t>
        </is>
      </c>
      <c r="D1410" s="6" t="inlineStr">
        <is>
          <t>X</t>
        </is>
      </c>
      <c r="E1410" s="6" t="n">
        <v>248450033</v>
      </c>
    </row>
    <row r="1411">
      <c r="A1411" s="9" t="n">
        <v>2016</v>
      </c>
      <c r="B1411" s="9" t="inlineStr">
        <is>
          <t>oro</t>
        </is>
      </c>
      <c r="C1411" s="9" t="inlineStr">
        <is>
          <t>E2 Bruto/semilabrado</t>
        </is>
      </c>
      <c r="D1411" s="9" t="inlineStr">
        <is>
          <t>M</t>
        </is>
      </c>
      <c r="E1411" s="9" t="n">
        <v>146370633</v>
      </c>
    </row>
    <row r="1412">
      <c r="A1412" s="6" t="n">
        <v>2016</v>
      </c>
      <c r="B1412" s="6" t="inlineStr">
        <is>
          <t>oro</t>
        </is>
      </c>
      <c r="C1412" s="6" t="inlineStr">
        <is>
          <t>E2 Bruto/semilabrado</t>
        </is>
      </c>
      <c r="D1412" s="6" t="inlineStr">
        <is>
          <t>X</t>
        </is>
      </c>
      <c r="E1412" s="6" t="n">
        <v>3239243110</v>
      </c>
    </row>
    <row r="1413">
      <c r="A1413" s="9" t="n">
        <v>2016</v>
      </c>
      <c r="B1413" s="9" t="inlineStr">
        <is>
          <t>oro-plata (manufacturas)</t>
        </is>
      </c>
      <c r="C1413" s="9" t="inlineStr">
        <is>
          <t>E4 Joyeria/orfebreria</t>
        </is>
      </c>
      <c r="D1413" s="9" t="inlineStr">
        <is>
          <t>M</t>
        </is>
      </c>
      <c r="E1413" s="9" t="n">
        <v>506342288</v>
      </c>
    </row>
    <row r="1414">
      <c r="A1414" s="6" t="n">
        <v>2016</v>
      </c>
      <c r="B1414" s="6" t="inlineStr">
        <is>
          <t>oro-plata (manufacturas)</t>
        </is>
      </c>
      <c r="C1414" s="6" t="inlineStr">
        <is>
          <t>E4 Joyeria/orfebreria</t>
        </is>
      </c>
      <c r="D1414" s="6" t="inlineStr">
        <is>
          <t>X</t>
        </is>
      </c>
      <c r="E1414" s="6" t="n">
        <v>431545958</v>
      </c>
    </row>
    <row r="1415">
      <c r="A1415" s="9" t="n">
        <v>2016</v>
      </c>
      <c r="B1415" s="9" t="inlineStr">
        <is>
          <t>plata</t>
        </is>
      </c>
      <c r="C1415" s="9" t="inlineStr">
        <is>
          <t>E1 Mena/concentrado</t>
        </is>
      </c>
      <c r="D1415" s="9" t="inlineStr">
        <is>
          <t>M</t>
        </is>
      </c>
      <c r="E1415" s="9" t="n">
        <v>5836</v>
      </c>
    </row>
    <row r="1416">
      <c r="A1416" s="6" t="n">
        <v>2016</v>
      </c>
      <c r="B1416" s="6" t="inlineStr">
        <is>
          <t>plata</t>
        </is>
      </c>
      <c r="C1416" s="6" t="inlineStr">
        <is>
          <t>E1 Mena/concentrado</t>
        </is>
      </c>
      <c r="D1416" s="6" t="inlineStr">
        <is>
          <t>X</t>
        </is>
      </c>
      <c r="E1416" s="6" t="n">
        <v>25474960</v>
      </c>
    </row>
    <row r="1417">
      <c r="A1417" s="9" t="n">
        <v>2016</v>
      </c>
      <c r="B1417" s="9" t="inlineStr">
        <is>
          <t>plata</t>
        </is>
      </c>
      <c r="C1417" s="9" t="inlineStr">
        <is>
          <t>E2 Bruto/semilabrado</t>
        </is>
      </c>
      <c r="D1417" s="9" t="inlineStr">
        <is>
          <t>M</t>
        </is>
      </c>
      <c r="E1417" s="9" t="n">
        <v>67779605</v>
      </c>
    </row>
    <row r="1418">
      <c r="A1418" s="6" t="n">
        <v>2016</v>
      </c>
      <c r="B1418" s="6" t="inlineStr">
        <is>
          <t>plata</t>
        </is>
      </c>
      <c r="C1418" s="6" t="inlineStr">
        <is>
          <t>E2 Bruto/semilabrado</t>
        </is>
      </c>
      <c r="D1418" s="6" t="inlineStr">
        <is>
          <t>X</t>
        </is>
      </c>
      <c r="E1418" s="6" t="n">
        <v>1881367958</v>
      </c>
    </row>
    <row r="1419">
      <c r="A1419" s="9" t="n">
        <v>2016</v>
      </c>
      <c r="B1419" s="9" t="inlineStr">
        <is>
          <t>plomo</t>
        </is>
      </c>
      <c r="C1419" s="9" t="inlineStr">
        <is>
          <t>E1 Mena/concentrado</t>
        </is>
      </c>
      <c r="D1419" s="9" t="inlineStr">
        <is>
          <t>M</t>
        </is>
      </c>
      <c r="E1419" s="9" t="n">
        <v>16344571</v>
      </c>
    </row>
    <row r="1420">
      <c r="A1420" s="6" t="n">
        <v>2016</v>
      </c>
      <c r="B1420" s="6" t="inlineStr">
        <is>
          <t>plomo</t>
        </is>
      </c>
      <c r="C1420" s="6" t="inlineStr">
        <is>
          <t>E1 Mena/concentrado</t>
        </is>
      </c>
      <c r="D1420" s="6" t="inlineStr">
        <is>
          <t>X</t>
        </is>
      </c>
      <c r="E1420" s="6" t="n">
        <v>780501188</v>
      </c>
    </row>
    <row r="1421">
      <c r="A1421" s="9" t="n">
        <v>2016</v>
      </c>
      <c r="B1421" s="9" t="inlineStr">
        <is>
          <t>plomo</t>
        </is>
      </c>
      <c r="C1421" s="9" t="inlineStr">
        <is>
          <t>E2 Metal en bruto/refinado</t>
        </is>
      </c>
      <c r="D1421" s="9" t="inlineStr">
        <is>
          <t>M</t>
        </is>
      </c>
      <c r="E1421" s="9" t="n">
        <v>41185464</v>
      </c>
    </row>
    <row r="1422">
      <c r="A1422" s="6" t="n">
        <v>2016</v>
      </c>
      <c r="B1422" s="6" t="inlineStr">
        <is>
          <t>plomo</t>
        </is>
      </c>
      <c r="C1422" s="6" t="inlineStr">
        <is>
          <t>E2 Metal en bruto/refinado</t>
        </is>
      </c>
      <c r="D1422" s="6" t="inlineStr">
        <is>
          <t>X</t>
        </is>
      </c>
      <c r="E1422" s="6" t="n">
        <v>120293116</v>
      </c>
    </row>
    <row r="1423">
      <c r="A1423" s="9" t="n">
        <v>2016</v>
      </c>
      <c r="B1423" s="9" t="inlineStr">
        <is>
          <t>plomo</t>
        </is>
      </c>
      <c r="C1423" s="9" t="inlineStr">
        <is>
          <t>E3 Semimanufacturas</t>
        </is>
      </c>
      <c r="D1423" s="9" t="inlineStr">
        <is>
          <t>M</t>
        </is>
      </c>
      <c r="E1423" s="9" t="n">
        <v>0</v>
      </c>
    </row>
    <row r="1424">
      <c r="A1424" s="6" t="n">
        <v>2016</v>
      </c>
      <c r="B1424" s="6" t="inlineStr">
        <is>
          <t>plomo</t>
        </is>
      </c>
      <c r="C1424" s="6" t="inlineStr">
        <is>
          <t>E3 Semimanufacturas</t>
        </is>
      </c>
      <c r="D1424" s="6" t="inlineStr">
        <is>
          <t>X</t>
        </is>
      </c>
      <c r="E1424" s="6" t="n">
        <v>1065391</v>
      </c>
    </row>
    <row r="1425">
      <c r="A1425" s="9" t="n">
        <v>2016</v>
      </c>
      <c r="B1425" s="9" t="inlineStr">
        <is>
          <t>plomo</t>
        </is>
      </c>
      <c r="C1425" s="9" t="inlineStr">
        <is>
          <t>E4 Manufacturas</t>
        </is>
      </c>
      <c r="D1425" s="9" t="inlineStr">
        <is>
          <t>M</t>
        </is>
      </c>
      <c r="E1425" s="9" t="n">
        <v>13653640</v>
      </c>
    </row>
    <row r="1426">
      <c r="A1426" s="6" t="n">
        <v>2016</v>
      </c>
      <c r="B1426" s="6" t="inlineStr">
        <is>
          <t>plomo</t>
        </is>
      </c>
      <c r="C1426" s="6" t="inlineStr">
        <is>
          <t>E4 Manufacturas</t>
        </is>
      </c>
      <c r="D1426" s="6" t="inlineStr">
        <is>
          <t>X</t>
        </is>
      </c>
      <c r="E1426" s="6" t="n">
        <v>2817684</v>
      </c>
    </row>
    <row r="1427">
      <c r="A1427" s="9" t="n">
        <v>2016</v>
      </c>
      <c r="B1427" s="9" t="inlineStr">
        <is>
          <t>silice</t>
        </is>
      </c>
      <c r="C1427" s="9" t="inlineStr">
        <is>
          <t>E1 Arena silica/cuarzo</t>
        </is>
      </c>
      <c r="D1427" s="9" t="inlineStr">
        <is>
          <t>M</t>
        </is>
      </c>
      <c r="E1427" s="9" t="n">
        <v>62535076</v>
      </c>
    </row>
    <row r="1428">
      <c r="A1428" s="6" t="n">
        <v>2016</v>
      </c>
      <c r="B1428" s="6" t="inlineStr">
        <is>
          <t>silice</t>
        </is>
      </c>
      <c r="C1428" s="6" t="inlineStr">
        <is>
          <t>E1 Arena silica/cuarzo</t>
        </is>
      </c>
      <c r="D1428" s="6" t="inlineStr">
        <is>
          <t>X</t>
        </is>
      </c>
      <c r="E1428" s="6" t="n">
        <v>1864350</v>
      </c>
    </row>
    <row r="1429">
      <c r="A1429" s="9" t="n">
        <v>2016</v>
      </c>
      <c r="B1429" s="9" t="inlineStr">
        <is>
          <t>silice</t>
        </is>
      </c>
      <c r="C1429" s="9" t="inlineStr">
        <is>
          <t>E2 Silicio/ferrosilicio/SiO2</t>
        </is>
      </c>
      <c r="D1429" s="9" t="inlineStr">
        <is>
          <t>M</t>
        </is>
      </c>
      <c r="E1429" s="9" t="n">
        <v>199757518</v>
      </c>
    </row>
    <row r="1430">
      <c r="A1430" s="6" t="n">
        <v>2016</v>
      </c>
      <c r="B1430" s="6" t="inlineStr">
        <is>
          <t>silice</t>
        </is>
      </c>
      <c r="C1430" s="6" t="inlineStr">
        <is>
          <t>E2 Silicio/ferrosilicio/SiO2</t>
        </is>
      </c>
      <c r="D1430" s="6" t="inlineStr">
        <is>
          <t>X</t>
        </is>
      </c>
      <c r="E1430" s="6" t="n">
        <v>5166174</v>
      </c>
    </row>
    <row r="1431">
      <c r="A1431" s="9" t="n">
        <v>2016</v>
      </c>
      <c r="B1431" s="9" t="inlineStr">
        <is>
          <t>zinc</t>
        </is>
      </c>
      <c r="C1431" s="9" t="inlineStr">
        <is>
          <t>E1 Mena/concentrado</t>
        </is>
      </c>
      <c r="D1431" s="9" t="inlineStr">
        <is>
          <t>M</t>
        </is>
      </c>
      <c r="E1431" s="9" t="n">
        <v>223633</v>
      </c>
    </row>
    <row r="1432">
      <c r="A1432" s="6" t="n">
        <v>2016</v>
      </c>
      <c r="B1432" s="6" t="inlineStr">
        <is>
          <t>zinc</t>
        </is>
      </c>
      <c r="C1432" s="6" t="inlineStr">
        <is>
          <t>E1 Mena/concentrado</t>
        </is>
      </c>
      <c r="D1432" s="6" t="inlineStr">
        <is>
          <t>X</t>
        </is>
      </c>
      <c r="E1432" s="6" t="n">
        <v>564250705</v>
      </c>
    </row>
    <row r="1433">
      <c r="A1433" s="9" t="n">
        <v>2016</v>
      </c>
      <c r="B1433" s="9" t="inlineStr">
        <is>
          <t>zinc</t>
        </is>
      </c>
      <c r="C1433" s="9" t="inlineStr">
        <is>
          <t>E2 Metal en bruto/refinado</t>
        </is>
      </c>
      <c r="D1433" s="9" t="inlineStr">
        <is>
          <t>M</t>
        </is>
      </c>
      <c r="E1433" s="9" t="n">
        <v>70221667</v>
      </c>
    </row>
    <row r="1434">
      <c r="A1434" s="6" t="n">
        <v>2016</v>
      </c>
      <c r="B1434" s="6" t="inlineStr">
        <is>
          <t>zinc</t>
        </is>
      </c>
      <c r="C1434" s="6" t="inlineStr">
        <is>
          <t>E2 Metal en bruto/refinado</t>
        </is>
      </c>
      <c r="D1434" s="6" t="inlineStr">
        <is>
          <t>X</t>
        </is>
      </c>
      <c r="E1434" s="6" t="n">
        <v>199503651</v>
      </c>
    </row>
    <row r="1435">
      <c r="A1435" s="9" t="n">
        <v>2016</v>
      </c>
      <c r="B1435" s="9" t="inlineStr">
        <is>
          <t>zinc</t>
        </is>
      </c>
      <c r="C1435" s="9" t="inlineStr">
        <is>
          <t>E3 Semimanufacturas</t>
        </is>
      </c>
      <c r="D1435" s="9" t="inlineStr">
        <is>
          <t>M</t>
        </is>
      </c>
      <c r="E1435" s="9" t="n">
        <v>40460111</v>
      </c>
    </row>
    <row r="1436">
      <c r="A1436" s="6" t="n">
        <v>2016</v>
      </c>
      <c r="B1436" s="6" t="inlineStr">
        <is>
          <t>zinc</t>
        </is>
      </c>
      <c r="C1436" s="6" t="inlineStr">
        <is>
          <t>E3 Semimanufacturas</t>
        </is>
      </c>
      <c r="D1436" s="6" t="inlineStr">
        <is>
          <t>X</t>
        </is>
      </c>
      <c r="E1436" s="6" t="n">
        <v>763102</v>
      </c>
    </row>
    <row r="1437">
      <c r="A1437" s="9" t="n">
        <v>2016</v>
      </c>
      <c r="B1437" s="9" t="inlineStr">
        <is>
          <t>zinc</t>
        </is>
      </c>
      <c r="C1437" s="9" t="inlineStr">
        <is>
          <t>E4 Manufacturas</t>
        </is>
      </c>
      <c r="D1437" s="9" t="inlineStr">
        <is>
          <t>M</t>
        </is>
      </c>
      <c r="E1437" s="9" t="n">
        <v>63308575</v>
      </c>
    </row>
    <row r="1438">
      <c r="A1438" s="6" t="n">
        <v>2016</v>
      </c>
      <c r="B1438" s="6" t="inlineStr">
        <is>
          <t>zinc</t>
        </is>
      </c>
      <c r="C1438" s="6" t="inlineStr">
        <is>
          <t>E4 Manufacturas</t>
        </is>
      </c>
      <c r="D1438" s="6" t="inlineStr">
        <is>
          <t>X</t>
        </is>
      </c>
      <c r="E1438" s="6" t="n">
        <v>15652596</v>
      </c>
    </row>
    <row r="1439">
      <c r="A1439" s="9" t="n">
        <v>2017</v>
      </c>
      <c r="B1439" s="9" t="inlineStr">
        <is>
          <t>barita</t>
        </is>
      </c>
      <c r="C1439" s="9" t="inlineStr">
        <is>
          <t>E1 Crudo/molido</t>
        </is>
      </c>
      <c r="D1439" s="9" t="inlineStr">
        <is>
          <t>M</t>
        </is>
      </c>
      <c r="E1439" s="9" t="n">
        <v>0</v>
      </c>
    </row>
    <row r="1440">
      <c r="A1440" s="6" t="n">
        <v>2017</v>
      </c>
      <c r="B1440" s="6" t="inlineStr">
        <is>
          <t>barita</t>
        </is>
      </c>
      <c r="C1440" s="6" t="inlineStr">
        <is>
          <t>E1 Crudo/molido</t>
        </is>
      </c>
      <c r="D1440" s="6" t="inlineStr">
        <is>
          <t>X</t>
        </is>
      </c>
      <c r="E1440" s="6" t="n">
        <v>0</v>
      </c>
    </row>
    <row r="1441">
      <c r="A1441" s="9" t="n">
        <v>2017</v>
      </c>
      <c r="B1441" s="9" t="inlineStr">
        <is>
          <t>barita</t>
        </is>
      </c>
      <c r="C1441" s="9" t="inlineStr">
        <is>
          <t>E2 Quimicos de bario</t>
        </is>
      </c>
      <c r="D1441" s="9" t="inlineStr">
        <is>
          <t>M</t>
        </is>
      </c>
      <c r="E1441" s="9" t="n">
        <v>3296871</v>
      </c>
    </row>
    <row r="1442">
      <c r="A1442" s="6" t="n">
        <v>2017</v>
      </c>
      <c r="B1442" s="6" t="inlineStr">
        <is>
          <t>barita</t>
        </is>
      </c>
      <c r="C1442" s="6" t="inlineStr">
        <is>
          <t>E2 Quimicos de bario</t>
        </is>
      </c>
      <c r="D1442" s="6" t="inlineStr">
        <is>
          <t>X</t>
        </is>
      </c>
      <c r="E1442" s="6" t="n">
        <v>27260</v>
      </c>
    </row>
    <row r="1443">
      <c r="A1443" s="9" t="n">
        <v>2017</v>
      </c>
      <c r="B1443" s="9" t="inlineStr">
        <is>
          <t>cobre</t>
        </is>
      </c>
      <c r="C1443" s="9" t="inlineStr">
        <is>
          <t>E1 Mena/concentrado</t>
        </is>
      </c>
      <c r="D1443" s="9" t="inlineStr">
        <is>
          <t>M</t>
        </is>
      </c>
      <c r="E1443" s="9" t="n">
        <v>202968540</v>
      </c>
    </row>
    <row r="1444">
      <c r="A1444" s="6" t="n">
        <v>2017</v>
      </c>
      <c r="B1444" s="6" t="inlineStr">
        <is>
          <t>cobre</t>
        </is>
      </c>
      <c r="C1444" s="6" t="inlineStr">
        <is>
          <t>E1 Mena/concentrado</t>
        </is>
      </c>
      <c r="D1444" s="6" t="inlineStr">
        <is>
          <t>X</t>
        </is>
      </c>
      <c r="E1444" s="6" t="n">
        <v>1568943333</v>
      </c>
    </row>
    <row r="1445">
      <c r="A1445" s="9" t="n">
        <v>2017</v>
      </c>
      <c r="B1445" s="9" t="inlineStr">
        <is>
          <t>cobre</t>
        </is>
      </c>
      <c r="C1445" s="9" t="inlineStr">
        <is>
          <t>E2 Metal en bruto/refinado</t>
        </is>
      </c>
      <c r="D1445" s="9" t="inlineStr">
        <is>
          <t>M</t>
        </is>
      </c>
      <c r="E1445" s="9" t="n">
        <v>709165802</v>
      </c>
    </row>
    <row r="1446">
      <c r="A1446" s="6" t="n">
        <v>2017</v>
      </c>
      <c r="B1446" s="6" t="inlineStr">
        <is>
          <t>cobre</t>
        </is>
      </c>
      <c r="C1446" s="6" t="inlineStr">
        <is>
          <t>E2 Metal en bruto/refinado</t>
        </is>
      </c>
      <c r="D1446" s="6" t="inlineStr">
        <is>
          <t>X</t>
        </is>
      </c>
      <c r="E1446" s="6" t="n">
        <v>880701469</v>
      </c>
    </row>
    <row r="1447">
      <c r="A1447" s="9" t="n">
        <v>2017</v>
      </c>
      <c r="B1447" s="9" t="inlineStr">
        <is>
          <t>cobre</t>
        </is>
      </c>
      <c r="C1447" s="9" t="inlineStr">
        <is>
          <t>E3 Semimanufacturas</t>
        </is>
      </c>
      <c r="D1447" s="9" t="inlineStr">
        <is>
          <t>M</t>
        </is>
      </c>
      <c r="E1447" s="9" t="n">
        <v>1852285355</v>
      </c>
    </row>
    <row r="1448">
      <c r="A1448" s="6" t="n">
        <v>2017</v>
      </c>
      <c r="B1448" s="6" t="inlineStr">
        <is>
          <t>cobre</t>
        </is>
      </c>
      <c r="C1448" s="6" t="inlineStr">
        <is>
          <t>E3 Semimanufacturas</t>
        </is>
      </c>
      <c r="D1448" s="6" t="inlineStr">
        <is>
          <t>X</t>
        </is>
      </c>
      <c r="E1448" s="6" t="n">
        <v>456944268</v>
      </c>
    </row>
    <row r="1449">
      <c r="A1449" s="9" t="n">
        <v>2017</v>
      </c>
      <c r="B1449" s="9" t="inlineStr">
        <is>
          <t>cobre</t>
        </is>
      </c>
      <c r="C1449" s="9" t="inlineStr">
        <is>
          <t>E4 Manufacturas</t>
        </is>
      </c>
      <c r="D1449" s="9" t="inlineStr">
        <is>
          <t>M</t>
        </is>
      </c>
      <c r="E1449" s="9" t="n">
        <v>345524237</v>
      </c>
    </row>
    <row r="1450">
      <c r="A1450" s="6" t="n">
        <v>2017</v>
      </c>
      <c r="B1450" s="6" t="inlineStr">
        <is>
          <t>cobre</t>
        </is>
      </c>
      <c r="C1450" s="6" t="inlineStr">
        <is>
          <t>E4 Manufacturas</t>
        </is>
      </c>
      <c r="D1450" s="6" t="inlineStr">
        <is>
          <t>X</t>
        </is>
      </c>
      <c r="E1450" s="6" t="n">
        <v>71863309</v>
      </c>
    </row>
    <row r="1451">
      <c r="A1451" s="9" t="n">
        <v>2017</v>
      </c>
      <c r="B1451" s="9" t="inlineStr">
        <is>
          <t>fluorita</t>
        </is>
      </c>
      <c r="C1451" s="9" t="inlineStr">
        <is>
          <t>E1 Espato fluor (crudo)</t>
        </is>
      </c>
      <c r="D1451" s="9" t="inlineStr">
        <is>
          <t>M</t>
        </is>
      </c>
      <c r="E1451" s="9" t="n">
        <v>112831</v>
      </c>
    </row>
    <row r="1452">
      <c r="A1452" s="6" t="n">
        <v>2017</v>
      </c>
      <c r="B1452" s="6" t="inlineStr">
        <is>
          <t>fluorita</t>
        </is>
      </c>
      <c r="C1452" s="6" t="inlineStr">
        <is>
          <t>E1 Espato fluor (crudo)</t>
        </is>
      </c>
      <c r="D1452" s="6" t="inlineStr">
        <is>
          <t>X</t>
        </is>
      </c>
      <c r="E1452" s="6" t="n">
        <v>71003890</v>
      </c>
    </row>
    <row r="1453">
      <c r="A1453" s="9" t="n">
        <v>2017</v>
      </c>
      <c r="B1453" s="9" t="inlineStr">
        <is>
          <t>fluorita</t>
        </is>
      </c>
      <c r="C1453" s="9" t="inlineStr">
        <is>
          <t>E2 Fluoroquimica</t>
        </is>
      </c>
      <c r="D1453" s="9" t="inlineStr">
        <is>
          <t>M</t>
        </is>
      </c>
      <c r="E1453" s="9" t="n">
        <v>39618086</v>
      </c>
    </row>
    <row r="1454">
      <c r="A1454" s="6" t="n">
        <v>2017</v>
      </c>
      <c r="B1454" s="6" t="inlineStr">
        <is>
          <t>fluorita</t>
        </is>
      </c>
      <c r="C1454" s="6" t="inlineStr">
        <is>
          <t>E2 Fluoroquimica</t>
        </is>
      </c>
      <c r="D1454" s="6" t="inlineStr">
        <is>
          <t>X</t>
        </is>
      </c>
      <c r="E1454" s="6" t="n">
        <v>159772884</v>
      </c>
    </row>
    <row r="1455">
      <c r="A1455" s="9" t="n">
        <v>2017</v>
      </c>
      <c r="B1455" s="9" t="inlineStr">
        <is>
          <t>grafito</t>
        </is>
      </c>
      <c r="C1455" s="9" t="inlineStr">
        <is>
          <t>E1 Grafito natural</t>
        </is>
      </c>
      <c r="D1455" s="9" t="inlineStr">
        <is>
          <t>M</t>
        </is>
      </c>
      <c r="E1455" s="9" t="n">
        <v>2372290</v>
      </c>
    </row>
    <row r="1456">
      <c r="A1456" s="6" t="n">
        <v>2017</v>
      </c>
      <c r="B1456" s="6" t="inlineStr">
        <is>
          <t>grafito</t>
        </is>
      </c>
      <c r="C1456" s="6" t="inlineStr">
        <is>
          <t>E1 Grafito natural</t>
        </is>
      </c>
      <c r="D1456" s="6" t="inlineStr">
        <is>
          <t>X</t>
        </is>
      </c>
      <c r="E1456" s="6" t="n">
        <v>5527568</v>
      </c>
    </row>
    <row r="1457">
      <c r="A1457" s="9" t="n">
        <v>2017</v>
      </c>
      <c r="B1457" s="9" t="inlineStr">
        <is>
          <t>grafito</t>
        </is>
      </c>
      <c r="C1457" s="9" t="inlineStr">
        <is>
          <t>E2 Grafito artificial/prep.</t>
        </is>
      </c>
      <c r="D1457" s="9" t="inlineStr">
        <is>
          <t>M</t>
        </is>
      </c>
      <c r="E1457" s="9" t="n">
        <v>30467825</v>
      </c>
    </row>
    <row r="1458">
      <c r="A1458" s="6" t="n">
        <v>2017</v>
      </c>
      <c r="B1458" s="6" t="inlineStr">
        <is>
          <t>grafito</t>
        </is>
      </c>
      <c r="C1458" s="6" t="inlineStr">
        <is>
          <t>E2 Grafito artificial/prep.</t>
        </is>
      </c>
      <c r="D1458" s="6" t="inlineStr">
        <is>
          <t>X</t>
        </is>
      </c>
      <c r="E1458" s="6" t="n">
        <v>7126988</v>
      </c>
    </row>
    <row r="1459">
      <c r="A1459" s="9" t="n">
        <v>2017</v>
      </c>
      <c r="B1459" s="9" t="inlineStr">
        <is>
          <t>grafito</t>
        </is>
      </c>
      <c r="C1459" s="9" t="inlineStr">
        <is>
          <t>E3 Electrodos/articulos de carbono</t>
        </is>
      </c>
      <c r="D1459" s="9" t="inlineStr">
        <is>
          <t>M</t>
        </is>
      </c>
      <c r="E1459" s="9" t="n">
        <v>98095042</v>
      </c>
    </row>
    <row r="1460">
      <c r="A1460" s="6" t="n">
        <v>2017</v>
      </c>
      <c r="B1460" s="6" t="inlineStr">
        <is>
          <t>grafito</t>
        </is>
      </c>
      <c r="C1460" s="6" t="inlineStr">
        <is>
          <t>E3 Electrodos/articulos de carbono</t>
        </is>
      </c>
      <c r="D1460" s="6" t="inlineStr">
        <is>
          <t>X</t>
        </is>
      </c>
      <c r="E1460" s="6" t="n">
        <v>82925863</v>
      </c>
    </row>
    <row r="1461">
      <c r="A1461" s="9" t="n">
        <v>2017</v>
      </c>
      <c r="B1461" s="9" t="inlineStr">
        <is>
          <t>manganeso</t>
        </is>
      </c>
      <c r="C1461" s="9" t="inlineStr">
        <is>
          <t>E1 Mena/concentrado</t>
        </is>
      </c>
      <c r="D1461" s="9" t="inlineStr">
        <is>
          <t>M</t>
        </is>
      </c>
      <c r="E1461" s="9" t="n">
        <v>13373540</v>
      </c>
    </row>
    <row r="1462">
      <c r="A1462" s="6" t="n">
        <v>2017</v>
      </c>
      <c r="B1462" s="6" t="inlineStr">
        <is>
          <t>manganeso</t>
        </is>
      </c>
      <c r="C1462" s="6" t="inlineStr">
        <is>
          <t>E1 Mena/concentrado</t>
        </is>
      </c>
      <c r="D1462" s="6" t="inlineStr">
        <is>
          <t>X</t>
        </is>
      </c>
      <c r="E1462" s="6" t="n">
        <v>0</v>
      </c>
    </row>
    <row r="1463">
      <c r="A1463" s="9" t="n">
        <v>2017</v>
      </c>
      <c r="B1463" s="9" t="inlineStr">
        <is>
          <t>manganeso</t>
        </is>
      </c>
      <c r="C1463" s="9" t="inlineStr">
        <is>
          <t>E2 Ferroaleaciones</t>
        </is>
      </c>
      <c r="D1463" s="9" t="inlineStr">
        <is>
          <t>M</t>
        </is>
      </c>
      <c r="E1463" s="9" t="n">
        <v>1105918</v>
      </c>
    </row>
    <row r="1464">
      <c r="A1464" s="6" t="n">
        <v>2017</v>
      </c>
      <c r="B1464" s="6" t="inlineStr">
        <is>
          <t>manganeso</t>
        </is>
      </c>
      <c r="C1464" s="6" t="inlineStr">
        <is>
          <t>E2 Ferroaleaciones</t>
        </is>
      </c>
      <c r="D1464" s="6" t="inlineStr">
        <is>
          <t>X</t>
        </is>
      </c>
      <c r="E1464" s="6" t="n">
        <v>43493136</v>
      </c>
    </row>
    <row r="1465">
      <c r="A1465" s="9" t="n">
        <v>2017</v>
      </c>
      <c r="B1465" s="9" t="inlineStr">
        <is>
          <t>manganeso</t>
        </is>
      </c>
      <c r="C1465" s="9" t="inlineStr">
        <is>
          <t>E3 Quimicos/metal</t>
        </is>
      </c>
      <c r="D1465" s="9" t="inlineStr">
        <is>
          <t>M</t>
        </is>
      </c>
      <c r="E1465" s="9" t="n">
        <v>12531958</v>
      </c>
    </row>
    <row r="1466">
      <c r="A1466" s="6" t="n">
        <v>2017</v>
      </c>
      <c r="B1466" s="6" t="inlineStr">
        <is>
          <t>manganeso</t>
        </is>
      </c>
      <c r="C1466" s="6" t="inlineStr">
        <is>
          <t>E3 Quimicos/metal</t>
        </is>
      </c>
      <c r="D1466" s="6" t="inlineStr">
        <is>
          <t>X</t>
        </is>
      </c>
      <c r="E1466" s="6" t="n">
        <v>1472630</v>
      </c>
    </row>
    <row r="1467">
      <c r="A1467" s="9" t="n">
        <v>2017</v>
      </c>
      <c r="B1467" s="9" t="inlineStr">
        <is>
          <t>oro</t>
        </is>
      </c>
      <c r="C1467" s="9" t="inlineStr">
        <is>
          <t>E1 Mena/concentrado</t>
        </is>
      </c>
      <c r="D1467" s="9" t="inlineStr">
        <is>
          <t>M</t>
        </is>
      </c>
      <c r="E1467" s="9" t="n">
        <v>6100</v>
      </c>
    </row>
    <row r="1468">
      <c r="A1468" s="6" t="n">
        <v>2017</v>
      </c>
      <c r="B1468" s="6" t="inlineStr">
        <is>
          <t>oro</t>
        </is>
      </c>
      <c r="C1468" s="6" t="inlineStr">
        <is>
          <t>E1 Mena/concentrado</t>
        </is>
      </c>
      <c r="D1468" s="6" t="inlineStr">
        <is>
          <t>X</t>
        </is>
      </c>
      <c r="E1468" s="6" t="n">
        <v>324859161</v>
      </c>
    </row>
    <row r="1469">
      <c r="A1469" s="9" t="n">
        <v>2017</v>
      </c>
      <c r="B1469" s="9" t="inlineStr">
        <is>
          <t>oro</t>
        </is>
      </c>
      <c r="C1469" s="9" t="inlineStr">
        <is>
          <t>E2 Bruto/semilabrado</t>
        </is>
      </c>
      <c r="D1469" s="9" t="inlineStr">
        <is>
          <t>M</t>
        </is>
      </c>
      <c r="E1469" s="9" t="n">
        <v>99519567</v>
      </c>
    </row>
    <row r="1470">
      <c r="A1470" s="6" t="n">
        <v>2017</v>
      </c>
      <c r="B1470" s="6" t="inlineStr">
        <is>
          <t>oro</t>
        </is>
      </c>
      <c r="C1470" s="6" t="inlineStr">
        <is>
          <t>E2 Bruto/semilabrado</t>
        </is>
      </c>
      <c r="D1470" s="6" t="inlineStr">
        <is>
          <t>X</t>
        </is>
      </c>
      <c r="E1470" s="6" t="n">
        <v>3221237216</v>
      </c>
    </row>
    <row r="1471">
      <c r="A1471" s="9" t="n">
        <v>2017</v>
      </c>
      <c r="B1471" s="9" t="inlineStr">
        <is>
          <t>oro-plata (manufacturas)</t>
        </is>
      </c>
      <c r="C1471" s="9" t="inlineStr">
        <is>
          <t>E4 Joyeria/orfebreria</t>
        </is>
      </c>
      <c r="D1471" s="9" t="inlineStr">
        <is>
          <t>M</t>
        </is>
      </c>
      <c r="E1471" s="9" t="n">
        <v>440057843</v>
      </c>
    </row>
    <row r="1472">
      <c r="A1472" s="6" t="n">
        <v>2017</v>
      </c>
      <c r="B1472" s="6" t="inlineStr">
        <is>
          <t>oro-plata (manufacturas)</t>
        </is>
      </c>
      <c r="C1472" s="6" t="inlineStr">
        <is>
          <t>E4 Joyeria/orfebreria</t>
        </is>
      </c>
      <c r="D1472" s="6" t="inlineStr">
        <is>
          <t>X</t>
        </is>
      </c>
      <c r="E1472" s="6" t="n">
        <v>302267048</v>
      </c>
    </row>
    <row r="1473">
      <c r="A1473" s="9" t="n">
        <v>2017</v>
      </c>
      <c r="B1473" s="9" t="inlineStr">
        <is>
          <t>plata</t>
        </is>
      </c>
      <c r="C1473" s="9" t="inlineStr">
        <is>
          <t>E1 Mena/concentrado</t>
        </is>
      </c>
      <c r="D1473" s="9" t="inlineStr">
        <is>
          <t>M</t>
        </is>
      </c>
      <c r="E1473" s="9" t="n">
        <v>244266</v>
      </c>
    </row>
    <row r="1474">
      <c r="A1474" s="6" t="n">
        <v>2017</v>
      </c>
      <c r="B1474" s="6" t="inlineStr">
        <is>
          <t>plata</t>
        </is>
      </c>
      <c r="C1474" s="6" t="inlineStr">
        <is>
          <t>E1 Mena/concentrado</t>
        </is>
      </c>
      <c r="D1474" s="6" t="inlineStr">
        <is>
          <t>X</t>
        </is>
      </c>
      <c r="E1474" s="6" t="n">
        <v>35742289</v>
      </c>
    </row>
    <row r="1475">
      <c r="A1475" s="9" t="n">
        <v>2017</v>
      </c>
      <c r="B1475" s="9" t="inlineStr">
        <is>
          <t>plata</t>
        </is>
      </c>
      <c r="C1475" s="9" t="inlineStr">
        <is>
          <t>E2 Bruto/semilabrado</t>
        </is>
      </c>
      <c r="D1475" s="9" t="inlineStr">
        <is>
          <t>M</t>
        </is>
      </c>
      <c r="E1475" s="9" t="n">
        <v>73737863</v>
      </c>
    </row>
    <row r="1476">
      <c r="A1476" s="6" t="n">
        <v>2017</v>
      </c>
      <c r="B1476" s="6" t="inlineStr">
        <is>
          <t>plata</t>
        </is>
      </c>
      <c r="C1476" s="6" t="inlineStr">
        <is>
          <t>E2 Bruto/semilabrado</t>
        </is>
      </c>
      <c r="D1476" s="6" t="inlineStr">
        <is>
          <t>X</t>
        </is>
      </c>
      <c r="E1476" s="6" t="n">
        <v>1820093056</v>
      </c>
    </row>
    <row r="1477">
      <c r="A1477" s="9" t="n">
        <v>2017</v>
      </c>
      <c r="B1477" s="9" t="inlineStr">
        <is>
          <t>plomo</t>
        </is>
      </c>
      <c r="C1477" s="9" t="inlineStr">
        <is>
          <t>E1 Mena/concentrado</t>
        </is>
      </c>
      <c r="D1477" s="9" t="inlineStr">
        <is>
          <t>M</t>
        </is>
      </c>
      <c r="E1477" s="9" t="n">
        <v>39520177</v>
      </c>
    </row>
    <row r="1478">
      <c r="A1478" s="6" t="n">
        <v>2017</v>
      </c>
      <c r="B1478" s="6" t="inlineStr">
        <is>
          <t>plomo</t>
        </is>
      </c>
      <c r="C1478" s="6" t="inlineStr">
        <is>
          <t>E1 Mena/concentrado</t>
        </is>
      </c>
      <c r="D1478" s="6" t="inlineStr">
        <is>
          <t>X</t>
        </is>
      </c>
      <c r="E1478" s="6" t="n">
        <v>978705634</v>
      </c>
    </row>
    <row r="1479">
      <c r="A1479" s="9" t="n">
        <v>2017</v>
      </c>
      <c r="B1479" s="9" t="inlineStr">
        <is>
          <t>plomo</t>
        </is>
      </c>
      <c r="C1479" s="9" t="inlineStr">
        <is>
          <t>E2 Metal en bruto/refinado</t>
        </is>
      </c>
      <c r="D1479" s="9" t="inlineStr">
        <is>
          <t>M</t>
        </is>
      </c>
      <c r="E1479" s="9" t="n">
        <v>46311606</v>
      </c>
    </row>
    <row r="1480">
      <c r="A1480" s="6" t="n">
        <v>2017</v>
      </c>
      <c r="B1480" s="6" t="inlineStr">
        <is>
          <t>plomo</t>
        </is>
      </c>
      <c r="C1480" s="6" t="inlineStr">
        <is>
          <t>E2 Metal en bruto/refinado</t>
        </is>
      </c>
      <c r="D1480" s="6" t="inlineStr">
        <is>
          <t>X</t>
        </is>
      </c>
      <c r="E1480" s="6" t="n">
        <v>189087197</v>
      </c>
    </row>
    <row r="1481">
      <c r="A1481" s="9" t="n">
        <v>2017</v>
      </c>
      <c r="B1481" s="9" t="inlineStr">
        <is>
          <t>plomo</t>
        </is>
      </c>
      <c r="C1481" s="9" t="inlineStr">
        <is>
          <t>E3 Semimanufacturas</t>
        </is>
      </c>
      <c r="D1481" s="9" t="inlineStr">
        <is>
          <t>M</t>
        </is>
      </c>
      <c r="E1481" s="9" t="n">
        <v>0</v>
      </c>
    </row>
    <row r="1482">
      <c r="A1482" s="6" t="n">
        <v>2017</v>
      </c>
      <c r="B1482" s="6" t="inlineStr">
        <is>
          <t>plomo</t>
        </is>
      </c>
      <c r="C1482" s="6" t="inlineStr">
        <is>
          <t>E3 Semimanufacturas</t>
        </is>
      </c>
      <c r="D1482" s="6" t="inlineStr">
        <is>
          <t>X</t>
        </is>
      </c>
      <c r="E1482" s="6" t="n">
        <v>789774</v>
      </c>
    </row>
    <row r="1483">
      <c r="A1483" s="9" t="n">
        <v>2017</v>
      </c>
      <c r="B1483" s="9" t="inlineStr">
        <is>
          <t>plomo</t>
        </is>
      </c>
      <c r="C1483" s="9" t="inlineStr">
        <is>
          <t>E4 Manufacturas</t>
        </is>
      </c>
      <c r="D1483" s="9" t="inlineStr">
        <is>
          <t>M</t>
        </is>
      </c>
      <c r="E1483" s="9" t="n">
        <v>8173859</v>
      </c>
    </row>
    <row r="1484">
      <c r="A1484" s="6" t="n">
        <v>2017</v>
      </c>
      <c r="B1484" s="6" t="inlineStr">
        <is>
          <t>plomo</t>
        </is>
      </c>
      <c r="C1484" s="6" t="inlineStr">
        <is>
          <t>E4 Manufacturas</t>
        </is>
      </c>
      <c r="D1484" s="6" t="inlineStr">
        <is>
          <t>X</t>
        </is>
      </c>
      <c r="E1484" s="6" t="n">
        <v>1504115</v>
      </c>
    </row>
    <row r="1485">
      <c r="A1485" s="9" t="n">
        <v>2017</v>
      </c>
      <c r="B1485" s="9" t="inlineStr">
        <is>
          <t>silice</t>
        </is>
      </c>
      <c r="C1485" s="9" t="inlineStr">
        <is>
          <t>E1 Arena silica/cuarzo</t>
        </is>
      </c>
      <c r="D1485" s="9" t="inlineStr">
        <is>
          <t>M</t>
        </is>
      </c>
      <c r="E1485" s="9" t="n">
        <v>92334106</v>
      </c>
    </row>
    <row r="1486">
      <c r="A1486" s="6" t="n">
        <v>2017</v>
      </c>
      <c r="B1486" s="6" t="inlineStr">
        <is>
          <t>silice</t>
        </is>
      </c>
      <c r="C1486" s="6" t="inlineStr">
        <is>
          <t>E1 Arena silica/cuarzo</t>
        </is>
      </c>
      <c r="D1486" s="6" t="inlineStr">
        <is>
          <t>X</t>
        </is>
      </c>
      <c r="E1486" s="6" t="n">
        <v>1916205</v>
      </c>
    </row>
    <row r="1487">
      <c r="A1487" s="9" t="n">
        <v>2017</v>
      </c>
      <c r="B1487" s="9" t="inlineStr">
        <is>
          <t>silice</t>
        </is>
      </c>
      <c r="C1487" s="9" t="inlineStr">
        <is>
          <t>E2 Silicio/ferrosilicio/SiO2</t>
        </is>
      </c>
      <c r="D1487" s="9" t="inlineStr">
        <is>
          <t>M</t>
        </is>
      </c>
      <c r="E1487" s="9" t="n">
        <v>222884956</v>
      </c>
    </row>
    <row r="1488">
      <c r="A1488" s="6" t="n">
        <v>2017</v>
      </c>
      <c r="B1488" s="6" t="inlineStr">
        <is>
          <t>silice</t>
        </is>
      </c>
      <c r="C1488" s="6" t="inlineStr">
        <is>
          <t>E2 Silicio/ferrosilicio/SiO2</t>
        </is>
      </c>
      <c r="D1488" s="6" t="inlineStr">
        <is>
          <t>X</t>
        </is>
      </c>
      <c r="E1488" s="6" t="n">
        <v>5121738</v>
      </c>
    </row>
    <row r="1489">
      <c r="A1489" s="9" t="n">
        <v>2017</v>
      </c>
      <c r="B1489" s="9" t="inlineStr">
        <is>
          <t>zinc</t>
        </is>
      </c>
      <c r="C1489" s="9" t="inlineStr">
        <is>
          <t>E1 Mena/concentrado</t>
        </is>
      </c>
      <c r="D1489" s="9" t="inlineStr">
        <is>
          <t>M</t>
        </is>
      </c>
      <c r="E1489" s="9" t="n">
        <v>13554993</v>
      </c>
    </row>
    <row r="1490">
      <c r="A1490" s="6" t="n">
        <v>2017</v>
      </c>
      <c r="B1490" s="6" t="inlineStr">
        <is>
          <t>zinc</t>
        </is>
      </c>
      <c r="C1490" s="6" t="inlineStr">
        <is>
          <t>E1 Mena/concentrado</t>
        </is>
      </c>
      <c r="D1490" s="6" t="inlineStr">
        <is>
          <t>X</t>
        </is>
      </c>
      <c r="E1490" s="6" t="n">
        <v>640110077</v>
      </c>
    </row>
    <row r="1491">
      <c r="A1491" s="9" t="n">
        <v>2017</v>
      </c>
      <c r="B1491" s="9" t="inlineStr">
        <is>
          <t>zinc</t>
        </is>
      </c>
      <c r="C1491" s="9" t="inlineStr">
        <is>
          <t>E2 Metal en bruto/refinado</t>
        </is>
      </c>
      <c r="D1491" s="9" t="inlineStr">
        <is>
          <t>M</t>
        </is>
      </c>
      <c r="E1491" s="9" t="n">
        <v>55451923</v>
      </c>
    </row>
    <row r="1492">
      <c r="A1492" s="6" t="n">
        <v>2017</v>
      </c>
      <c r="B1492" s="6" t="inlineStr">
        <is>
          <t>zinc</t>
        </is>
      </c>
      <c r="C1492" s="6" t="inlineStr">
        <is>
          <t>E2 Metal en bruto/refinado</t>
        </is>
      </c>
      <c r="D1492" s="6" t="inlineStr">
        <is>
          <t>X</t>
        </is>
      </c>
      <c r="E1492" s="6" t="n">
        <v>289562676</v>
      </c>
    </row>
    <row r="1493">
      <c r="A1493" s="9" t="n">
        <v>2017</v>
      </c>
      <c r="B1493" s="9" t="inlineStr">
        <is>
          <t>zinc</t>
        </is>
      </c>
      <c r="C1493" s="9" t="inlineStr">
        <is>
          <t>E3 Semimanufacturas</t>
        </is>
      </c>
      <c r="D1493" s="9" t="inlineStr">
        <is>
          <t>M</t>
        </is>
      </c>
      <c r="E1493" s="9" t="n">
        <v>49545064</v>
      </c>
    </row>
    <row r="1494">
      <c r="A1494" s="6" t="n">
        <v>2017</v>
      </c>
      <c r="B1494" s="6" t="inlineStr">
        <is>
          <t>zinc</t>
        </is>
      </c>
      <c r="C1494" s="6" t="inlineStr">
        <is>
          <t>E3 Semimanufacturas</t>
        </is>
      </c>
      <c r="D1494" s="6" t="inlineStr">
        <is>
          <t>X</t>
        </is>
      </c>
      <c r="E1494" s="6" t="n">
        <v>1741515</v>
      </c>
    </row>
    <row r="1495">
      <c r="A1495" s="9" t="n">
        <v>2017</v>
      </c>
      <c r="B1495" s="9" t="inlineStr">
        <is>
          <t>zinc</t>
        </is>
      </c>
      <c r="C1495" s="9" t="inlineStr">
        <is>
          <t>E4 Manufacturas</t>
        </is>
      </c>
      <c r="D1495" s="9" t="inlineStr">
        <is>
          <t>M</t>
        </is>
      </c>
      <c r="E1495" s="9" t="n">
        <v>60531762</v>
      </c>
    </row>
    <row r="1496">
      <c r="A1496" s="6" t="n">
        <v>2017</v>
      </c>
      <c r="B1496" s="6" t="inlineStr">
        <is>
          <t>zinc</t>
        </is>
      </c>
      <c r="C1496" s="6" t="inlineStr">
        <is>
          <t>E4 Manufacturas</t>
        </is>
      </c>
      <c r="D1496" s="6" t="inlineStr">
        <is>
          <t>X</t>
        </is>
      </c>
      <c r="E1496" s="6" t="n">
        <v>17520702</v>
      </c>
    </row>
    <row r="1497">
      <c r="A1497" s="9" t="n">
        <v>2018</v>
      </c>
      <c r="B1497" s="9" t="inlineStr">
        <is>
          <t>barita</t>
        </is>
      </c>
      <c r="C1497" s="9" t="inlineStr">
        <is>
          <t>E1 Crudo/molido</t>
        </is>
      </c>
      <c r="D1497" s="9" t="inlineStr">
        <is>
          <t>M</t>
        </is>
      </c>
      <c r="E1497" s="9" t="n">
        <v>0</v>
      </c>
    </row>
    <row r="1498">
      <c r="A1498" s="6" t="n">
        <v>2018</v>
      </c>
      <c r="B1498" s="6" t="inlineStr">
        <is>
          <t>barita</t>
        </is>
      </c>
      <c r="C1498" s="6" t="inlineStr">
        <is>
          <t>E1 Crudo/molido</t>
        </is>
      </c>
      <c r="D1498" s="6" t="inlineStr">
        <is>
          <t>X</t>
        </is>
      </c>
      <c r="E1498" s="6" t="n">
        <v>0</v>
      </c>
    </row>
    <row r="1499">
      <c r="A1499" s="9" t="n">
        <v>2018</v>
      </c>
      <c r="B1499" s="9" t="inlineStr">
        <is>
          <t>barita</t>
        </is>
      </c>
      <c r="C1499" s="9" t="inlineStr">
        <is>
          <t>E2 Quimicos de bario</t>
        </is>
      </c>
      <c r="D1499" s="9" t="inlineStr">
        <is>
          <t>M</t>
        </is>
      </c>
      <c r="E1499" s="9" t="n">
        <v>4347703</v>
      </c>
    </row>
    <row r="1500">
      <c r="A1500" s="6" t="n">
        <v>2018</v>
      </c>
      <c r="B1500" s="6" t="inlineStr">
        <is>
          <t>barita</t>
        </is>
      </c>
      <c r="C1500" s="6" t="inlineStr">
        <is>
          <t>E2 Quimicos de bario</t>
        </is>
      </c>
      <c r="D1500" s="6" t="inlineStr">
        <is>
          <t>X</t>
        </is>
      </c>
      <c r="E1500" s="6" t="n">
        <v>0</v>
      </c>
    </row>
    <row r="1501">
      <c r="A1501" s="9" t="n">
        <v>2018</v>
      </c>
      <c r="B1501" s="9" t="inlineStr">
        <is>
          <t>cobre</t>
        </is>
      </c>
      <c r="C1501" s="9" t="inlineStr">
        <is>
          <t>E1 Mena/concentrado</t>
        </is>
      </c>
      <c r="D1501" s="9" t="inlineStr">
        <is>
          <t>M</t>
        </is>
      </c>
      <c r="E1501" s="9" t="n">
        <v>529371003</v>
      </c>
    </row>
    <row r="1502">
      <c r="A1502" s="6" t="n">
        <v>2018</v>
      </c>
      <c r="B1502" s="6" t="inlineStr">
        <is>
          <t>cobre</t>
        </is>
      </c>
      <c r="C1502" s="6" t="inlineStr">
        <is>
          <t>E1 Mena/concentrado</t>
        </is>
      </c>
      <c r="D1502" s="6" t="inlineStr">
        <is>
          <t>X</t>
        </is>
      </c>
      <c r="E1502" s="6" t="n">
        <v>2318095785</v>
      </c>
    </row>
    <row r="1503">
      <c r="A1503" s="9" t="n">
        <v>2018</v>
      </c>
      <c r="B1503" s="9" t="inlineStr">
        <is>
          <t>cobre</t>
        </is>
      </c>
      <c r="C1503" s="9" t="inlineStr">
        <is>
          <t>E2 Metal en bruto/refinado</t>
        </is>
      </c>
      <c r="D1503" s="9" t="inlineStr">
        <is>
          <t>M</t>
        </is>
      </c>
      <c r="E1503" s="9" t="n">
        <v>881905570</v>
      </c>
    </row>
    <row r="1504">
      <c r="A1504" s="6" t="n">
        <v>2018</v>
      </c>
      <c r="B1504" s="6" t="inlineStr">
        <is>
          <t>cobre</t>
        </is>
      </c>
      <c r="C1504" s="6" t="inlineStr">
        <is>
          <t>E2 Metal en bruto/refinado</t>
        </is>
      </c>
      <c r="D1504" s="6" t="inlineStr">
        <is>
          <t>X</t>
        </is>
      </c>
      <c r="E1504" s="6" t="n">
        <v>903281960</v>
      </c>
    </row>
    <row r="1505">
      <c r="A1505" s="9" t="n">
        <v>2018</v>
      </c>
      <c r="B1505" s="9" t="inlineStr">
        <is>
          <t>cobre</t>
        </is>
      </c>
      <c r="C1505" s="9" t="inlineStr">
        <is>
          <t>E3 Semimanufacturas</t>
        </is>
      </c>
      <c r="D1505" s="9" t="inlineStr">
        <is>
          <t>M</t>
        </is>
      </c>
      <c r="E1505" s="9" t="n">
        <v>2019301355</v>
      </c>
    </row>
    <row r="1506">
      <c r="A1506" s="6" t="n">
        <v>2018</v>
      </c>
      <c r="B1506" s="6" t="inlineStr">
        <is>
          <t>cobre</t>
        </is>
      </c>
      <c r="C1506" s="6" t="inlineStr">
        <is>
          <t>E3 Semimanufacturas</t>
        </is>
      </c>
      <c r="D1506" s="6" t="inlineStr">
        <is>
          <t>X</t>
        </is>
      </c>
      <c r="E1506" s="6" t="n">
        <v>515022778</v>
      </c>
    </row>
    <row r="1507">
      <c r="A1507" s="9" t="n">
        <v>2018</v>
      </c>
      <c r="B1507" s="9" t="inlineStr">
        <is>
          <t>cobre</t>
        </is>
      </c>
      <c r="C1507" s="9" t="inlineStr">
        <is>
          <t>E4 Manufacturas</t>
        </is>
      </c>
      <c r="D1507" s="9" t="inlineStr">
        <is>
          <t>M</t>
        </is>
      </c>
      <c r="E1507" s="9" t="n">
        <v>407010351</v>
      </c>
    </row>
    <row r="1508">
      <c r="A1508" s="6" t="n">
        <v>2018</v>
      </c>
      <c r="B1508" s="6" t="inlineStr">
        <is>
          <t>cobre</t>
        </is>
      </c>
      <c r="C1508" s="6" t="inlineStr">
        <is>
          <t>E4 Manufacturas</t>
        </is>
      </c>
      <c r="D1508" s="6" t="inlineStr">
        <is>
          <t>X</t>
        </is>
      </c>
      <c r="E1508" s="6" t="n">
        <v>57368602</v>
      </c>
    </row>
    <row r="1509">
      <c r="A1509" s="9" t="n">
        <v>2018</v>
      </c>
      <c r="B1509" s="9" t="inlineStr">
        <is>
          <t>fluorita</t>
        </is>
      </c>
      <c r="C1509" s="9" t="inlineStr">
        <is>
          <t>E1 Espato fluor (crudo)</t>
        </is>
      </c>
      <c r="D1509" s="9" t="inlineStr">
        <is>
          <t>M</t>
        </is>
      </c>
      <c r="E1509" s="9" t="n">
        <v>122086</v>
      </c>
    </row>
    <row r="1510">
      <c r="A1510" s="6" t="n">
        <v>2018</v>
      </c>
      <c r="B1510" s="6" t="inlineStr">
        <is>
          <t>fluorita</t>
        </is>
      </c>
      <c r="C1510" s="6" t="inlineStr">
        <is>
          <t>E1 Espato fluor (crudo)</t>
        </is>
      </c>
      <c r="D1510" s="6" t="inlineStr">
        <is>
          <t>X</t>
        </is>
      </c>
      <c r="E1510" s="6" t="n">
        <v>73420659</v>
      </c>
    </row>
    <row r="1511">
      <c r="A1511" s="9" t="n">
        <v>2018</v>
      </c>
      <c r="B1511" s="9" t="inlineStr">
        <is>
          <t>fluorita</t>
        </is>
      </c>
      <c r="C1511" s="9" t="inlineStr">
        <is>
          <t>E2 Fluoroquimica</t>
        </is>
      </c>
      <c r="D1511" s="9" t="inlineStr">
        <is>
          <t>M</t>
        </is>
      </c>
      <c r="E1511" s="9" t="n">
        <v>49309108</v>
      </c>
    </row>
    <row r="1512">
      <c r="A1512" s="6" t="n">
        <v>2018</v>
      </c>
      <c r="B1512" s="6" t="inlineStr">
        <is>
          <t>fluorita</t>
        </is>
      </c>
      <c r="C1512" s="6" t="inlineStr">
        <is>
          <t>E2 Fluoroquimica</t>
        </is>
      </c>
      <c r="D1512" s="6" t="inlineStr">
        <is>
          <t>X</t>
        </is>
      </c>
      <c r="E1512" s="6" t="n">
        <v>162083915</v>
      </c>
    </row>
    <row r="1513">
      <c r="A1513" s="9" t="n">
        <v>2018</v>
      </c>
      <c r="B1513" s="9" t="inlineStr">
        <is>
          <t>grafito</t>
        </is>
      </c>
      <c r="C1513" s="9" t="inlineStr">
        <is>
          <t>E1 Grafito natural</t>
        </is>
      </c>
      <c r="D1513" s="9" t="inlineStr">
        <is>
          <t>M</t>
        </is>
      </c>
      <c r="E1513" s="9" t="n">
        <v>3733179</v>
      </c>
    </row>
    <row r="1514">
      <c r="A1514" s="6" t="n">
        <v>2018</v>
      </c>
      <c r="B1514" s="6" t="inlineStr">
        <is>
          <t>grafito</t>
        </is>
      </c>
      <c r="C1514" s="6" t="inlineStr">
        <is>
          <t>E1 Grafito natural</t>
        </is>
      </c>
      <c r="D1514" s="6" t="inlineStr">
        <is>
          <t>X</t>
        </is>
      </c>
      <c r="E1514" s="6" t="n">
        <v>5558473</v>
      </c>
    </row>
    <row r="1515">
      <c r="A1515" s="9" t="n">
        <v>2018</v>
      </c>
      <c r="B1515" s="9" t="inlineStr">
        <is>
          <t>grafito</t>
        </is>
      </c>
      <c r="C1515" s="9" t="inlineStr">
        <is>
          <t>E2 Grafito artificial/prep.</t>
        </is>
      </c>
      <c r="D1515" s="9" t="inlineStr">
        <is>
          <t>M</t>
        </is>
      </c>
      <c r="E1515" s="9" t="n">
        <v>38518509</v>
      </c>
    </row>
    <row r="1516">
      <c r="A1516" s="6" t="n">
        <v>2018</v>
      </c>
      <c r="B1516" s="6" t="inlineStr">
        <is>
          <t>grafito</t>
        </is>
      </c>
      <c r="C1516" s="6" t="inlineStr">
        <is>
          <t>E2 Grafito artificial/prep.</t>
        </is>
      </c>
      <c r="D1516" s="6" t="inlineStr">
        <is>
          <t>X</t>
        </is>
      </c>
      <c r="E1516" s="6" t="n">
        <v>31848785</v>
      </c>
    </row>
    <row r="1517">
      <c r="A1517" s="9" t="n">
        <v>2018</v>
      </c>
      <c r="B1517" s="9" t="inlineStr">
        <is>
          <t>grafito</t>
        </is>
      </c>
      <c r="C1517" s="9" t="inlineStr">
        <is>
          <t>E3 Electrodos/articulos de carbono</t>
        </is>
      </c>
      <c r="D1517" s="9" t="inlineStr">
        <is>
          <t>M</t>
        </is>
      </c>
      <c r="E1517" s="9" t="n">
        <v>339596286</v>
      </c>
    </row>
    <row r="1518">
      <c r="A1518" s="6" t="n">
        <v>2018</v>
      </c>
      <c r="B1518" s="6" t="inlineStr">
        <is>
          <t>grafito</t>
        </is>
      </c>
      <c r="C1518" s="6" t="inlineStr">
        <is>
          <t>E3 Electrodos/articulos de carbono</t>
        </is>
      </c>
      <c r="D1518" s="6" t="inlineStr">
        <is>
          <t>X</t>
        </is>
      </c>
      <c r="E1518" s="6" t="n">
        <v>156500823</v>
      </c>
    </row>
    <row r="1519">
      <c r="A1519" s="9" t="n">
        <v>2018</v>
      </c>
      <c r="B1519" s="9" t="inlineStr">
        <is>
          <t>manganeso</t>
        </is>
      </c>
      <c r="C1519" s="9" t="inlineStr">
        <is>
          <t>E1 Mena/concentrado</t>
        </is>
      </c>
      <c r="D1519" s="9" t="inlineStr">
        <is>
          <t>M</t>
        </is>
      </c>
      <c r="E1519" s="9" t="n">
        <v>40295389</v>
      </c>
    </row>
    <row r="1520">
      <c r="A1520" s="6" t="n">
        <v>2018</v>
      </c>
      <c r="B1520" s="6" t="inlineStr">
        <is>
          <t>manganeso</t>
        </is>
      </c>
      <c r="C1520" s="6" t="inlineStr">
        <is>
          <t>E1 Mena/concentrado</t>
        </is>
      </c>
      <c r="D1520" s="6" t="inlineStr">
        <is>
          <t>X</t>
        </is>
      </c>
      <c r="E1520" s="6" t="n">
        <v>0</v>
      </c>
    </row>
    <row r="1521">
      <c r="A1521" s="9" t="n">
        <v>2018</v>
      </c>
      <c r="B1521" s="9" t="inlineStr">
        <is>
          <t>manganeso</t>
        </is>
      </c>
      <c r="C1521" s="9" t="inlineStr">
        <is>
          <t>E2 Ferroaleaciones</t>
        </is>
      </c>
      <c r="D1521" s="9" t="inlineStr">
        <is>
          <t>M</t>
        </is>
      </c>
      <c r="E1521" s="9" t="n">
        <v>3576624</v>
      </c>
    </row>
    <row r="1522">
      <c r="A1522" s="6" t="n">
        <v>2018</v>
      </c>
      <c r="B1522" s="6" t="inlineStr">
        <is>
          <t>manganeso</t>
        </is>
      </c>
      <c r="C1522" s="6" t="inlineStr">
        <is>
          <t>E2 Ferroaleaciones</t>
        </is>
      </c>
      <c r="D1522" s="6" t="inlineStr">
        <is>
          <t>X</t>
        </is>
      </c>
      <c r="E1522" s="6" t="n">
        <v>41067892</v>
      </c>
    </row>
    <row r="1523">
      <c r="A1523" s="9" t="n">
        <v>2018</v>
      </c>
      <c r="B1523" s="9" t="inlineStr">
        <is>
          <t>manganeso</t>
        </is>
      </c>
      <c r="C1523" s="9" t="inlineStr">
        <is>
          <t>E3 Quimicos/metal</t>
        </is>
      </c>
      <c r="D1523" s="9" t="inlineStr">
        <is>
          <t>M</t>
        </is>
      </c>
      <c r="E1523" s="9" t="n">
        <v>14342489</v>
      </c>
    </row>
    <row r="1524">
      <c r="A1524" s="6" t="n">
        <v>2018</v>
      </c>
      <c r="B1524" s="6" t="inlineStr">
        <is>
          <t>manganeso</t>
        </is>
      </c>
      <c r="C1524" s="6" t="inlineStr">
        <is>
          <t>E3 Quimicos/metal</t>
        </is>
      </c>
      <c r="D1524" s="6" t="inlineStr">
        <is>
          <t>X</t>
        </is>
      </c>
      <c r="E1524" s="6" t="n">
        <v>1055454</v>
      </c>
    </row>
    <row r="1525">
      <c r="A1525" s="9" t="n">
        <v>2018</v>
      </c>
      <c r="B1525" s="9" t="inlineStr">
        <is>
          <t>oro</t>
        </is>
      </c>
      <c r="C1525" s="9" t="inlineStr">
        <is>
          <t>E1 Mena/concentrado</t>
        </is>
      </c>
      <c r="D1525" s="9" t="inlineStr">
        <is>
          <t>M</t>
        </is>
      </c>
      <c r="E1525" s="9" t="n">
        <v>0</v>
      </c>
    </row>
    <row r="1526">
      <c r="A1526" s="6" t="n">
        <v>2018</v>
      </c>
      <c r="B1526" s="6" t="inlineStr">
        <is>
          <t>oro</t>
        </is>
      </c>
      <c r="C1526" s="6" t="inlineStr">
        <is>
          <t>E1 Mena/concentrado</t>
        </is>
      </c>
      <c r="D1526" s="6" t="inlineStr">
        <is>
          <t>X</t>
        </is>
      </c>
      <c r="E1526" s="6" t="n">
        <v>181351369</v>
      </c>
    </row>
    <row r="1527">
      <c r="A1527" s="9" t="n">
        <v>2018</v>
      </c>
      <c r="B1527" s="9" t="inlineStr">
        <is>
          <t>oro</t>
        </is>
      </c>
      <c r="C1527" s="9" t="inlineStr">
        <is>
          <t>E2 Bruto/semilabrado</t>
        </is>
      </c>
      <c r="D1527" s="9" t="inlineStr">
        <is>
          <t>M</t>
        </is>
      </c>
      <c r="E1527" s="9" t="n">
        <v>140327330</v>
      </c>
    </row>
    <row r="1528">
      <c r="A1528" s="6" t="n">
        <v>2018</v>
      </c>
      <c r="B1528" s="6" t="inlineStr">
        <is>
          <t>oro</t>
        </is>
      </c>
      <c r="C1528" s="6" t="inlineStr">
        <is>
          <t>E2 Bruto/semilabrado</t>
        </is>
      </c>
      <c r="D1528" s="6" t="inlineStr">
        <is>
          <t>X</t>
        </is>
      </c>
      <c r="E1528" s="6" t="n">
        <v>3201011359</v>
      </c>
    </row>
    <row r="1529">
      <c r="A1529" s="9" t="n">
        <v>2018</v>
      </c>
      <c r="B1529" s="9" t="inlineStr">
        <is>
          <t>oro-plata (manufacturas)</t>
        </is>
      </c>
      <c r="C1529" s="9" t="inlineStr">
        <is>
          <t>E4 Joyeria/orfebreria</t>
        </is>
      </c>
      <c r="D1529" s="9" t="inlineStr">
        <is>
          <t>M</t>
        </is>
      </c>
      <c r="E1529" s="9" t="n">
        <v>504147073</v>
      </c>
    </row>
    <row r="1530">
      <c r="A1530" s="6" t="n">
        <v>2018</v>
      </c>
      <c r="B1530" s="6" t="inlineStr">
        <is>
          <t>oro-plata (manufacturas)</t>
        </is>
      </c>
      <c r="C1530" s="6" t="inlineStr">
        <is>
          <t>E4 Joyeria/orfebreria</t>
        </is>
      </c>
      <c r="D1530" s="6" t="inlineStr">
        <is>
          <t>X</t>
        </is>
      </c>
      <c r="E1530" s="6" t="n">
        <v>353650296</v>
      </c>
    </row>
    <row r="1531">
      <c r="A1531" s="9" t="n">
        <v>2018</v>
      </c>
      <c r="B1531" s="9" t="inlineStr">
        <is>
          <t>plata</t>
        </is>
      </c>
      <c r="C1531" s="9" t="inlineStr">
        <is>
          <t>E1 Mena/concentrado</t>
        </is>
      </c>
      <c r="D1531" s="9" t="inlineStr">
        <is>
          <t>M</t>
        </is>
      </c>
      <c r="E1531" s="9" t="n">
        <v>225818</v>
      </c>
    </row>
    <row r="1532">
      <c r="A1532" s="6" t="n">
        <v>2018</v>
      </c>
      <c r="B1532" s="6" t="inlineStr">
        <is>
          <t>plata</t>
        </is>
      </c>
      <c r="C1532" s="6" t="inlineStr">
        <is>
          <t>E1 Mena/concentrado</t>
        </is>
      </c>
      <c r="D1532" s="6" t="inlineStr">
        <is>
          <t>X</t>
        </is>
      </c>
      <c r="E1532" s="6" t="n">
        <v>36656445</v>
      </c>
    </row>
    <row r="1533">
      <c r="A1533" s="9" t="n">
        <v>2018</v>
      </c>
      <c r="B1533" s="9" t="inlineStr">
        <is>
          <t>plata</t>
        </is>
      </c>
      <c r="C1533" s="9" t="inlineStr">
        <is>
          <t>E2 Bruto/semilabrado</t>
        </is>
      </c>
      <c r="D1533" s="9" t="inlineStr">
        <is>
          <t>M</t>
        </is>
      </c>
      <c r="E1533" s="9" t="n">
        <v>86360400</v>
      </c>
    </row>
    <row r="1534">
      <c r="A1534" s="6" t="n">
        <v>2018</v>
      </c>
      <c r="B1534" s="6" t="inlineStr">
        <is>
          <t>plata</t>
        </is>
      </c>
      <c r="C1534" s="6" t="inlineStr">
        <is>
          <t>E2 Bruto/semilabrado</t>
        </is>
      </c>
      <c r="D1534" s="6" t="inlineStr">
        <is>
          <t>X</t>
        </is>
      </c>
      <c r="E1534" s="6" t="n">
        <v>1672071037</v>
      </c>
    </row>
    <row r="1535">
      <c r="A1535" s="9" t="n">
        <v>2018</v>
      </c>
      <c r="B1535" s="9" t="inlineStr">
        <is>
          <t>plomo</t>
        </is>
      </c>
      <c r="C1535" s="9" t="inlineStr">
        <is>
          <t>E1 Mena/concentrado</t>
        </is>
      </c>
      <c r="D1535" s="9" t="inlineStr">
        <is>
          <t>M</t>
        </is>
      </c>
      <c r="E1535" s="9" t="n">
        <v>59846274</v>
      </c>
    </row>
    <row r="1536">
      <c r="A1536" s="6" t="n">
        <v>2018</v>
      </c>
      <c r="B1536" s="6" t="inlineStr">
        <is>
          <t>plomo</t>
        </is>
      </c>
      <c r="C1536" s="6" t="inlineStr">
        <is>
          <t>E1 Mena/concentrado</t>
        </is>
      </c>
      <c r="D1536" s="6" t="inlineStr">
        <is>
          <t>X</t>
        </is>
      </c>
      <c r="E1536" s="6" t="n">
        <v>770645599</v>
      </c>
    </row>
    <row r="1537">
      <c r="A1537" s="9" t="n">
        <v>2018</v>
      </c>
      <c r="B1537" s="9" t="inlineStr">
        <is>
          <t>plomo</t>
        </is>
      </c>
      <c r="C1537" s="9" t="inlineStr">
        <is>
          <t>E2 Metal en bruto/refinado</t>
        </is>
      </c>
      <c r="D1537" s="9" t="inlineStr">
        <is>
          <t>M</t>
        </is>
      </c>
      <c r="E1537" s="9" t="n">
        <v>41419479</v>
      </c>
    </row>
    <row r="1538">
      <c r="A1538" s="6" t="n">
        <v>2018</v>
      </c>
      <c r="B1538" s="6" t="inlineStr">
        <is>
          <t>plomo</t>
        </is>
      </c>
      <c r="C1538" s="6" t="inlineStr">
        <is>
          <t>E2 Metal en bruto/refinado</t>
        </is>
      </c>
      <c r="D1538" s="6" t="inlineStr">
        <is>
          <t>X</t>
        </is>
      </c>
      <c r="E1538" s="6" t="n">
        <v>212767132</v>
      </c>
    </row>
    <row r="1539">
      <c r="A1539" s="9" t="n">
        <v>2018</v>
      </c>
      <c r="B1539" s="9" t="inlineStr">
        <is>
          <t>plomo</t>
        </is>
      </c>
      <c r="C1539" s="9" t="inlineStr">
        <is>
          <t>E3 Semimanufacturas</t>
        </is>
      </c>
      <c r="D1539" s="9" t="inlineStr">
        <is>
          <t>M</t>
        </is>
      </c>
      <c r="E1539" s="9" t="n">
        <v>0</v>
      </c>
    </row>
    <row r="1540">
      <c r="A1540" s="6" t="n">
        <v>2018</v>
      </c>
      <c r="B1540" s="6" t="inlineStr">
        <is>
          <t>plomo</t>
        </is>
      </c>
      <c r="C1540" s="6" t="inlineStr">
        <is>
          <t>E3 Semimanufacturas</t>
        </is>
      </c>
      <c r="D1540" s="6" t="inlineStr">
        <is>
          <t>X</t>
        </is>
      </c>
      <c r="E1540" s="6" t="n">
        <v>343471</v>
      </c>
    </row>
    <row r="1541">
      <c r="A1541" s="9" t="n">
        <v>2018</v>
      </c>
      <c r="B1541" s="9" t="inlineStr">
        <is>
          <t>plomo</t>
        </is>
      </c>
      <c r="C1541" s="9" t="inlineStr">
        <is>
          <t>E4 Manufacturas</t>
        </is>
      </c>
      <c r="D1541" s="9" t="inlineStr">
        <is>
          <t>M</t>
        </is>
      </c>
      <c r="E1541" s="9" t="n">
        <v>8112175</v>
      </c>
    </row>
    <row r="1542">
      <c r="A1542" s="6" t="n">
        <v>2018</v>
      </c>
      <c r="B1542" s="6" t="inlineStr">
        <is>
          <t>plomo</t>
        </is>
      </c>
      <c r="C1542" s="6" t="inlineStr">
        <is>
          <t>E4 Manufacturas</t>
        </is>
      </c>
      <c r="D1542" s="6" t="inlineStr">
        <is>
          <t>X</t>
        </is>
      </c>
      <c r="E1542" s="6" t="n">
        <v>990322</v>
      </c>
    </row>
    <row r="1543">
      <c r="A1543" s="9" t="n">
        <v>2018</v>
      </c>
      <c r="B1543" s="9" t="inlineStr">
        <is>
          <t>silice</t>
        </is>
      </c>
      <c r="C1543" s="9" t="inlineStr">
        <is>
          <t>E1 Arena silica/cuarzo</t>
        </is>
      </c>
      <c r="D1543" s="9" t="inlineStr">
        <is>
          <t>M</t>
        </is>
      </c>
      <c r="E1543" s="9" t="n">
        <v>82996662</v>
      </c>
    </row>
    <row r="1544">
      <c r="A1544" s="6" t="n">
        <v>2018</v>
      </c>
      <c r="B1544" s="6" t="inlineStr">
        <is>
          <t>silice</t>
        </is>
      </c>
      <c r="C1544" s="6" t="inlineStr">
        <is>
          <t>E1 Arena silica/cuarzo</t>
        </is>
      </c>
      <c r="D1544" s="6" t="inlineStr">
        <is>
          <t>X</t>
        </is>
      </c>
      <c r="E1544" s="6" t="n">
        <v>1977646</v>
      </c>
    </row>
    <row r="1545">
      <c r="A1545" s="9" t="n">
        <v>2018</v>
      </c>
      <c r="B1545" s="9" t="inlineStr">
        <is>
          <t>silice</t>
        </is>
      </c>
      <c r="C1545" s="9" t="inlineStr">
        <is>
          <t>E2 Silicio/ferrosilicio/SiO2</t>
        </is>
      </c>
      <c r="D1545" s="9" t="inlineStr">
        <is>
          <t>M</t>
        </is>
      </c>
      <c r="E1545" s="9" t="n">
        <v>266925595</v>
      </c>
    </row>
    <row r="1546">
      <c r="A1546" s="6" t="n">
        <v>2018</v>
      </c>
      <c r="B1546" s="6" t="inlineStr">
        <is>
          <t>silice</t>
        </is>
      </c>
      <c r="C1546" s="6" t="inlineStr">
        <is>
          <t>E2 Silicio/ferrosilicio/SiO2</t>
        </is>
      </c>
      <c r="D1546" s="6" t="inlineStr">
        <is>
          <t>X</t>
        </is>
      </c>
      <c r="E1546" s="6" t="n">
        <v>6723754</v>
      </c>
    </row>
    <row r="1547">
      <c r="A1547" s="9" t="n">
        <v>2018</v>
      </c>
      <c r="B1547" s="9" t="inlineStr">
        <is>
          <t>zinc</t>
        </is>
      </c>
      <c r="C1547" s="9" t="inlineStr">
        <is>
          <t>E1 Mena/concentrado</t>
        </is>
      </c>
      <c r="D1547" s="9" t="inlineStr">
        <is>
          <t>M</t>
        </is>
      </c>
      <c r="E1547" s="9" t="n">
        <v>35979309</v>
      </c>
    </row>
    <row r="1548">
      <c r="A1548" s="6" t="n">
        <v>2018</v>
      </c>
      <c r="B1548" s="6" t="inlineStr">
        <is>
          <t>zinc</t>
        </is>
      </c>
      <c r="C1548" s="6" t="inlineStr">
        <is>
          <t>E1 Mena/concentrado</t>
        </is>
      </c>
      <c r="D1548" s="6" t="inlineStr">
        <is>
          <t>X</t>
        </is>
      </c>
      <c r="E1548" s="6" t="n">
        <v>795496776</v>
      </c>
    </row>
    <row r="1549">
      <c r="A1549" s="9" t="n">
        <v>2018</v>
      </c>
      <c r="B1549" s="9" t="inlineStr">
        <is>
          <t>zinc</t>
        </is>
      </c>
      <c r="C1549" s="9" t="inlineStr">
        <is>
          <t>E2 Metal en bruto/refinado</t>
        </is>
      </c>
      <c r="D1549" s="9" t="inlineStr">
        <is>
          <t>M</t>
        </is>
      </c>
      <c r="E1549" s="9" t="n">
        <v>63439674</v>
      </c>
    </row>
    <row r="1550">
      <c r="A1550" s="6" t="n">
        <v>2018</v>
      </c>
      <c r="B1550" s="6" t="inlineStr">
        <is>
          <t>zinc</t>
        </is>
      </c>
      <c r="C1550" s="6" t="inlineStr">
        <is>
          <t>E2 Metal en bruto/refinado</t>
        </is>
      </c>
      <c r="D1550" s="6" t="inlineStr">
        <is>
          <t>X</t>
        </is>
      </c>
      <c r="E1550" s="6" t="n">
        <v>421209847</v>
      </c>
    </row>
    <row r="1551">
      <c r="A1551" s="9" t="n">
        <v>2018</v>
      </c>
      <c r="B1551" s="9" t="inlineStr">
        <is>
          <t>zinc</t>
        </is>
      </c>
      <c r="C1551" s="9" t="inlineStr">
        <is>
          <t>E3 Semimanufacturas</t>
        </is>
      </c>
      <c r="D1551" s="9" t="inlineStr">
        <is>
          <t>M</t>
        </is>
      </c>
      <c r="E1551" s="9" t="n">
        <v>63049260</v>
      </c>
    </row>
    <row r="1552">
      <c r="A1552" s="6" t="n">
        <v>2018</v>
      </c>
      <c r="B1552" s="6" t="inlineStr">
        <is>
          <t>zinc</t>
        </is>
      </c>
      <c r="C1552" s="6" t="inlineStr">
        <is>
          <t>E3 Semimanufacturas</t>
        </is>
      </c>
      <c r="D1552" s="6" t="inlineStr">
        <is>
          <t>X</t>
        </is>
      </c>
      <c r="E1552" s="6" t="n">
        <v>3119267</v>
      </c>
    </row>
    <row r="1553">
      <c r="A1553" s="9" t="n">
        <v>2018</v>
      </c>
      <c r="B1553" s="9" t="inlineStr">
        <is>
          <t>zinc</t>
        </is>
      </c>
      <c r="C1553" s="9" t="inlineStr">
        <is>
          <t>E4 Manufacturas</t>
        </is>
      </c>
      <c r="D1553" s="9" t="inlineStr">
        <is>
          <t>M</t>
        </is>
      </c>
      <c r="E1553" s="9" t="n">
        <v>68318160</v>
      </c>
    </row>
    <row r="1554">
      <c r="A1554" s="6" t="n">
        <v>2018</v>
      </c>
      <c r="B1554" s="6" t="inlineStr">
        <is>
          <t>zinc</t>
        </is>
      </c>
      <c r="C1554" s="6" t="inlineStr">
        <is>
          <t>E4 Manufacturas</t>
        </is>
      </c>
      <c r="D1554" s="6" t="inlineStr">
        <is>
          <t>X</t>
        </is>
      </c>
      <c r="E1554" s="6" t="n">
        <v>15428635</v>
      </c>
    </row>
    <row r="1555">
      <c r="A1555" s="9" t="n">
        <v>2019</v>
      </c>
      <c r="B1555" s="9" t="inlineStr">
        <is>
          <t>barita</t>
        </is>
      </c>
      <c r="C1555" s="9" t="inlineStr">
        <is>
          <t>E1 Crudo/molido</t>
        </is>
      </c>
      <c r="D1555" s="9" t="inlineStr">
        <is>
          <t>M</t>
        </is>
      </c>
      <c r="E1555" s="9" t="n">
        <v>0</v>
      </c>
    </row>
    <row r="1556">
      <c r="A1556" s="6" t="n">
        <v>2019</v>
      </c>
      <c r="B1556" s="6" t="inlineStr">
        <is>
          <t>barita</t>
        </is>
      </c>
      <c r="C1556" s="6" t="inlineStr">
        <is>
          <t>E1 Crudo/molido</t>
        </is>
      </c>
      <c r="D1556" s="6" t="inlineStr">
        <is>
          <t>X</t>
        </is>
      </c>
      <c r="E1556" s="6" t="n">
        <v>0</v>
      </c>
    </row>
    <row r="1557">
      <c r="A1557" s="9" t="n">
        <v>2019</v>
      </c>
      <c r="B1557" s="9" t="inlineStr">
        <is>
          <t>barita</t>
        </is>
      </c>
      <c r="C1557" s="9" t="inlineStr">
        <is>
          <t>E2 Quimicos de bario</t>
        </is>
      </c>
      <c r="D1557" s="9" t="inlineStr">
        <is>
          <t>M</t>
        </is>
      </c>
      <c r="E1557" s="9" t="n">
        <v>4154051</v>
      </c>
    </row>
    <row r="1558">
      <c r="A1558" s="6" t="n">
        <v>2019</v>
      </c>
      <c r="B1558" s="6" t="inlineStr">
        <is>
          <t>barita</t>
        </is>
      </c>
      <c r="C1558" s="6" t="inlineStr">
        <is>
          <t>E2 Quimicos de bario</t>
        </is>
      </c>
      <c r="D1558" s="6" t="inlineStr">
        <is>
          <t>X</t>
        </is>
      </c>
      <c r="E1558" s="6" t="n">
        <v>0</v>
      </c>
    </row>
    <row r="1559">
      <c r="A1559" s="9" t="n">
        <v>2019</v>
      </c>
      <c r="B1559" s="9" t="inlineStr">
        <is>
          <t>cobre</t>
        </is>
      </c>
      <c r="C1559" s="9" t="inlineStr">
        <is>
          <t>E1 Mena/concentrado</t>
        </is>
      </c>
      <c r="D1559" s="9" t="inlineStr">
        <is>
          <t>M</t>
        </is>
      </c>
      <c r="E1559" s="9" t="n">
        <v>780369161</v>
      </c>
    </row>
    <row r="1560">
      <c r="A1560" s="6" t="n">
        <v>2019</v>
      </c>
      <c r="B1560" s="6" t="inlineStr">
        <is>
          <t>cobre</t>
        </is>
      </c>
      <c r="C1560" s="6" t="inlineStr">
        <is>
          <t>E1 Mena/concentrado</t>
        </is>
      </c>
      <c r="D1560" s="6" t="inlineStr">
        <is>
          <t>X</t>
        </is>
      </c>
      <c r="E1560" s="6" t="n">
        <v>2339268612</v>
      </c>
    </row>
    <row r="1561">
      <c r="A1561" s="9" t="n">
        <v>2019</v>
      </c>
      <c r="B1561" s="9" t="inlineStr">
        <is>
          <t>cobre</t>
        </is>
      </c>
      <c r="C1561" s="9" t="inlineStr">
        <is>
          <t>E2 Metal en bruto/refinado</t>
        </is>
      </c>
      <c r="D1561" s="9" t="inlineStr">
        <is>
          <t>M</t>
        </is>
      </c>
      <c r="E1561" s="9" t="n">
        <v>869535577</v>
      </c>
    </row>
    <row r="1562">
      <c r="A1562" s="6" t="n">
        <v>2019</v>
      </c>
      <c r="B1562" s="6" t="inlineStr">
        <is>
          <t>cobre</t>
        </is>
      </c>
      <c r="C1562" s="6" t="inlineStr">
        <is>
          <t>E2 Metal en bruto/refinado</t>
        </is>
      </c>
      <c r="D1562" s="6" t="inlineStr">
        <is>
          <t>X</t>
        </is>
      </c>
      <c r="E1562" s="6" t="n">
        <v>796430490</v>
      </c>
    </row>
    <row r="1563">
      <c r="A1563" s="9" t="n">
        <v>2019</v>
      </c>
      <c r="B1563" s="9" t="inlineStr">
        <is>
          <t>cobre</t>
        </is>
      </c>
      <c r="C1563" s="9" t="inlineStr">
        <is>
          <t>E3 Semimanufacturas</t>
        </is>
      </c>
      <c r="D1563" s="9" t="inlineStr">
        <is>
          <t>M</t>
        </is>
      </c>
      <c r="E1563" s="9" t="n">
        <v>1833340059</v>
      </c>
    </row>
    <row r="1564">
      <c r="A1564" s="6" t="n">
        <v>2019</v>
      </c>
      <c r="B1564" s="6" t="inlineStr">
        <is>
          <t>cobre</t>
        </is>
      </c>
      <c r="C1564" s="6" t="inlineStr">
        <is>
          <t>E3 Semimanufacturas</t>
        </is>
      </c>
      <c r="D1564" s="6" t="inlineStr">
        <is>
          <t>X</t>
        </is>
      </c>
      <c r="E1564" s="6" t="n">
        <v>488807777</v>
      </c>
    </row>
    <row r="1565">
      <c r="A1565" s="9" t="n">
        <v>2019</v>
      </c>
      <c r="B1565" s="9" t="inlineStr">
        <is>
          <t>cobre</t>
        </is>
      </c>
      <c r="C1565" s="9" t="inlineStr">
        <is>
          <t>E4 Manufacturas</t>
        </is>
      </c>
      <c r="D1565" s="9" t="inlineStr">
        <is>
          <t>M</t>
        </is>
      </c>
      <c r="E1565" s="9" t="n">
        <v>385132787</v>
      </c>
    </row>
    <row r="1566">
      <c r="A1566" s="6" t="n">
        <v>2019</v>
      </c>
      <c r="B1566" s="6" t="inlineStr">
        <is>
          <t>cobre</t>
        </is>
      </c>
      <c r="C1566" s="6" t="inlineStr">
        <is>
          <t>E4 Manufacturas</t>
        </is>
      </c>
      <c r="D1566" s="6" t="inlineStr">
        <is>
          <t>X</t>
        </is>
      </c>
      <c r="E1566" s="6" t="n">
        <v>61529228</v>
      </c>
    </row>
    <row r="1567">
      <c r="A1567" s="9" t="n">
        <v>2019</v>
      </c>
      <c r="B1567" s="9" t="inlineStr">
        <is>
          <t>fluorita</t>
        </is>
      </c>
      <c r="C1567" s="9" t="inlineStr">
        <is>
          <t>E1 Espato fluor (crudo)</t>
        </is>
      </c>
      <c r="D1567" s="9" t="inlineStr">
        <is>
          <t>M</t>
        </is>
      </c>
      <c r="E1567" s="9" t="n">
        <v>20658</v>
      </c>
    </row>
    <row r="1568">
      <c r="A1568" s="6" t="n">
        <v>2019</v>
      </c>
      <c r="B1568" s="6" t="inlineStr">
        <is>
          <t>fluorita</t>
        </is>
      </c>
      <c r="C1568" s="6" t="inlineStr">
        <is>
          <t>E1 Espato fluor (crudo)</t>
        </is>
      </c>
      <c r="D1568" s="6" t="inlineStr">
        <is>
          <t>X</t>
        </is>
      </c>
      <c r="E1568" s="6" t="n">
        <v>107197953</v>
      </c>
    </row>
    <row r="1569">
      <c r="A1569" s="9" t="n">
        <v>2019</v>
      </c>
      <c r="B1569" s="9" t="inlineStr">
        <is>
          <t>fluorita</t>
        </is>
      </c>
      <c r="C1569" s="9" t="inlineStr">
        <is>
          <t>E2 Fluoroquimica</t>
        </is>
      </c>
      <c r="D1569" s="9" t="inlineStr">
        <is>
          <t>M</t>
        </is>
      </c>
      <c r="E1569" s="9" t="n">
        <v>46872930</v>
      </c>
    </row>
    <row r="1570">
      <c r="A1570" s="6" t="n">
        <v>2019</v>
      </c>
      <c r="B1570" s="6" t="inlineStr">
        <is>
          <t>fluorita</t>
        </is>
      </c>
      <c r="C1570" s="6" t="inlineStr">
        <is>
          <t>E2 Fluoroquimica</t>
        </is>
      </c>
      <c r="D1570" s="6" t="inlineStr">
        <is>
          <t>X</t>
        </is>
      </c>
      <c r="E1570" s="6" t="n">
        <v>179912949</v>
      </c>
    </row>
    <row r="1571">
      <c r="A1571" s="9" t="n">
        <v>2019</v>
      </c>
      <c r="B1571" s="9" t="inlineStr">
        <is>
          <t>grafito</t>
        </is>
      </c>
      <c r="C1571" s="9" t="inlineStr">
        <is>
          <t>E1 Grafito natural</t>
        </is>
      </c>
      <c r="D1571" s="9" t="inlineStr">
        <is>
          <t>M</t>
        </is>
      </c>
      <c r="E1571" s="9" t="n">
        <v>3030676</v>
      </c>
    </row>
    <row r="1572">
      <c r="A1572" s="6" t="n">
        <v>2019</v>
      </c>
      <c r="B1572" s="6" t="inlineStr">
        <is>
          <t>grafito</t>
        </is>
      </c>
      <c r="C1572" s="6" t="inlineStr">
        <is>
          <t>E1 Grafito natural</t>
        </is>
      </c>
      <c r="D1572" s="6" t="inlineStr">
        <is>
          <t>X</t>
        </is>
      </c>
      <c r="E1572" s="6" t="n">
        <v>0</v>
      </c>
    </row>
    <row r="1573">
      <c r="A1573" s="9" t="n">
        <v>2019</v>
      </c>
      <c r="B1573" s="9" t="inlineStr">
        <is>
          <t>grafito</t>
        </is>
      </c>
      <c r="C1573" s="9" t="inlineStr">
        <is>
          <t>E2 Grafito artificial/prep.</t>
        </is>
      </c>
      <c r="D1573" s="9" t="inlineStr">
        <is>
          <t>M</t>
        </is>
      </c>
      <c r="E1573" s="9" t="n">
        <v>48350059</v>
      </c>
    </row>
    <row r="1574">
      <c r="A1574" s="6" t="n">
        <v>2019</v>
      </c>
      <c r="B1574" s="6" t="inlineStr">
        <is>
          <t>grafito</t>
        </is>
      </c>
      <c r="C1574" s="6" t="inlineStr">
        <is>
          <t>E2 Grafito artificial/prep.</t>
        </is>
      </c>
      <c r="D1574" s="6" t="inlineStr">
        <is>
          <t>X</t>
        </is>
      </c>
      <c r="E1574" s="6" t="n">
        <v>56520991</v>
      </c>
    </row>
    <row r="1575">
      <c r="A1575" s="9" t="n">
        <v>2019</v>
      </c>
      <c r="B1575" s="9" t="inlineStr">
        <is>
          <t>grafito</t>
        </is>
      </c>
      <c r="C1575" s="9" t="inlineStr">
        <is>
          <t>E3 Electrodos/articulos de carbono</t>
        </is>
      </c>
      <c r="D1575" s="9" t="inlineStr">
        <is>
          <t>M</t>
        </is>
      </c>
      <c r="E1575" s="9" t="n">
        <v>210434995</v>
      </c>
    </row>
    <row r="1576">
      <c r="A1576" s="6" t="n">
        <v>2019</v>
      </c>
      <c r="B1576" s="6" t="inlineStr">
        <is>
          <t>grafito</t>
        </is>
      </c>
      <c r="C1576" s="6" t="inlineStr">
        <is>
          <t>E3 Electrodos/articulos de carbono</t>
        </is>
      </c>
      <c r="D1576" s="6" t="inlineStr">
        <is>
          <t>X</t>
        </is>
      </c>
      <c r="E1576" s="6" t="n">
        <v>166748311</v>
      </c>
    </row>
    <row r="1577">
      <c r="A1577" s="9" t="n">
        <v>2019</v>
      </c>
      <c r="B1577" s="9" t="inlineStr">
        <is>
          <t>manganeso</t>
        </is>
      </c>
      <c r="C1577" s="9" t="inlineStr">
        <is>
          <t>E1 Mena/concentrado</t>
        </is>
      </c>
      <c r="D1577" s="9" t="inlineStr">
        <is>
          <t>M</t>
        </is>
      </c>
      <c r="E1577" s="9" t="n">
        <v>30606114</v>
      </c>
    </row>
    <row r="1578">
      <c r="A1578" s="6" t="n">
        <v>2019</v>
      </c>
      <c r="B1578" s="6" t="inlineStr">
        <is>
          <t>manganeso</t>
        </is>
      </c>
      <c r="C1578" s="6" t="inlineStr">
        <is>
          <t>E1 Mena/concentrado</t>
        </is>
      </c>
      <c r="D1578" s="6" t="inlineStr">
        <is>
          <t>X</t>
        </is>
      </c>
      <c r="E1578" s="6" t="n">
        <v>0</v>
      </c>
    </row>
    <row r="1579">
      <c r="A1579" s="9" t="n">
        <v>2019</v>
      </c>
      <c r="B1579" s="9" t="inlineStr">
        <is>
          <t>manganeso</t>
        </is>
      </c>
      <c r="C1579" s="9" t="inlineStr">
        <is>
          <t>E2 Ferroaleaciones</t>
        </is>
      </c>
      <c r="D1579" s="9" t="inlineStr">
        <is>
          <t>M</t>
        </is>
      </c>
      <c r="E1579" s="9" t="n">
        <v>3004341</v>
      </c>
    </row>
    <row r="1580">
      <c r="A1580" s="6" t="n">
        <v>2019</v>
      </c>
      <c r="B1580" s="6" t="inlineStr">
        <is>
          <t>manganeso</t>
        </is>
      </c>
      <c r="C1580" s="6" t="inlineStr">
        <is>
          <t>E2 Ferroaleaciones</t>
        </is>
      </c>
      <c r="D1580" s="6" t="inlineStr">
        <is>
          <t>X</t>
        </is>
      </c>
      <c r="E1580" s="6" t="n">
        <v>45973453</v>
      </c>
    </row>
    <row r="1581">
      <c r="A1581" s="9" t="n">
        <v>2019</v>
      </c>
      <c r="B1581" s="9" t="inlineStr">
        <is>
          <t>manganeso</t>
        </is>
      </c>
      <c r="C1581" s="9" t="inlineStr">
        <is>
          <t>E3 Quimicos/metal</t>
        </is>
      </c>
      <c r="D1581" s="9" t="inlineStr">
        <is>
          <t>M</t>
        </is>
      </c>
      <c r="E1581" s="9" t="n">
        <v>14740410</v>
      </c>
    </row>
    <row r="1582">
      <c r="A1582" s="6" t="n">
        <v>2019</v>
      </c>
      <c r="B1582" s="6" t="inlineStr">
        <is>
          <t>manganeso</t>
        </is>
      </c>
      <c r="C1582" s="6" t="inlineStr">
        <is>
          <t>E3 Quimicos/metal</t>
        </is>
      </c>
      <c r="D1582" s="6" t="inlineStr">
        <is>
          <t>X</t>
        </is>
      </c>
      <c r="E1582" s="6" t="n">
        <v>0</v>
      </c>
    </row>
    <row r="1583">
      <c r="A1583" s="9" t="n">
        <v>2019</v>
      </c>
      <c r="B1583" s="9" t="inlineStr">
        <is>
          <t>oro</t>
        </is>
      </c>
      <c r="C1583" s="9" t="inlineStr">
        <is>
          <t>E1 Mena/concentrado</t>
        </is>
      </c>
      <c r="D1583" s="9" t="inlineStr">
        <is>
          <t>M</t>
        </is>
      </c>
      <c r="E1583" s="9" t="n">
        <v>0</v>
      </c>
    </row>
    <row r="1584">
      <c r="A1584" s="6" t="n">
        <v>2019</v>
      </c>
      <c r="B1584" s="6" t="inlineStr">
        <is>
          <t>oro</t>
        </is>
      </c>
      <c r="C1584" s="6" t="inlineStr">
        <is>
          <t>E1 Mena/concentrado</t>
        </is>
      </c>
      <c r="D1584" s="6" t="inlineStr">
        <is>
          <t>X</t>
        </is>
      </c>
      <c r="E1584" s="6" t="n">
        <v>217719396</v>
      </c>
    </row>
    <row r="1585">
      <c r="A1585" s="9" t="n">
        <v>2019</v>
      </c>
      <c r="B1585" s="9" t="inlineStr">
        <is>
          <t>oro</t>
        </is>
      </c>
      <c r="C1585" s="9" t="inlineStr">
        <is>
          <t>E2 Bruto/semilabrado</t>
        </is>
      </c>
      <c r="D1585" s="9" t="inlineStr">
        <is>
          <t>M</t>
        </is>
      </c>
      <c r="E1585" s="9" t="n">
        <v>125837047</v>
      </c>
    </row>
    <row r="1586">
      <c r="A1586" s="6" t="n">
        <v>2019</v>
      </c>
      <c r="B1586" s="6" t="inlineStr">
        <is>
          <t>oro</t>
        </is>
      </c>
      <c r="C1586" s="6" t="inlineStr">
        <is>
          <t>E2 Bruto/semilabrado</t>
        </is>
      </c>
      <c r="D1586" s="6" t="inlineStr">
        <is>
          <t>X</t>
        </is>
      </c>
      <c r="E1586" s="6" t="n">
        <v>3268151039</v>
      </c>
    </row>
    <row r="1587">
      <c r="A1587" s="9" t="n">
        <v>2019</v>
      </c>
      <c r="B1587" s="9" t="inlineStr">
        <is>
          <t>oro-plata (manufacturas)</t>
        </is>
      </c>
      <c r="C1587" s="9" t="inlineStr">
        <is>
          <t>E4 Joyeria/orfebreria</t>
        </is>
      </c>
      <c r="D1587" s="9" t="inlineStr">
        <is>
          <t>M</t>
        </is>
      </c>
      <c r="E1587" s="9" t="n">
        <v>505348329</v>
      </c>
    </row>
    <row r="1588">
      <c r="A1588" s="6" t="n">
        <v>2019</v>
      </c>
      <c r="B1588" s="6" t="inlineStr">
        <is>
          <t>oro-plata (manufacturas)</t>
        </is>
      </c>
      <c r="C1588" s="6" t="inlineStr">
        <is>
          <t>E4 Joyeria/orfebreria</t>
        </is>
      </c>
      <c r="D1588" s="6" t="inlineStr">
        <is>
          <t>X</t>
        </is>
      </c>
      <c r="E1588" s="6" t="n">
        <v>311536967</v>
      </c>
    </row>
    <row r="1589">
      <c r="A1589" s="9" t="n">
        <v>2019</v>
      </c>
      <c r="B1589" s="9" t="inlineStr">
        <is>
          <t>plata</t>
        </is>
      </c>
      <c r="C1589" s="9" t="inlineStr">
        <is>
          <t>E1 Mena/concentrado</t>
        </is>
      </c>
      <c r="D1589" s="9" t="inlineStr">
        <is>
          <t>M</t>
        </is>
      </c>
      <c r="E1589" s="9" t="n">
        <v>4712</v>
      </c>
    </row>
    <row r="1590">
      <c r="A1590" s="6" t="n">
        <v>2019</v>
      </c>
      <c r="B1590" s="6" t="inlineStr">
        <is>
          <t>plata</t>
        </is>
      </c>
      <c r="C1590" s="6" t="inlineStr">
        <is>
          <t>E1 Mena/concentrado</t>
        </is>
      </c>
      <c r="D1590" s="6" t="inlineStr">
        <is>
          <t>X</t>
        </is>
      </c>
      <c r="E1590" s="6" t="n">
        <v>31927356</v>
      </c>
    </row>
    <row r="1591">
      <c r="A1591" s="9" t="n">
        <v>2019</v>
      </c>
      <c r="B1591" s="9" t="inlineStr">
        <is>
          <t>plata</t>
        </is>
      </c>
      <c r="C1591" s="9" t="inlineStr">
        <is>
          <t>E2 Bruto/semilabrado</t>
        </is>
      </c>
      <c r="D1591" s="9" t="inlineStr">
        <is>
          <t>M</t>
        </is>
      </c>
      <c r="E1591" s="9" t="n">
        <v>92438614</v>
      </c>
    </row>
    <row r="1592">
      <c r="A1592" s="6" t="n">
        <v>2019</v>
      </c>
      <c r="B1592" s="6" t="inlineStr">
        <is>
          <t>plata</t>
        </is>
      </c>
      <c r="C1592" s="6" t="inlineStr">
        <is>
          <t>E2 Bruto/semilabrado</t>
        </is>
      </c>
      <c r="D1592" s="6" t="inlineStr">
        <is>
          <t>X</t>
        </is>
      </c>
      <c r="E1592" s="6" t="n">
        <v>1881640521</v>
      </c>
    </row>
    <row r="1593">
      <c r="A1593" s="9" t="n">
        <v>2019</v>
      </c>
      <c r="B1593" s="9" t="inlineStr">
        <is>
          <t>plomo</t>
        </is>
      </c>
      <c r="C1593" s="9" t="inlineStr">
        <is>
          <t>E1 Mena/concentrado</t>
        </is>
      </c>
      <c r="D1593" s="9" t="inlineStr">
        <is>
          <t>M</t>
        </is>
      </c>
      <c r="E1593" s="9" t="n">
        <v>53017207</v>
      </c>
    </row>
    <row r="1594">
      <c r="A1594" s="6" t="n">
        <v>2019</v>
      </c>
      <c r="B1594" s="6" t="inlineStr">
        <is>
          <t>plomo</t>
        </is>
      </c>
      <c r="C1594" s="6" t="inlineStr">
        <is>
          <t>E1 Mena/concentrado</t>
        </is>
      </c>
      <c r="D1594" s="6" t="inlineStr">
        <is>
          <t>X</t>
        </is>
      </c>
      <c r="E1594" s="6" t="n">
        <v>739121732</v>
      </c>
    </row>
    <row r="1595">
      <c r="A1595" s="9" t="n">
        <v>2019</v>
      </c>
      <c r="B1595" s="9" t="inlineStr">
        <is>
          <t>plomo</t>
        </is>
      </c>
      <c r="C1595" s="9" t="inlineStr">
        <is>
          <t>E2 Metal en bruto/refinado</t>
        </is>
      </c>
      <c r="D1595" s="9" t="inlineStr">
        <is>
          <t>M</t>
        </is>
      </c>
      <c r="E1595" s="9" t="n">
        <v>33490361</v>
      </c>
    </row>
    <row r="1596">
      <c r="A1596" s="6" t="n">
        <v>2019</v>
      </c>
      <c r="B1596" s="6" t="inlineStr">
        <is>
          <t>plomo</t>
        </is>
      </c>
      <c r="C1596" s="6" t="inlineStr">
        <is>
          <t>E2 Metal en bruto/refinado</t>
        </is>
      </c>
      <c r="D1596" s="6" t="inlineStr">
        <is>
          <t>X</t>
        </is>
      </c>
      <c r="E1596" s="6" t="n">
        <v>190220069</v>
      </c>
    </row>
    <row r="1597">
      <c r="A1597" s="9" t="n">
        <v>2019</v>
      </c>
      <c r="B1597" s="9" t="inlineStr">
        <is>
          <t>plomo</t>
        </is>
      </c>
      <c r="C1597" s="9" t="inlineStr">
        <is>
          <t>E3 Semimanufacturas</t>
        </is>
      </c>
      <c r="D1597" s="9" t="inlineStr">
        <is>
          <t>M</t>
        </is>
      </c>
      <c r="E1597" s="9" t="n">
        <v>0</v>
      </c>
    </row>
    <row r="1598">
      <c r="A1598" s="6" t="n">
        <v>2019</v>
      </c>
      <c r="B1598" s="6" t="inlineStr">
        <is>
          <t>plomo</t>
        </is>
      </c>
      <c r="C1598" s="6" t="inlineStr">
        <is>
          <t>E3 Semimanufacturas</t>
        </is>
      </c>
      <c r="D1598" s="6" t="inlineStr">
        <is>
          <t>X</t>
        </is>
      </c>
      <c r="E1598" s="6" t="n">
        <v>1169084</v>
      </c>
    </row>
    <row r="1599">
      <c r="A1599" s="9" t="n">
        <v>2019</v>
      </c>
      <c r="B1599" s="9" t="inlineStr">
        <is>
          <t>plomo</t>
        </is>
      </c>
      <c r="C1599" s="9" t="inlineStr">
        <is>
          <t>E4 Manufacturas</t>
        </is>
      </c>
      <c r="D1599" s="9" t="inlineStr">
        <is>
          <t>M</t>
        </is>
      </c>
      <c r="E1599" s="9" t="n">
        <v>7354441</v>
      </c>
    </row>
    <row r="1600">
      <c r="A1600" s="6" t="n">
        <v>2019</v>
      </c>
      <c r="B1600" s="6" t="inlineStr">
        <is>
          <t>plomo</t>
        </is>
      </c>
      <c r="C1600" s="6" t="inlineStr">
        <is>
          <t>E4 Manufacturas</t>
        </is>
      </c>
      <c r="D1600" s="6" t="inlineStr">
        <is>
          <t>X</t>
        </is>
      </c>
      <c r="E1600" s="6" t="n">
        <v>878243</v>
      </c>
    </row>
    <row r="1601">
      <c r="A1601" s="9" t="n">
        <v>2019</v>
      </c>
      <c r="B1601" s="9" t="inlineStr">
        <is>
          <t>silice</t>
        </is>
      </c>
      <c r="C1601" s="9" t="inlineStr">
        <is>
          <t>E1 Arena silica/cuarzo</t>
        </is>
      </c>
      <c r="D1601" s="9" t="inlineStr">
        <is>
          <t>M</t>
        </is>
      </c>
      <c r="E1601" s="9" t="n">
        <v>78459709</v>
      </c>
    </row>
    <row r="1602">
      <c r="A1602" s="6" t="n">
        <v>2019</v>
      </c>
      <c r="B1602" s="6" t="inlineStr">
        <is>
          <t>silice</t>
        </is>
      </c>
      <c r="C1602" s="6" t="inlineStr">
        <is>
          <t>E1 Arena silica/cuarzo</t>
        </is>
      </c>
      <c r="D1602" s="6" t="inlineStr">
        <is>
          <t>X</t>
        </is>
      </c>
      <c r="E1602" s="6" t="n">
        <v>1588593</v>
      </c>
    </row>
    <row r="1603">
      <c r="A1603" s="9" t="n">
        <v>2019</v>
      </c>
      <c r="B1603" s="9" t="inlineStr">
        <is>
          <t>silice</t>
        </is>
      </c>
      <c r="C1603" s="9" t="inlineStr">
        <is>
          <t>E2 Silicio/ferrosilicio/SiO2</t>
        </is>
      </c>
      <c r="D1603" s="9" t="inlineStr">
        <is>
          <t>M</t>
        </is>
      </c>
      <c r="E1603" s="9" t="n">
        <v>229280208</v>
      </c>
    </row>
    <row r="1604">
      <c r="A1604" s="6" t="n">
        <v>2019</v>
      </c>
      <c r="B1604" s="6" t="inlineStr">
        <is>
          <t>silice</t>
        </is>
      </c>
      <c r="C1604" s="6" t="inlineStr">
        <is>
          <t>E2 Silicio/ferrosilicio/SiO2</t>
        </is>
      </c>
      <c r="D1604" s="6" t="inlineStr">
        <is>
          <t>X</t>
        </is>
      </c>
      <c r="E1604" s="6" t="n">
        <v>7791711</v>
      </c>
    </row>
    <row r="1605">
      <c r="A1605" s="9" t="n">
        <v>2019</v>
      </c>
      <c r="B1605" s="9" t="inlineStr">
        <is>
          <t>zinc</t>
        </is>
      </c>
      <c r="C1605" s="9" t="inlineStr">
        <is>
          <t>E1 Mena/concentrado</t>
        </is>
      </c>
      <c r="D1605" s="9" t="inlineStr">
        <is>
          <t>M</t>
        </is>
      </c>
      <c r="E1605" s="9" t="n">
        <v>32297975</v>
      </c>
    </row>
    <row r="1606">
      <c r="A1606" s="6" t="n">
        <v>2019</v>
      </c>
      <c r="B1606" s="6" t="inlineStr">
        <is>
          <t>zinc</t>
        </is>
      </c>
      <c r="C1606" s="6" t="inlineStr">
        <is>
          <t>E1 Mena/concentrado</t>
        </is>
      </c>
      <c r="D1606" s="6" t="inlineStr">
        <is>
          <t>X</t>
        </is>
      </c>
      <c r="E1606" s="6" t="n">
        <v>655723459</v>
      </c>
    </row>
    <row r="1607">
      <c r="A1607" s="9" t="n">
        <v>2019</v>
      </c>
      <c r="B1607" s="9" t="inlineStr">
        <is>
          <t>zinc</t>
        </is>
      </c>
      <c r="C1607" s="9" t="inlineStr">
        <is>
          <t>E2 Metal en bruto/refinado</t>
        </is>
      </c>
      <c r="D1607" s="9" t="inlineStr">
        <is>
          <t>M</t>
        </is>
      </c>
      <c r="E1607" s="9" t="n">
        <v>51957113</v>
      </c>
    </row>
    <row r="1608">
      <c r="A1608" s="6" t="n">
        <v>2019</v>
      </c>
      <c r="B1608" s="6" t="inlineStr">
        <is>
          <t>zinc</t>
        </is>
      </c>
      <c r="C1608" s="6" t="inlineStr">
        <is>
          <t>E2 Metal en bruto/refinado</t>
        </is>
      </c>
      <c r="D1608" s="6" t="inlineStr">
        <is>
          <t>X</t>
        </is>
      </c>
      <c r="E1608" s="6" t="n">
        <v>372975923</v>
      </c>
    </row>
    <row r="1609">
      <c r="A1609" s="9" t="n">
        <v>2019</v>
      </c>
      <c r="B1609" s="9" t="inlineStr">
        <is>
          <t>zinc</t>
        </is>
      </c>
      <c r="C1609" s="9" t="inlineStr">
        <is>
          <t>E3 Semimanufacturas</t>
        </is>
      </c>
      <c r="D1609" s="9" t="inlineStr">
        <is>
          <t>M</t>
        </is>
      </c>
      <c r="E1609" s="9" t="n">
        <v>55197046</v>
      </c>
    </row>
    <row r="1610">
      <c r="A1610" s="6" t="n">
        <v>2019</v>
      </c>
      <c r="B1610" s="6" t="inlineStr">
        <is>
          <t>zinc</t>
        </is>
      </c>
      <c r="C1610" s="6" t="inlineStr">
        <is>
          <t>E3 Semimanufacturas</t>
        </is>
      </c>
      <c r="D1610" s="6" t="inlineStr">
        <is>
          <t>X</t>
        </is>
      </c>
      <c r="E1610" s="6" t="n">
        <v>1710494</v>
      </c>
    </row>
    <row r="1611">
      <c r="A1611" s="9" t="n">
        <v>2019</v>
      </c>
      <c r="B1611" s="9" t="inlineStr">
        <is>
          <t>zinc</t>
        </is>
      </c>
      <c r="C1611" s="9" t="inlineStr">
        <is>
          <t>E4 Manufacturas</t>
        </is>
      </c>
      <c r="D1611" s="9" t="inlineStr">
        <is>
          <t>M</t>
        </is>
      </c>
      <c r="E1611" s="9" t="n">
        <v>70612488</v>
      </c>
    </row>
    <row r="1612">
      <c r="A1612" s="6" t="n">
        <v>2019</v>
      </c>
      <c r="B1612" s="6" t="inlineStr">
        <is>
          <t>zinc</t>
        </is>
      </c>
      <c r="C1612" s="6" t="inlineStr">
        <is>
          <t>E4 Manufacturas</t>
        </is>
      </c>
      <c r="D1612" s="6" t="inlineStr">
        <is>
          <t>X</t>
        </is>
      </c>
      <c r="E1612" s="6" t="n">
        <v>15357548</v>
      </c>
    </row>
    <row r="1613">
      <c r="A1613" s="9" t="n">
        <v>2020</v>
      </c>
      <c r="B1613" s="9" t="inlineStr">
        <is>
          <t>barita</t>
        </is>
      </c>
      <c r="C1613" s="9" t="inlineStr">
        <is>
          <t>E1 Crudo/molido</t>
        </is>
      </c>
      <c r="D1613" s="9" t="inlineStr">
        <is>
          <t>M</t>
        </is>
      </c>
      <c r="E1613" s="9" t="n">
        <v>898377</v>
      </c>
    </row>
    <row r="1614">
      <c r="A1614" s="6" t="n">
        <v>2020</v>
      </c>
      <c r="B1614" s="6" t="inlineStr">
        <is>
          <t>barita</t>
        </is>
      </c>
      <c r="C1614" s="6" t="inlineStr">
        <is>
          <t>E1 Crudo/molido</t>
        </is>
      </c>
      <c r="D1614" s="6" t="inlineStr">
        <is>
          <t>X</t>
        </is>
      </c>
      <c r="E1614" s="6" t="n">
        <v>0</v>
      </c>
    </row>
    <row r="1615">
      <c r="A1615" s="9" t="n">
        <v>2020</v>
      </c>
      <c r="B1615" s="9" t="inlineStr">
        <is>
          <t>barita</t>
        </is>
      </c>
      <c r="C1615" s="9" t="inlineStr">
        <is>
          <t>E2 Quimicos de bario</t>
        </is>
      </c>
      <c r="D1615" s="9" t="inlineStr">
        <is>
          <t>M</t>
        </is>
      </c>
      <c r="E1615" s="9" t="n">
        <v>2480157</v>
      </c>
    </row>
    <row r="1616">
      <c r="A1616" s="6" t="n">
        <v>2020</v>
      </c>
      <c r="B1616" s="6" t="inlineStr">
        <is>
          <t>barita</t>
        </is>
      </c>
      <c r="C1616" s="6" t="inlineStr">
        <is>
          <t>E2 Quimicos de bario</t>
        </is>
      </c>
      <c r="D1616" s="6" t="inlineStr">
        <is>
          <t>X</t>
        </is>
      </c>
      <c r="E1616" s="6" t="n">
        <v>0</v>
      </c>
    </row>
    <row r="1617">
      <c r="A1617" s="9" t="n">
        <v>2020</v>
      </c>
      <c r="B1617" s="9" t="inlineStr">
        <is>
          <t>cobre</t>
        </is>
      </c>
      <c r="C1617" s="9" t="inlineStr">
        <is>
          <t>E1 Mena/concentrado</t>
        </is>
      </c>
      <c r="D1617" s="9" t="inlineStr">
        <is>
          <t>M</t>
        </is>
      </c>
      <c r="E1617" s="9" t="n">
        <v>1132333334</v>
      </c>
    </row>
    <row r="1618">
      <c r="A1618" s="6" t="n">
        <v>2020</v>
      </c>
      <c r="B1618" s="6" t="inlineStr">
        <is>
          <t>cobre</t>
        </is>
      </c>
      <c r="C1618" s="6" t="inlineStr">
        <is>
          <t>E1 Mena/concentrado</t>
        </is>
      </c>
      <c r="D1618" s="6" t="inlineStr">
        <is>
          <t>X</t>
        </is>
      </c>
      <c r="E1618" s="6" t="n">
        <v>2878626776</v>
      </c>
    </row>
    <row r="1619">
      <c r="A1619" s="9" t="n">
        <v>2020</v>
      </c>
      <c r="B1619" s="9" t="inlineStr">
        <is>
          <t>cobre</t>
        </is>
      </c>
      <c r="C1619" s="9" t="inlineStr">
        <is>
          <t>E2 Metal en bruto/refinado</t>
        </is>
      </c>
      <c r="D1619" s="9" t="inlineStr">
        <is>
          <t>M</t>
        </is>
      </c>
      <c r="E1619" s="9" t="n">
        <v>828881738</v>
      </c>
    </row>
    <row r="1620">
      <c r="A1620" s="6" t="n">
        <v>2020</v>
      </c>
      <c r="B1620" s="6" t="inlineStr">
        <is>
          <t>cobre</t>
        </is>
      </c>
      <c r="C1620" s="6" t="inlineStr">
        <is>
          <t>E2 Metal en bruto/refinado</t>
        </is>
      </c>
      <c r="D1620" s="6" t="inlineStr">
        <is>
          <t>X</t>
        </is>
      </c>
      <c r="E1620" s="6" t="n">
        <v>813642511</v>
      </c>
    </row>
    <row r="1621">
      <c r="A1621" s="9" t="n">
        <v>2020</v>
      </c>
      <c r="B1621" s="9" t="inlineStr">
        <is>
          <t>cobre</t>
        </is>
      </c>
      <c r="C1621" s="9" t="inlineStr">
        <is>
          <t>E3 Semimanufacturas</t>
        </is>
      </c>
      <c r="D1621" s="9" t="inlineStr">
        <is>
          <t>M</t>
        </is>
      </c>
      <c r="E1621" s="9" t="n">
        <v>1441095349</v>
      </c>
    </row>
    <row r="1622">
      <c r="A1622" s="6" t="n">
        <v>2020</v>
      </c>
      <c r="B1622" s="6" t="inlineStr">
        <is>
          <t>cobre</t>
        </is>
      </c>
      <c r="C1622" s="6" t="inlineStr">
        <is>
          <t>E3 Semimanufacturas</t>
        </is>
      </c>
      <c r="D1622" s="6" t="inlineStr">
        <is>
          <t>X</t>
        </is>
      </c>
      <c r="E1622" s="6" t="n">
        <v>461341926</v>
      </c>
    </row>
    <row r="1623">
      <c r="A1623" s="9" t="n">
        <v>2020</v>
      </c>
      <c r="B1623" s="9" t="inlineStr">
        <is>
          <t>cobre</t>
        </is>
      </c>
      <c r="C1623" s="9" t="inlineStr">
        <is>
          <t>E4 Manufacturas</t>
        </is>
      </c>
      <c r="D1623" s="9" t="inlineStr">
        <is>
          <t>M</t>
        </is>
      </c>
      <c r="E1623" s="9" t="n">
        <v>315959308</v>
      </c>
    </row>
    <row r="1624">
      <c r="A1624" s="6" t="n">
        <v>2020</v>
      </c>
      <c r="B1624" s="6" t="inlineStr">
        <is>
          <t>cobre</t>
        </is>
      </c>
      <c r="C1624" s="6" t="inlineStr">
        <is>
          <t>E4 Manufacturas</t>
        </is>
      </c>
      <c r="D1624" s="6" t="inlineStr">
        <is>
          <t>X</t>
        </is>
      </c>
      <c r="E1624" s="6" t="n">
        <v>53887119</v>
      </c>
    </row>
    <row r="1625">
      <c r="A1625" s="9" t="n">
        <v>2020</v>
      </c>
      <c r="B1625" s="9" t="inlineStr">
        <is>
          <t>fluorita</t>
        </is>
      </c>
      <c r="C1625" s="9" t="inlineStr">
        <is>
          <t>E1 Espato fluor (crudo)</t>
        </is>
      </c>
      <c r="D1625" s="9" t="inlineStr">
        <is>
          <t>M</t>
        </is>
      </c>
      <c r="E1625" s="9" t="n">
        <v>88512</v>
      </c>
    </row>
    <row r="1626">
      <c r="A1626" s="6" t="n">
        <v>2020</v>
      </c>
      <c r="B1626" s="6" t="inlineStr">
        <is>
          <t>fluorita</t>
        </is>
      </c>
      <c r="C1626" s="6" t="inlineStr">
        <is>
          <t>E1 Espato fluor (crudo)</t>
        </is>
      </c>
      <c r="D1626" s="6" t="inlineStr">
        <is>
          <t>X</t>
        </is>
      </c>
      <c r="E1626" s="6" t="n">
        <v>77026577</v>
      </c>
    </row>
    <row r="1627">
      <c r="A1627" s="9" t="n">
        <v>2020</v>
      </c>
      <c r="B1627" s="9" t="inlineStr">
        <is>
          <t>fluorita</t>
        </is>
      </c>
      <c r="C1627" s="9" t="inlineStr">
        <is>
          <t>E2 Fluoroquimica</t>
        </is>
      </c>
      <c r="D1627" s="9" t="inlineStr">
        <is>
          <t>M</t>
        </is>
      </c>
      <c r="E1627" s="9" t="n">
        <v>31201273</v>
      </c>
    </row>
    <row r="1628">
      <c r="A1628" s="6" t="n">
        <v>2020</v>
      </c>
      <c r="B1628" s="6" t="inlineStr">
        <is>
          <t>fluorita</t>
        </is>
      </c>
      <c r="C1628" s="6" t="inlineStr">
        <is>
          <t>E2 Fluoroquimica</t>
        </is>
      </c>
      <c r="D1628" s="6" t="inlineStr">
        <is>
          <t>X</t>
        </is>
      </c>
      <c r="E1628" s="6" t="n">
        <v>144847687</v>
      </c>
    </row>
    <row r="1629">
      <c r="A1629" s="9" t="n">
        <v>2020</v>
      </c>
      <c r="B1629" s="9" t="inlineStr">
        <is>
          <t>grafito</t>
        </is>
      </c>
      <c r="C1629" s="9" t="inlineStr">
        <is>
          <t>E1 Grafito natural</t>
        </is>
      </c>
      <c r="D1629" s="9" t="inlineStr">
        <is>
          <t>M</t>
        </is>
      </c>
      <c r="E1629" s="9" t="n">
        <v>2431212</v>
      </c>
    </row>
    <row r="1630">
      <c r="A1630" s="6" t="n">
        <v>2020</v>
      </c>
      <c r="B1630" s="6" t="inlineStr">
        <is>
          <t>grafito</t>
        </is>
      </c>
      <c r="C1630" s="6" t="inlineStr">
        <is>
          <t>E1 Grafito natural</t>
        </is>
      </c>
      <c r="D1630" s="6" t="inlineStr">
        <is>
          <t>X</t>
        </is>
      </c>
      <c r="E1630" s="6" t="n">
        <v>0</v>
      </c>
    </row>
    <row r="1631">
      <c r="A1631" s="9" t="n">
        <v>2020</v>
      </c>
      <c r="B1631" s="9" t="inlineStr">
        <is>
          <t>grafito</t>
        </is>
      </c>
      <c r="C1631" s="9" t="inlineStr">
        <is>
          <t>E2 Grafito artificial/prep.</t>
        </is>
      </c>
      <c r="D1631" s="9" t="inlineStr">
        <is>
          <t>M</t>
        </is>
      </c>
      <c r="E1631" s="9" t="n">
        <v>39306796</v>
      </c>
    </row>
    <row r="1632">
      <c r="A1632" s="6" t="n">
        <v>2020</v>
      </c>
      <c r="B1632" s="6" t="inlineStr">
        <is>
          <t>grafito</t>
        </is>
      </c>
      <c r="C1632" s="6" t="inlineStr">
        <is>
          <t>E2 Grafito artificial/prep.</t>
        </is>
      </c>
      <c r="D1632" s="6" t="inlineStr">
        <is>
          <t>X</t>
        </is>
      </c>
      <c r="E1632" s="6" t="n">
        <v>45267805</v>
      </c>
    </row>
    <row r="1633">
      <c r="A1633" s="9" t="n">
        <v>2020</v>
      </c>
      <c r="B1633" s="9" t="inlineStr">
        <is>
          <t>grafito</t>
        </is>
      </c>
      <c r="C1633" s="9" t="inlineStr">
        <is>
          <t>E3 Electrodos/articulos de carbono</t>
        </is>
      </c>
      <c r="D1633" s="9" t="inlineStr">
        <is>
          <t>M</t>
        </is>
      </c>
      <c r="E1633" s="9" t="n">
        <v>109660246</v>
      </c>
    </row>
    <row r="1634">
      <c r="A1634" s="6" t="n">
        <v>2020</v>
      </c>
      <c r="B1634" s="6" t="inlineStr">
        <is>
          <t>grafito</t>
        </is>
      </c>
      <c r="C1634" s="6" t="inlineStr">
        <is>
          <t>E3 Electrodos/articulos de carbono</t>
        </is>
      </c>
      <c r="D1634" s="6" t="inlineStr">
        <is>
          <t>X</t>
        </is>
      </c>
      <c r="E1634" s="6" t="n">
        <v>108307232</v>
      </c>
    </row>
    <row r="1635">
      <c r="A1635" s="9" t="n">
        <v>2020</v>
      </c>
      <c r="B1635" s="9" t="inlineStr">
        <is>
          <t>manganeso</t>
        </is>
      </c>
      <c r="C1635" s="9" t="inlineStr">
        <is>
          <t>E1 Mena/concentrado</t>
        </is>
      </c>
      <c r="D1635" s="9" t="inlineStr">
        <is>
          <t>M</t>
        </is>
      </c>
      <c r="E1635" s="9" t="n">
        <v>10640285</v>
      </c>
    </row>
    <row r="1636">
      <c r="A1636" s="6" t="n">
        <v>2020</v>
      </c>
      <c r="B1636" s="6" t="inlineStr">
        <is>
          <t>manganeso</t>
        </is>
      </c>
      <c r="C1636" s="6" t="inlineStr">
        <is>
          <t>E1 Mena/concentrado</t>
        </is>
      </c>
      <c r="D1636" s="6" t="inlineStr">
        <is>
          <t>X</t>
        </is>
      </c>
      <c r="E1636" s="6" t="n">
        <v>0</v>
      </c>
    </row>
    <row r="1637">
      <c r="A1637" s="9" t="n">
        <v>2020</v>
      </c>
      <c r="B1637" s="9" t="inlineStr">
        <is>
          <t>manganeso</t>
        </is>
      </c>
      <c r="C1637" s="9" t="inlineStr">
        <is>
          <t>E2 Ferroaleaciones</t>
        </is>
      </c>
      <c r="D1637" s="9" t="inlineStr">
        <is>
          <t>M</t>
        </is>
      </c>
      <c r="E1637" s="9" t="n">
        <v>1962726</v>
      </c>
    </row>
    <row r="1638">
      <c r="A1638" s="6" t="n">
        <v>2020</v>
      </c>
      <c r="B1638" s="6" t="inlineStr">
        <is>
          <t>manganeso</t>
        </is>
      </c>
      <c r="C1638" s="6" t="inlineStr">
        <is>
          <t>E2 Ferroaleaciones</t>
        </is>
      </c>
      <c r="D1638" s="6" t="inlineStr">
        <is>
          <t>X</t>
        </is>
      </c>
      <c r="E1638" s="6" t="n">
        <v>20023807</v>
      </c>
    </row>
    <row r="1639">
      <c r="A1639" s="9" t="n">
        <v>2020</v>
      </c>
      <c r="B1639" s="9" t="inlineStr">
        <is>
          <t>manganeso</t>
        </is>
      </c>
      <c r="C1639" s="9" t="inlineStr">
        <is>
          <t>E3 Quimicos/metal</t>
        </is>
      </c>
      <c r="D1639" s="9" t="inlineStr">
        <is>
          <t>M</t>
        </is>
      </c>
      <c r="E1639" s="9" t="n">
        <v>8597925</v>
      </c>
    </row>
    <row r="1640">
      <c r="A1640" s="6" t="n">
        <v>2020</v>
      </c>
      <c r="B1640" s="6" t="inlineStr">
        <is>
          <t>manganeso</t>
        </is>
      </c>
      <c r="C1640" s="6" t="inlineStr">
        <is>
          <t>E3 Quimicos/metal</t>
        </is>
      </c>
      <c r="D1640" s="6" t="inlineStr">
        <is>
          <t>X</t>
        </is>
      </c>
      <c r="E1640" s="6" t="n">
        <v>0</v>
      </c>
    </row>
    <row r="1641">
      <c r="A1641" s="9" t="n">
        <v>2020</v>
      </c>
      <c r="B1641" s="9" t="inlineStr">
        <is>
          <t>oro</t>
        </is>
      </c>
      <c r="C1641" s="9" t="inlineStr">
        <is>
          <t>E1 Mena/concentrado</t>
        </is>
      </c>
      <c r="D1641" s="9" t="inlineStr">
        <is>
          <t>M</t>
        </is>
      </c>
      <c r="E1641" s="9" t="n">
        <v>0</v>
      </c>
    </row>
    <row r="1642">
      <c r="A1642" s="6" t="n">
        <v>2020</v>
      </c>
      <c r="B1642" s="6" t="inlineStr">
        <is>
          <t>oro</t>
        </is>
      </c>
      <c r="C1642" s="6" t="inlineStr">
        <is>
          <t>E1 Mena/concentrado</t>
        </is>
      </c>
      <c r="D1642" s="6" t="inlineStr">
        <is>
          <t>X</t>
        </is>
      </c>
      <c r="E1642" s="6" t="n">
        <v>321417297</v>
      </c>
    </row>
    <row r="1643">
      <c r="A1643" s="9" t="n">
        <v>2020</v>
      </c>
      <c r="B1643" s="9" t="inlineStr">
        <is>
          <t>oro</t>
        </is>
      </c>
      <c r="C1643" s="9" t="inlineStr">
        <is>
          <t>E2 Bruto/semilabrado</t>
        </is>
      </c>
      <c r="D1643" s="9" t="inlineStr">
        <is>
          <t>M</t>
        </is>
      </c>
      <c r="E1643" s="9" t="n">
        <v>102059665</v>
      </c>
    </row>
    <row r="1644">
      <c r="A1644" s="6" t="n">
        <v>2020</v>
      </c>
      <c r="B1644" s="6" t="inlineStr">
        <is>
          <t>oro</t>
        </is>
      </c>
      <c r="C1644" s="6" t="inlineStr">
        <is>
          <t>E2 Bruto/semilabrado</t>
        </is>
      </c>
      <c r="D1644" s="6" t="inlineStr">
        <is>
          <t>X</t>
        </is>
      </c>
      <c r="E1644" s="6" t="n">
        <v>3488850587</v>
      </c>
    </row>
    <row r="1645">
      <c r="A1645" s="9" t="n">
        <v>2020</v>
      </c>
      <c r="B1645" s="9" t="inlineStr">
        <is>
          <t>oro-plata (manufacturas)</t>
        </is>
      </c>
      <c r="C1645" s="9" t="inlineStr">
        <is>
          <t>E4 Joyeria/orfebreria</t>
        </is>
      </c>
      <c r="D1645" s="9" t="inlineStr">
        <is>
          <t>M</t>
        </is>
      </c>
      <c r="E1645" s="9" t="n">
        <v>312791730</v>
      </c>
    </row>
    <row r="1646">
      <c r="A1646" s="6" t="n">
        <v>2020</v>
      </c>
      <c r="B1646" s="6" t="inlineStr">
        <is>
          <t>oro-plata (manufacturas)</t>
        </is>
      </c>
      <c r="C1646" s="6" t="inlineStr">
        <is>
          <t>E4 Joyeria/orfebreria</t>
        </is>
      </c>
      <c r="D1646" s="6" t="inlineStr">
        <is>
          <t>X</t>
        </is>
      </c>
      <c r="E1646" s="6" t="n">
        <v>262580578</v>
      </c>
    </row>
    <row r="1647">
      <c r="A1647" s="9" t="n">
        <v>2020</v>
      </c>
      <c r="B1647" s="9" t="inlineStr">
        <is>
          <t>plata</t>
        </is>
      </c>
      <c r="C1647" s="9" t="inlineStr">
        <is>
          <t>E1 Mena/concentrado</t>
        </is>
      </c>
      <c r="D1647" s="9" t="inlineStr">
        <is>
          <t>M</t>
        </is>
      </c>
      <c r="E1647" s="9" t="n">
        <v>0</v>
      </c>
    </row>
    <row r="1648">
      <c r="A1648" s="6" t="n">
        <v>2020</v>
      </c>
      <c r="B1648" s="6" t="inlineStr">
        <is>
          <t>plata</t>
        </is>
      </c>
      <c r="C1648" s="6" t="inlineStr">
        <is>
          <t>E1 Mena/concentrado</t>
        </is>
      </c>
      <c r="D1648" s="6" t="inlineStr">
        <is>
          <t>X</t>
        </is>
      </c>
      <c r="E1648" s="6" t="n">
        <v>146951579</v>
      </c>
    </row>
    <row r="1649">
      <c r="A1649" s="9" t="n">
        <v>2020</v>
      </c>
      <c r="B1649" s="9" t="inlineStr">
        <is>
          <t>plata</t>
        </is>
      </c>
      <c r="C1649" s="9" t="inlineStr">
        <is>
          <t>E2 Bruto/semilabrado</t>
        </is>
      </c>
      <c r="D1649" s="9" t="inlineStr">
        <is>
          <t>M</t>
        </is>
      </c>
      <c r="E1649" s="9" t="n">
        <v>84417579</v>
      </c>
    </row>
    <row r="1650">
      <c r="A1650" s="6" t="n">
        <v>2020</v>
      </c>
      <c r="B1650" s="6" t="inlineStr">
        <is>
          <t>plata</t>
        </is>
      </c>
      <c r="C1650" s="6" t="inlineStr">
        <is>
          <t>E2 Bruto/semilabrado</t>
        </is>
      </c>
      <c r="D1650" s="6" t="inlineStr">
        <is>
          <t>X</t>
        </is>
      </c>
      <c r="E1650" s="6" t="n">
        <v>2155928215</v>
      </c>
    </row>
    <row r="1651">
      <c r="A1651" s="9" t="n">
        <v>2020</v>
      </c>
      <c r="B1651" s="9" t="inlineStr">
        <is>
          <t>plomo</t>
        </is>
      </c>
      <c r="C1651" s="9" t="inlineStr">
        <is>
          <t>E1 Mena/concentrado</t>
        </is>
      </c>
      <c r="D1651" s="9" t="inlineStr">
        <is>
          <t>M</t>
        </is>
      </c>
      <c r="E1651" s="9" t="n">
        <v>25062021</v>
      </c>
    </row>
    <row r="1652">
      <c r="A1652" s="6" t="n">
        <v>2020</v>
      </c>
      <c r="B1652" s="6" t="inlineStr">
        <is>
          <t>plomo</t>
        </is>
      </c>
      <c r="C1652" s="6" t="inlineStr">
        <is>
          <t>E1 Mena/concentrado</t>
        </is>
      </c>
      <c r="D1652" s="6" t="inlineStr">
        <is>
          <t>X</t>
        </is>
      </c>
      <c r="E1652" s="6" t="n">
        <v>1482644734</v>
      </c>
    </row>
    <row r="1653">
      <c r="A1653" s="9" t="n">
        <v>2020</v>
      </c>
      <c r="B1653" s="9" t="inlineStr">
        <is>
          <t>plomo</t>
        </is>
      </c>
      <c r="C1653" s="9" t="inlineStr">
        <is>
          <t>E2 Metal en bruto/refinado</t>
        </is>
      </c>
      <c r="D1653" s="9" t="inlineStr">
        <is>
          <t>M</t>
        </is>
      </c>
      <c r="E1653" s="9" t="n">
        <v>31820608</v>
      </c>
    </row>
    <row r="1654">
      <c r="A1654" s="6" t="n">
        <v>2020</v>
      </c>
      <c r="B1654" s="6" t="inlineStr">
        <is>
          <t>plomo</t>
        </is>
      </c>
      <c r="C1654" s="6" t="inlineStr">
        <is>
          <t>E2 Metal en bruto/refinado</t>
        </is>
      </c>
      <c r="D1654" s="6" t="inlineStr">
        <is>
          <t>X</t>
        </is>
      </c>
      <c r="E1654" s="6" t="n">
        <v>157430330</v>
      </c>
    </row>
    <row r="1655">
      <c r="A1655" s="9" t="n">
        <v>2020</v>
      </c>
      <c r="B1655" s="9" t="inlineStr">
        <is>
          <t>plomo</t>
        </is>
      </c>
      <c r="C1655" s="9" t="inlineStr">
        <is>
          <t>E3 Semimanufacturas</t>
        </is>
      </c>
      <c r="D1655" s="9" t="inlineStr">
        <is>
          <t>M</t>
        </is>
      </c>
      <c r="E1655" s="9" t="n">
        <v>0</v>
      </c>
    </row>
    <row r="1656">
      <c r="A1656" s="6" t="n">
        <v>2020</v>
      </c>
      <c r="B1656" s="6" t="inlineStr">
        <is>
          <t>plomo</t>
        </is>
      </c>
      <c r="C1656" s="6" t="inlineStr">
        <is>
          <t>E3 Semimanufacturas</t>
        </is>
      </c>
      <c r="D1656" s="6" t="inlineStr">
        <is>
          <t>X</t>
        </is>
      </c>
      <c r="E1656" s="6" t="n">
        <v>283760</v>
      </c>
    </row>
    <row r="1657">
      <c r="A1657" s="9" t="n">
        <v>2020</v>
      </c>
      <c r="B1657" s="9" t="inlineStr">
        <is>
          <t>plomo</t>
        </is>
      </c>
      <c r="C1657" s="9" t="inlineStr">
        <is>
          <t>E4 Manufacturas</t>
        </is>
      </c>
      <c r="D1657" s="9" t="inlineStr">
        <is>
          <t>M</t>
        </is>
      </c>
      <c r="E1657" s="9" t="n">
        <v>6802521</v>
      </c>
    </row>
    <row r="1658">
      <c r="A1658" s="6" t="n">
        <v>2020</v>
      </c>
      <c r="B1658" s="6" t="inlineStr">
        <is>
          <t>plomo</t>
        </is>
      </c>
      <c r="C1658" s="6" t="inlineStr">
        <is>
          <t>E4 Manufacturas</t>
        </is>
      </c>
      <c r="D1658" s="6" t="inlineStr">
        <is>
          <t>X</t>
        </is>
      </c>
      <c r="E1658" s="6" t="n">
        <v>1014870</v>
      </c>
    </row>
    <row r="1659">
      <c r="A1659" s="9" t="n">
        <v>2020</v>
      </c>
      <c r="B1659" s="9" t="inlineStr">
        <is>
          <t>silice</t>
        </is>
      </c>
      <c r="C1659" s="9" t="inlineStr">
        <is>
          <t>E1 Arena silica/cuarzo</t>
        </is>
      </c>
      <c r="D1659" s="9" t="inlineStr">
        <is>
          <t>M</t>
        </is>
      </c>
      <c r="E1659" s="9" t="n">
        <v>43823853</v>
      </c>
    </row>
    <row r="1660">
      <c r="A1660" s="6" t="n">
        <v>2020</v>
      </c>
      <c r="B1660" s="6" t="inlineStr">
        <is>
          <t>silice</t>
        </is>
      </c>
      <c r="C1660" s="6" t="inlineStr">
        <is>
          <t>E1 Arena silica/cuarzo</t>
        </is>
      </c>
      <c r="D1660" s="6" t="inlineStr">
        <is>
          <t>X</t>
        </is>
      </c>
      <c r="E1660" s="6" t="n">
        <v>1391684</v>
      </c>
    </row>
    <row r="1661">
      <c r="A1661" s="9" t="n">
        <v>2020</v>
      </c>
      <c r="B1661" s="9" t="inlineStr">
        <is>
          <t>silice</t>
        </is>
      </c>
      <c r="C1661" s="9" t="inlineStr">
        <is>
          <t>E2 Silicio/ferrosilicio/SiO2</t>
        </is>
      </c>
      <c r="D1661" s="9" t="inlineStr">
        <is>
          <t>M</t>
        </is>
      </c>
      <c r="E1661" s="9" t="n">
        <v>184682777</v>
      </c>
    </row>
    <row r="1662">
      <c r="A1662" s="6" t="n">
        <v>2020</v>
      </c>
      <c r="B1662" s="6" t="inlineStr">
        <is>
          <t>silice</t>
        </is>
      </c>
      <c r="C1662" s="6" t="inlineStr">
        <is>
          <t>E2 Silicio/ferrosilicio/SiO2</t>
        </is>
      </c>
      <c r="D1662" s="6" t="inlineStr">
        <is>
          <t>X</t>
        </is>
      </c>
      <c r="E1662" s="6" t="n">
        <v>7400256</v>
      </c>
    </row>
    <row r="1663">
      <c r="A1663" s="9" t="n">
        <v>2020</v>
      </c>
      <c r="B1663" s="9" t="inlineStr">
        <is>
          <t>zinc</t>
        </is>
      </c>
      <c r="C1663" s="9" t="inlineStr">
        <is>
          <t>E1 Mena/concentrado</t>
        </is>
      </c>
      <c r="D1663" s="9" t="inlineStr">
        <is>
          <t>M</t>
        </is>
      </c>
      <c r="E1663" s="9" t="n">
        <v>58476613</v>
      </c>
    </row>
    <row r="1664">
      <c r="A1664" s="6" t="n">
        <v>2020</v>
      </c>
      <c r="B1664" s="6" t="inlineStr">
        <is>
          <t>zinc</t>
        </is>
      </c>
      <c r="C1664" s="6" t="inlineStr">
        <is>
          <t>E1 Mena/concentrado</t>
        </is>
      </c>
      <c r="D1664" s="6" t="inlineStr">
        <is>
          <t>X</t>
        </is>
      </c>
      <c r="E1664" s="6" t="n">
        <v>646136225</v>
      </c>
    </row>
    <row r="1665">
      <c r="A1665" s="9" t="n">
        <v>2020</v>
      </c>
      <c r="B1665" s="9" t="inlineStr">
        <is>
          <t>zinc</t>
        </is>
      </c>
      <c r="C1665" s="9" t="inlineStr">
        <is>
          <t>E2 Metal en bruto/refinado</t>
        </is>
      </c>
      <c r="D1665" s="9" t="inlineStr">
        <is>
          <t>M</t>
        </is>
      </c>
      <c r="E1665" s="9" t="n">
        <v>33227518</v>
      </c>
    </row>
    <row r="1666">
      <c r="A1666" s="6" t="n">
        <v>2020</v>
      </c>
      <c r="B1666" s="6" t="inlineStr">
        <is>
          <t>zinc</t>
        </is>
      </c>
      <c r="C1666" s="6" t="inlineStr">
        <is>
          <t>E2 Metal en bruto/refinado</t>
        </is>
      </c>
      <c r="D1666" s="6" t="inlineStr">
        <is>
          <t>X</t>
        </is>
      </c>
      <c r="E1666" s="6" t="n">
        <v>337374838</v>
      </c>
    </row>
    <row r="1667">
      <c r="A1667" s="9" t="n">
        <v>2020</v>
      </c>
      <c r="B1667" s="9" t="inlineStr">
        <is>
          <t>zinc</t>
        </is>
      </c>
      <c r="C1667" s="9" t="inlineStr">
        <is>
          <t>E3 Semimanufacturas</t>
        </is>
      </c>
      <c r="D1667" s="9" t="inlineStr">
        <is>
          <t>M</t>
        </is>
      </c>
      <c r="E1667" s="9" t="n">
        <v>51941401</v>
      </c>
    </row>
    <row r="1668">
      <c r="A1668" s="6" t="n">
        <v>2020</v>
      </c>
      <c r="B1668" s="6" t="inlineStr">
        <is>
          <t>zinc</t>
        </is>
      </c>
      <c r="C1668" s="6" t="inlineStr">
        <is>
          <t>E3 Semimanufacturas</t>
        </is>
      </c>
      <c r="D1668" s="6" t="inlineStr">
        <is>
          <t>X</t>
        </is>
      </c>
      <c r="E1668" s="6" t="n">
        <v>2642365</v>
      </c>
    </row>
    <row r="1669">
      <c r="A1669" s="9" t="n">
        <v>2020</v>
      </c>
      <c r="B1669" s="9" t="inlineStr">
        <is>
          <t>zinc</t>
        </is>
      </c>
      <c r="C1669" s="9" t="inlineStr">
        <is>
          <t>E4 Manufacturas</t>
        </is>
      </c>
      <c r="D1669" s="9" t="inlineStr">
        <is>
          <t>M</t>
        </is>
      </c>
      <c r="E1669" s="9" t="n">
        <v>66021404</v>
      </c>
    </row>
    <row r="1670">
      <c r="A1670" s="6" t="n">
        <v>2020</v>
      </c>
      <c r="B1670" s="6" t="inlineStr">
        <is>
          <t>zinc</t>
        </is>
      </c>
      <c r="C1670" s="6" t="inlineStr">
        <is>
          <t>E4 Manufacturas</t>
        </is>
      </c>
      <c r="D1670" s="6" t="inlineStr">
        <is>
          <t>X</t>
        </is>
      </c>
      <c r="E1670" s="6" t="n">
        <v>8221681</v>
      </c>
    </row>
    <row r="1671">
      <c r="A1671" s="9" t="n">
        <v>2021</v>
      </c>
      <c r="B1671" s="9" t="inlineStr">
        <is>
          <t>barita</t>
        </is>
      </c>
      <c r="C1671" s="9" t="inlineStr">
        <is>
          <t>E1 Crudo/molido</t>
        </is>
      </c>
      <c r="D1671" s="9" t="inlineStr">
        <is>
          <t>M</t>
        </is>
      </c>
      <c r="E1671" s="9" t="n">
        <v>2054187</v>
      </c>
    </row>
    <row r="1672">
      <c r="A1672" s="6" t="n">
        <v>2021</v>
      </c>
      <c r="B1672" s="6" t="inlineStr">
        <is>
          <t>barita</t>
        </is>
      </c>
      <c r="C1672" s="6" t="inlineStr">
        <is>
          <t>E1 Crudo/molido</t>
        </is>
      </c>
      <c r="D1672" s="6" t="inlineStr">
        <is>
          <t>X</t>
        </is>
      </c>
      <c r="E1672" s="6" t="n">
        <v>19124233</v>
      </c>
    </row>
    <row r="1673">
      <c r="A1673" s="9" t="n">
        <v>2021</v>
      </c>
      <c r="B1673" s="9" t="inlineStr">
        <is>
          <t>barita</t>
        </is>
      </c>
      <c r="C1673" s="9" t="inlineStr">
        <is>
          <t>E2 Quimicos de bario</t>
        </is>
      </c>
      <c r="D1673" s="9" t="inlineStr">
        <is>
          <t>M</t>
        </is>
      </c>
      <c r="E1673" s="9" t="n">
        <v>5062044</v>
      </c>
    </row>
    <row r="1674">
      <c r="A1674" s="6" t="n">
        <v>2021</v>
      </c>
      <c r="B1674" s="6" t="inlineStr">
        <is>
          <t>barita</t>
        </is>
      </c>
      <c r="C1674" s="6" t="inlineStr">
        <is>
          <t>E2 Quimicos de bario</t>
        </is>
      </c>
      <c r="D1674" s="6" t="inlineStr">
        <is>
          <t>X</t>
        </is>
      </c>
      <c r="E1674" s="6" t="n">
        <v>0</v>
      </c>
    </row>
    <row r="1675">
      <c r="A1675" s="9" t="n">
        <v>2021</v>
      </c>
      <c r="B1675" s="9" t="inlineStr">
        <is>
          <t>cobre</t>
        </is>
      </c>
      <c r="C1675" s="9" t="inlineStr">
        <is>
          <t>E1 Mena/concentrado</t>
        </is>
      </c>
      <c r="D1675" s="9" t="inlineStr">
        <is>
          <t>M</t>
        </is>
      </c>
      <c r="E1675" s="9" t="n">
        <v>404006811</v>
      </c>
    </row>
    <row r="1676">
      <c r="A1676" s="6" t="n">
        <v>2021</v>
      </c>
      <c r="B1676" s="6" t="inlineStr">
        <is>
          <t>cobre</t>
        </is>
      </c>
      <c r="C1676" s="6" t="inlineStr">
        <is>
          <t>E1 Mena/concentrado</t>
        </is>
      </c>
      <c r="D1676" s="6" t="inlineStr">
        <is>
          <t>X</t>
        </is>
      </c>
      <c r="E1676" s="6" t="n">
        <v>3420948513</v>
      </c>
    </row>
    <row r="1677">
      <c r="A1677" s="9" t="n">
        <v>2021</v>
      </c>
      <c r="B1677" s="9" t="inlineStr">
        <is>
          <t>cobre</t>
        </is>
      </c>
      <c r="C1677" s="9" t="inlineStr">
        <is>
          <t>E2 Metal en bruto/refinado</t>
        </is>
      </c>
      <c r="D1677" s="9" t="inlineStr">
        <is>
          <t>M</t>
        </is>
      </c>
      <c r="E1677" s="9" t="n">
        <v>1631520548</v>
      </c>
    </row>
    <row r="1678">
      <c r="A1678" s="6" t="n">
        <v>2021</v>
      </c>
      <c r="B1678" s="6" t="inlineStr">
        <is>
          <t>cobre</t>
        </is>
      </c>
      <c r="C1678" s="6" t="inlineStr">
        <is>
          <t>E2 Metal en bruto/refinado</t>
        </is>
      </c>
      <c r="D1678" s="6" t="inlineStr">
        <is>
          <t>X</t>
        </is>
      </c>
      <c r="E1678" s="6" t="n">
        <v>966254109</v>
      </c>
    </row>
    <row r="1679">
      <c r="A1679" s="9" t="n">
        <v>2021</v>
      </c>
      <c r="B1679" s="9" t="inlineStr">
        <is>
          <t>cobre</t>
        </is>
      </c>
      <c r="C1679" s="9" t="inlineStr">
        <is>
          <t>E3 Semimanufacturas</t>
        </is>
      </c>
      <c r="D1679" s="9" t="inlineStr">
        <is>
          <t>M</t>
        </is>
      </c>
      <c r="E1679" s="9" t="n">
        <v>2165544665</v>
      </c>
    </row>
    <row r="1680">
      <c r="A1680" s="6" t="n">
        <v>2021</v>
      </c>
      <c r="B1680" s="6" t="inlineStr">
        <is>
          <t>cobre</t>
        </is>
      </c>
      <c r="C1680" s="6" t="inlineStr">
        <is>
          <t>E3 Semimanufacturas</t>
        </is>
      </c>
      <c r="D1680" s="6" t="inlineStr">
        <is>
          <t>X</t>
        </is>
      </c>
      <c r="E1680" s="6" t="n">
        <v>519982902</v>
      </c>
    </row>
    <row r="1681">
      <c r="A1681" s="9" t="n">
        <v>2021</v>
      </c>
      <c r="B1681" s="9" t="inlineStr">
        <is>
          <t>cobre</t>
        </is>
      </c>
      <c r="C1681" s="9" t="inlineStr">
        <is>
          <t>E4 Manufacturas</t>
        </is>
      </c>
      <c r="D1681" s="9" t="inlineStr">
        <is>
          <t>M</t>
        </is>
      </c>
      <c r="E1681" s="9" t="n">
        <v>401687485</v>
      </c>
    </row>
    <row r="1682">
      <c r="A1682" s="6" t="n">
        <v>2021</v>
      </c>
      <c r="B1682" s="6" t="inlineStr">
        <is>
          <t>cobre</t>
        </is>
      </c>
      <c r="C1682" s="6" t="inlineStr">
        <is>
          <t>E4 Manufacturas</t>
        </is>
      </c>
      <c r="D1682" s="6" t="inlineStr">
        <is>
          <t>X</t>
        </is>
      </c>
      <c r="E1682" s="6" t="n">
        <v>78214998</v>
      </c>
    </row>
    <row r="1683">
      <c r="A1683" s="9" t="n">
        <v>2021</v>
      </c>
      <c r="B1683" s="9" t="inlineStr">
        <is>
          <t>fluorita</t>
        </is>
      </c>
      <c r="C1683" s="9" t="inlineStr">
        <is>
          <t>E1 Espato fluor (crudo)</t>
        </is>
      </c>
      <c r="D1683" s="9" t="inlineStr">
        <is>
          <t>M</t>
        </is>
      </c>
      <c r="E1683" s="9" t="n">
        <v>0</v>
      </c>
    </row>
    <row r="1684">
      <c r="A1684" s="6" t="n">
        <v>2021</v>
      </c>
      <c r="B1684" s="6" t="inlineStr">
        <is>
          <t>fluorita</t>
        </is>
      </c>
      <c r="C1684" s="6" t="inlineStr">
        <is>
          <t>E1 Espato fluor (crudo)</t>
        </is>
      </c>
      <c r="D1684" s="6" t="inlineStr">
        <is>
          <t>X</t>
        </is>
      </c>
      <c r="E1684" s="6" t="n">
        <v>91633901</v>
      </c>
    </row>
    <row r="1685">
      <c r="A1685" s="9" t="n">
        <v>2021</v>
      </c>
      <c r="B1685" s="9" t="inlineStr">
        <is>
          <t>fluorita</t>
        </is>
      </c>
      <c r="C1685" s="9" t="inlineStr">
        <is>
          <t>E2 Fluoroquimica</t>
        </is>
      </c>
      <c r="D1685" s="9" t="inlineStr">
        <is>
          <t>M</t>
        </is>
      </c>
      <c r="E1685" s="9" t="n">
        <v>37534566</v>
      </c>
    </row>
    <row r="1686">
      <c r="A1686" s="6" t="n">
        <v>2021</v>
      </c>
      <c r="B1686" s="6" t="inlineStr">
        <is>
          <t>fluorita</t>
        </is>
      </c>
      <c r="C1686" s="6" t="inlineStr">
        <is>
          <t>E2 Fluoroquimica</t>
        </is>
      </c>
      <c r="D1686" s="6" t="inlineStr">
        <is>
          <t>X</t>
        </is>
      </c>
      <c r="E1686" s="6" t="n">
        <v>18807660</v>
      </c>
    </row>
    <row r="1687">
      <c r="A1687" s="9" t="n">
        <v>2021</v>
      </c>
      <c r="B1687" s="9" t="inlineStr">
        <is>
          <t>grafito</t>
        </is>
      </c>
      <c r="C1687" s="9" t="inlineStr">
        <is>
          <t>E1 Grafito natural</t>
        </is>
      </c>
      <c r="D1687" s="9" t="inlineStr">
        <is>
          <t>M</t>
        </is>
      </c>
      <c r="E1687" s="9" t="n">
        <v>1414873</v>
      </c>
    </row>
    <row r="1688">
      <c r="A1688" s="6" t="n">
        <v>2021</v>
      </c>
      <c r="B1688" s="6" t="inlineStr">
        <is>
          <t>grafito</t>
        </is>
      </c>
      <c r="C1688" s="6" t="inlineStr">
        <is>
          <t>E1 Grafito natural</t>
        </is>
      </c>
      <c r="D1688" s="6" t="inlineStr">
        <is>
          <t>X</t>
        </is>
      </c>
      <c r="E1688" s="6" t="n">
        <v>2113261</v>
      </c>
    </row>
    <row r="1689">
      <c r="A1689" s="9" t="n">
        <v>2021</v>
      </c>
      <c r="B1689" s="9" t="inlineStr">
        <is>
          <t>grafito</t>
        </is>
      </c>
      <c r="C1689" s="9" t="inlineStr">
        <is>
          <t>E2 Grafito artificial/prep.</t>
        </is>
      </c>
      <c r="D1689" s="9" t="inlineStr">
        <is>
          <t>M</t>
        </is>
      </c>
      <c r="E1689" s="9" t="n">
        <v>52613865</v>
      </c>
    </row>
    <row r="1690">
      <c r="A1690" s="6" t="n">
        <v>2021</v>
      </c>
      <c r="B1690" s="6" t="inlineStr">
        <is>
          <t>grafito</t>
        </is>
      </c>
      <c r="C1690" s="6" t="inlineStr">
        <is>
          <t>E2 Grafito artificial/prep.</t>
        </is>
      </c>
      <c r="D1690" s="6" t="inlineStr">
        <is>
          <t>X</t>
        </is>
      </c>
      <c r="E1690" s="6" t="n">
        <v>51084472</v>
      </c>
    </row>
    <row r="1691">
      <c r="A1691" s="9" t="n">
        <v>2021</v>
      </c>
      <c r="B1691" s="9" t="inlineStr">
        <is>
          <t>grafito</t>
        </is>
      </c>
      <c r="C1691" s="9" t="inlineStr">
        <is>
          <t>E3 Electrodos/articulos de carbono</t>
        </is>
      </c>
      <c r="D1691" s="9" t="inlineStr">
        <is>
          <t>M</t>
        </is>
      </c>
      <c r="E1691" s="9" t="n">
        <v>124091170</v>
      </c>
    </row>
    <row r="1692">
      <c r="A1692" s="6" t="n">
        <v>2021</v>
      </c>
      <c r="B1692" s="6" t="inlineStr">
        <is>
          <t>grafito</t>
        </is>
      </c>
      <c r="C1692" s="6" t="inlineStr">
        <is>
          <t>E3 Electrodos/articulos de carbono</t>
        </is>
      </c>
      <c r="D1692" s="6" t="inlineStr">
        <is>
          <t>X</t>
        </is>
      </c>
      <c r="E1692" s="6" t="n">
        <v>105949967</v>
      </c>
    </row>
    <row r="1693">
      <c r="A1693" s="9" t="n">
        <v>2021</v>
      </c>
      <c r="B1693" s="9" t="inlineStr">
        <is>
          <t>manganeso</t>
        </is>
      </c>
      <c r="C1693" s="9" t="inlineStr">
        <is>
          <t>E1 Mena/concentrado</t>
        </is>
      </c>
      <c r="D1693" s="9" t="inlineStr">
        <is>
          <t>M</t>
        </is>
      </c>
      <c r="E1693" s="9" t="n">
        <v>5787193</v>
      </c>
    </row>
    <row r="1694">
      <c r="A1694" s="6" t="n">
        <v>2021</v>
      </c>
      <c r="B1694" s="6" t="inlineStr">
        <is>
          <t>manganeso</t>
        </is>
      </c>
      <c r="C1694" s="6" t="inlineStr">
        <is>
          <t>E1 Mena/concentrado</t>
        </is>
      </c>
      <c r="D1694" s="6" t="inlineStr">
        <is>
          <t>X</t>
        </is>
      </c>
      <c r="E1694" s="6" t="n">
        <v>0</v>
      </c>
    </row>
    <row r="1695">
      <c r="A1695" s="9" t="n">
        <v>2021</v>
      </c>
      <c r="B1695" s="9" t="inlineStr">
        <is>
          <t>manganeso</t>
        </is>
      </c>
      <c r="C1695" s="9" t="inlineStr">
        <is>
          <t>E2 Ferroaleaciones</t>
        </is>
      </c>
      <c r="D1695" s="9" t="inlineStr">
        <is>
          <t>M</t>
        </is>
      </c>
      <c r="E1695" s="9" t="n">
        <v>1065675</v>
      </c>
    </row>
    <row r="1696">
      <c r="A1696" s="6" t="n">
        <v>2021</v>
      </c>
      <c r="B1696" s="6" t="inlineStr">
        <is>
          <t>manganeso</t>
        </is>
      </c>
      <c r="C1696" s="6" t="inlineStr">
        <is>
          <t>E2 Ferroaleaciones</t>
        </is>
      </c>
      <c r="D1696" s="6" t="inlineStr">
        <is>
          <t>X</t>
        </is>
      </c>
      <c r="E1696" s="6" t="n">
        <v>19983315</v>
      </c>
    </row>
    <row r="1697">
      <c r="A1697" s="9" t="n">
        <v>2021</v>
      </c>
      <c r="B1697" s="9" t="inlineStr">
        <is>
          <t>manganeso</t>
        </is>
      </c>
      <c r="C1697" s="9" t="inlineStr">
        <is>
          <t>E3 Quimicos/metal</t>
        </is>
      </c>
      <c r="D1697" s="9" t="inlineStr">
        <is>
          <t>M</t>
        </is>
      </c>
      <c r="E1697" s="9" t="n">
        <v>14514220</v>
      </c>
    </row>
    <row r="1698">
      <c r="A1698" s="6" t="n">
        <v>2021</v>
      </c>
      <c r="B1698" s="6" t="inlineStr">
        <is>
          <t>manganeso</t>
        </is>
      </c>
      <c r="C1698" s="6" t="inlineStr">
        <is>
          <t>E3 Quimicos/metal</t>
        </is>
      </c>
      <c r="D1698" s="6" t="inlineStr">
        <is>
          <t>X</t>
        </is>
      </c>
      <c r="E1698" s="6" t="n">
        <v>0</v>
      </c>
    </row>
    <row r="1699">
      <c r="A1699" s="9" t="n">
        <v>2021</v>
      </c>
      <c r="B1699" s="9" t="inlineStr">
        <is>
          <t>oro</t>
        </is>
      </c>
      <c r="C1699" s="9" t="inlineStr">
        <is>
          <t>E1 Mena/concentrado</t>
        </is>
      </c>
      <c r="D1699" s="9" t="inlineStr">
        <is>
          <t>M</t>
        </is>
      </c>
      <c r="E1699" s="9" t="n">
        <v>0</v>
      </c>
    </row>
    <row r="1700">
      <c r="A1700" s="6" t="n">
        <v>2021</v>
      </c>
      <c r="B1700" s="6" t="inlineStr">
        <is>
          <t>oro</t>
        </is>
      </c>
      <c r="C1700" s="6" t="inlineStr">
        <is>
          <t>E1 Mena/concentrado</t>
        </is>
      </c>
      <c r="D1700" s="6" t="inlineStr">
        <is>
          <t>X</t>
        </is>
      </c>
      <c r="E1700" s="6" t="n">
        <v>2952263</v>
      </c>
    </row>
    <row r="1701">
      <c r="A1701" s="9" t="n">
        <v>2021</v>
      </c>
      <c r="B1701" s="9" t="inlineStr">
        <is>
          <t>oro</t>
        </is>
      </c>
      <c r="C1701" s="9" t="inlineStr">
        <is>
          <t>E2 Bruto/semilabrado</t>
        </is>
      </c>
      <c r="D1701" s="9" t="inlineStr">
        <is>
          <t>M</t>
        </is>
      </c>
      <c r="E1701" s="9" t="n">
        <v>113669695</v>
      </c>
    </row>
    <row r="1702">
      <c r="A1702" s="6" t="n">
        <v>2021</v>
      </c>
      <c r="B1702" s="6" t="inlineStr">
        <is>
          <t>oro</t>
        </is>
      </c>
      <c r="C1702" s="6" t="inlineStr">
        <is>
          <t>E2 Bruto/semilabrado</t>
        </is>
      </c>
      <c r="D1702" s="6" t="inlineStr">
        <is>
          <t>X</t>
        </is>
      </c>
      <c r="E1702" s="6" t="n">
        <v>3413974349</v>
      </c>
    </row>
    <row r="1703">
      <c r="A1703" s="9" t="n">
        <v>2021</v>
      </c>
      <c r="B1703" s="9" t="inlineStr">
        <is>
          <t>oro-plata (manufacturas)</t>
        </is>
      </c>
      <c r="C1703" s="9" t="inlineStr">
        <is>
          <t>E4 Joyeria/orfebreria</t>
        </is>
      </c>
      <c r="D1703" s="9" t="inlineStr">
        <is>
          <t>M</t>
        </is>
      </c>
      <c r="E1703" s="9" t="n">
        <v>615963341</v>
      </c>
    </row>
    <row r="1704">
      <c r="A1704" s="6" t="n">
        <v>2021</v>
      </c>
      <c r="B1704" s="6" t="inlineStr">
        <is>
          <t>oro-plata (manufacturas)</t>
        </is>
      </c>
      <c r="C1704" s="6" t="inlineStr">
        <is>
          <t>E4 Joyeria/orfebreria</t>
        </is>
      </c>
      <c r="D1704" s="6" t="inlineStr">
        <is>
          <t>X</t>
        </is>
      </c>
      <c r="E1704" s="6" t="n">
        <v>455993823</v>
      </c>
    </row>
    <row r="1705">
      <c r="A1705" s="9" t="n">
        <v>2021</v>
      </c>
      <c r="B1705" s="9" t="inlineStr">
        <is>
          <t>plata</t>
        </is>
      </c>
      <c r="C1705" s="9" t="inlineStr">
        <is>
          <t>E1 Mena/concentrado</t>
        </is>
      </c>
      <c r="D1705" s="9" t="inlineStr">
        <is>
          <t>M</t>
        </is>
      </c>
      <c r="E1705" s="9" t="n">
        <v>65186</v>
      </c>
    </row>
    <row r="1706">
      <c r="A1706" s="6" t="n">
        <v>2021</v>
      </c>
      <c r="B1706" s="6" t="inlineStr">
        <is>
          <t>plata</t>
        </is>
      </c>
      <c r="C1706" s="6" t="inlineStr">
        <is>
          <t>E1 Mena/concentrado</t>
        </is>
      </c>
      <c r="D1706" s="6" t="inlineStr">
        <is>
          <t>X</t>
        </is>
      </c>
      <c r="E1706" s="6" t="n">
        <v>28657175</v>
      </c>
    </row>
    <row r="1707">
      <c r="A1707" s="9" t="n">
        <v>2021</v>
      </c>
      <c r="B1707" s="9" t="inlineStr">
        <is>
          <t>plata</t>
        </is>
      </c>
      <c r="C1707" s="9" t="inlineStr">
        <is>
          <t>E2 Bruto/semilabrado</t>
        </is>
      </c>
      <c r="D1707" s="9" t="inlineStr">
        <is>
          <t>M</t>
        </is>
      </c>
      <c r="E1707" s="9" t="n">
        <v>131348613</v>
      </c>
    </row>
    <row r="1708">
      <c r="A1708" s="6" t="n">
        <v>2021</v>
      </c>
      <c r="B1708" s="6" t="inlineStr">
        <is>
          <t>plata</t>
        </is>
      </c>
      <c r="C1708" s="6" t="inlineStr">
        <is>
          <t>E2 Bruto/semilabrado</t>
        </is>
      </c>
      <c r="D1708" s="6" t="inlineStr">
        <is>
          <t>X</t>
        </is>
      </c>
      <c r="E1708" s="6" t="n">
        <v>2543070260</v>
      </c>
    </row>
    <row r="1709">
      <c r="A1709" s="9" t="n">
        <v>2021</v>
      </c>
      <c r="B1709" s="9" t="inlineStr">
        <is>
          <t>plomo</t>
        </is>
      </c>
      <c r="C1709" s="9" t="inlineStr">
        <is>
          <t>E1 Mena/concentrado</t>
        </is>
      </c>
      <c r="D1709" s="9" t="inlineStr">
        <is>
          <t>M</t>
        </is>
      </c>
      <c r="E1709" s="9" t="n">
        <v>0</v>
      </c>
    </row>
    <row r="1710">
      <c r="A1710" s="6" t="n">
        <v>2021</v>
      </c>
      <c r="B1710" s="6" t="inlineStr">
        <is>
          <t>plomo</t>
        </is>
      </c>
      <c r="C1710" s="6" t="inlineStr">
        <is>
          <t>E1 Mena/concentrado</t>
        </is>
      </c>
      <c r="D1710" s="6" t="inlineStr">
        <is>
          <t>X</t>
        </is>
      </c>
      <c r="E1710" s="6" t="n">
        <v>833273184</v>
      </c>
    </row>
    <row r="1711">
      <c r="A1711" s="9" t="n">
        <v>2021</v>
      </c>
      <c r="B1711" s="9" t="inlineStr">
        <is>
          <t>plomo</t>
        </is>
      </c>
      <c r="C1711" s="9" t="inlineStr">
        <is>
          <t>E2 Metal en bruto/refinado</t>
        </is>
      </c>
      <c r="D1711" s="9" t="inlineStr">
        <is>
          <t>M</t>
        </is>
      </c>
      <c r="E1711" s="9" t="n">
        <v>20357719</v>
      </c>
    </row>
    <row r="1712">
      <c r="A1712" s="6" t="n">
        <v>2021</v>
      </c>
      <c r="B1712" s="6" t="inlineStr">
        <is>
          <t>plomo</t>
        </is>
      </c>
      <c r="C1712" s="6" t="inlineStr">
        <is>
          <t>E2 Metal en bruto/refinado</t>
        </is>
      </c>
      <c r="D1712" s="6" t="inlineStr">
        <is>
          <t>X</t>
        </is>
      </c>
      <c r="E1712" s="6" t="n">
        <v>169751570</v>
      </c>
    </row>
    <row r="1713">
      <c r="A1713" s="9" t="n">
        <v>2021</v>
      </c>
      <c r="B1713" s="9" t="inlineStr">
        <is>
          <t>plomo</t>
        </is>
      </c>
      <c r="C1713" s="9" t="inlineStr">
        <is>
          <t>E3 Semimanufacturas</t>
        </is>
      </c>
      <c r="D1713" s="9" t="inlineStr">
        <is>
          <t>M</t>
        </is>
      </c>
      <c r="E1713" s="9" t="n">
        <v>1572094</v>
      </c>
    </row>
    <row r="1714">
      <c r="A1714" s="6" t="n">
        <v>2021</v>
      </c>
      <c r="B1714" s="6" t="inlineStr">
        <is>
          <t>plomo</t>
        </is>
      </c>
      <c r="C1714" s="6" t="inlineStr">
        <is>
          <t>E3 Semimanufacturas</t>
        </is>
      </c>
      <c r="D1714" s="6" t="inlineStr">
        <is>
          <t>X</t>
        </is>
      </c>
      <c r="E1714" s="6" t="n">
        <v>0</v>
      </c>
    </row>
    <row r="1715">
      <c r="A1715" s="9" t="n">
        <v>2021</v>
      </c>
      <c r="B1715" s="9" t="inlineStr">
        <is>
          <t>plomo</t>
        </is>
      </c>
      <c r="C1715" s="9" t="inlineStr">
        <is>
          <t>E4 Manufacturas</t>
        </is>
      </c>
      <c r="D1715" s="9" t="inlineStr">
        <is>
          <t>M</t>
        </is>
      </c>
      <c r="E1715" s="9" t="n">
        <v>4284464</v>
      </c>
    </row>
    <row r="1716">
      <c r="A1716" s="6" t="n">
        <v>2021</v>
      </c>
      <c r="B1716" s="6" t="inlineStr">
        <is>
          <t>plomo</t>
        </is>
      </c>
      <c r="C1716" s="6" t="inlineStr">
        <is>
          <t>E4 Manufacturas</t>
        </is>
      </c>
      <c r="D1716" s="6" t="inlineStr">
        <is>
          <t>X</t>
        </is>
      </c>
      <c r="E1716" s="6" t="n">
        <v>1101224</v>
      </c>
    </row>
    <row r="1717">
      <c r="A1717" s="9" t="n">
        <v>2021</v>
      </c>
      <c r="B1717" s="9" t="inlineStr">
        <is>
          <t>silice</t>
        </is>
      </c>
      <c r="C1717" s="9" t="inlineStr">
        <is>
          <t>E1 Arena silica/cuarzo</t>
        </is>
      </c>
      <c r="D1717" s="9" t="inlineStr">
        <is>
          <t>M</t>
        </is>
      </c>
      <c r="E1717" s="9" t="n">
        <v>70700145</v>
      </c>
    </row>
    <row r="1718">
      <c r="A1718" s="6" t="n">
        <v>2021</v>
      </c>
      <c r="B1718" s="6" t="inlineStr">
        <is>
          <t>silice</t>
        </is>
      </c>
      <c r="C1718" s="6" t="inlineStr">
        <is>
          <t>E1 Arena silica/cuarzo</t>
        </is>
      </c>
      <c r="D1718" s="6" t="inlineStr">
        <is>
          <t>X</t>
        </is>
      </c>
      <c r="E1718" s="6" t="n">
        <v>2535528</v>
      </c>
    </row>
    <row r="1719">
      <c r="A1719" s="9" t="n">
        <v>2021</v>
      </c>
      <c r="B1719" s="9" t="inlineStr">
        <is>
          <t>silice</t>
        </is>
      </c>
      <c r="C1719" s="9" t="inlineStr">
        <is>
          <t>E2 Silicio/ferrosilicio/SiO2</t>
        </is>
      </c>
      <c r="D1719" s="9" t="inlineStr">
        <is>
          <t>M</t>
        </is>
      </c>
      <c r="E1719" s="9" t="n">
        <v>250482158</v>
      </c>
    </row>
    <row r="1720">
      <c r="A1720" s="6" t="n">
        <v>2021</v>
      </c>
      <c r="B1720" s="6" t="inlineStr">
        <is>
          <t>silice</t>
        </is>
      </c>
      <c r="C1720" s="6" t="inlineStr">
        <is>
          <t>E2 Silicio/ferrosilicio/SiO2</t>
        </is>
      </c>
      <c r="D1720" s="6" t="inlineStr">
        <is>
          <t>X</t>
        </is>
      </c>
      <c r="E1720" s="6" t="n">
        <v>11198288</v>
      </c>
    </row>
    <row r="1721">
      <c r="A1721" s="9" t="n">
        <v>2021</v>
      </c>
      <c r="B1721" s="9" t="inlineStr">
        <is>
          <t>zinc</t>
        </is>
      </c>
      <c r="C1721" s="9" t="inlineStr">
        <is>
          <t>E1 Mena/concentrado</t>
        </is>
      </c>
      <c r="D1721" s="9" t="inlineStr">
        <is>
          <t>M</t>
        </is>
      </c>
      <c r="E1721" s="9" t="n">
        <v>2788</v>
      </c>
    </row>
    <row r="1722">
      <c r="A1722" s="6" t="n">
        <v>2021</v>
      </c>
      <c r="B1722" s="6" t="inlineStr">
        <is>
          <t>zinc</t>
        </is>
      </c>
      <c r="C1722" s="6" t="inlineStr">
        <is>
          <t>E1 Mena/concentrado</t>
        </is>
      </c>
      <c r="D1722" s="6" t="inlineStr">
        <is>
          <t>X</t>
        </is>
      </c>
      <c r="E1722" s="6" t="n">
        <v>248335725</v>
      </c>
    </row>
    <row r="1723">
      <c r="A1723" s="9" t="n">
        <v>2021</v>
      </c>
      <c r="B1723" s="9" t="inlineStr">
        <is>
          <t>zinc</t>
        </is>
      </c>
      <c r="C1723" s="9" t="inlineStr">
        <is>
          <t>E2 Metal en bruto/refinado</t>
        </is>
      </c>
      <c r="D1723" s="9" t="inlineStr">
        <is>
          <t>M</t>
        </is>
      </c>
      <c r="E1723" s="9" t="n">
        <v>83950373</v>
      </c>
    </row>
    <row r="1724">
      <c r="A1724" s="6" t="n">
        <v>2021</v>
      </c>
      <c r="B1724" s="6" t="inlineStr">
        <is>
          <t>zinc</t>
        </is>
      </c>
      <c r="C1724" s="6" t="inlineStr">
        <is>
          <t>E2 Metal en bruto/refinado</t>
        </is>
      </c>
      <c r="D1724" s="6" t="inlineStr">
        <is>
          <t>X</t>
        </is>
      </c>
      <c r="E1724" s="6" t="n">
        <v>288767583</v>
      </c>
    </row>
    <row r="1725">
      <c r="A1725" s="9" t="n">
        <v>2021</v>
      </c>
      <c r="B1725" s="9" t="inlineStr">
        <is>
          <t>zinc</t>
        </is>
      </c>
      <c r="C1725" s="9" t="inlineStr">
        <is>
          <t>E3 Semimanufacturas</t>
        </is>
      </c>
      <c r="D1725" s="9" t="inlineStr">
        <is>
          <t>M</t>
        </is>
      </c>
      <c r="E1725" s="9" t="n">
        <v>54235392</v>
      </c>
    </row>
    <row r="1726">
      <c r="A1726" s="6" t="n">
        <v>2021</v>
      </c>
      <c r="B1726" s="6" t="inlineStr">
        <is>
          <t>zinc</t>
        </is>
      </c>
      <c r="C1726" s="6" t="inlineStr">
        <is>
          <t>E3 Semimanufacturas</t>
        </is>
      </c>
      <c r="D1726" s="6" t="inlineStr">
        <is>
          <t>X</t>
        </is>
      </c>
      <c r="E1726" s="6" t="n">
        <v>50953</v>
      </c>
    </row>
    <row r="1727">
      <c r="A1727" s="9" t="n">
        <v>2021</v>
      </c>
      <c r="B1727" s="9" t="inlineStr">
        <is>
          <t>zinc</t>
        </is>
      </c>
      <c r="C1727" s="9" t="inlineStr">
        <is>
          <t>E4 Manufacturas</t>
        </is>
      </c>
      <c r="D1727" s="9" t="inlineStr">
        <is>
          <t>M</t>
        </is>
      </c>
      <c r="E1727" s="9" t="n">
        <v>69839464</v>
      </c>
    </row>
    <row r="1728">
      <c r="A1728" s="6" t="n">
        <v>2021</v>
      </c>
      <c r="B1728" s="6" t="inlineStr">
        <is>
          <t>zinc</t>
        </is>
      </c>
      <c r="C1728" s="6" t="inlineStr">
        <is>
          <t>E4 Manufacturas</t>
        </is>
      </c>
      <c r="D1728" s="6" t="inlineStr">
        <is>
          <t>X</t>
        </is>
      </c>
      <c r="E1728" s="6" t="n">
        <v>4209656</v>
      </c>
    </row>
    <row r="1729">
      <c r="A1729" s="9" t="n">
        <v>2022</v>
      </c>
      <c r="B1729" s="9" t="inlineStr">
        <is>
          <t>barita</t>
        </is>
      </c>
      <c r="C1729" s="9" t="inlineStr">
        <is>
          <t>E1 Crudo/molido</t>
        </is>
      </c>
      <c r="D1729" s="9" t="inlineStr">
        <is>
          <t>M</t>
        </is>
      </c>
      <c r="E1729" s="9" t="n">
        <v>12708428</v>
      </c>
    </row>
    <row r="1730">
      <c r="A1730" s="6" t="n">
        <v>2022</v>
      </c>
      <c r="B1730" s="6" t="inlineStr">
        <is>
          <t>barita</t>
        </is>
      </c>
      <c r="C1730" s="6" t="inlineStr">
        <is>
          <t>E1 Crudo/molido</t>
        </is>
      </c>
      <c r="D1730" s="6" t="inlineStr">
        <is>
          <t>X</t>
        </is>
      </c>
      <c r="E1730" s="6" t="n">
        <v>27236605</v>
      </c>
    </row>
    <row r="1731">
      <c r="A1731" s="9" t="n">
        <v>2022</v>
      </c>
      <c r="B1731" s="9" t="inlineStr">
        <is>
          <t>barita</t>
        </is>
      </c>
      <c r="C1731" s="9" t="inlineStr">
        <is>
          <t>E2 Quimicos de bario</t>
        </is>
      </c>
      <c r="D1731" s="9" t="inlineStr">
        <is>
          <t>M</t>
        </is>
      </c>
      <c r="E1731" s="9" t="n">
        <v>4025822</v>
      </c>
    </row>
    <row r="1732">
      <c r="A1732" s="6" t="n">
        <v>2022</v>
      </c>
      <c r="B1732" s="6" t="inlineStr">
        <is>
          <t>barita</t>
        </is>
      </c>
      <c r="C1732" s="6" t="inlineStr">
        <is>
          <t>E2 Quimicos de bario</t>
        </is>
      </c>
      <c r="D1732" s="6" t="inlineStr">
        <is>
          <t>X</t>
        </is>
      </c>
      <c r="E1732" s="6" t="n">
        <v>0</v>
      </c>
    </row>
    <row r="1733">
      <c r="A1733" s="9" t="n">
        <v>2022</v>
      </c>
      <c r="B1733" s="9" t="inlineStr">
        <is>
          <t>cobre</t>
        </is>
      </c>
      <c r="C1733" s="9" t="inlineStr">
        <is>
          <t>E1 Mena/concentrado</t>
        </is>
      </c>
      <c r="D1733" s="9" t="inlineStr">
        <is>
          <t>M</t>
        </is>
      </c>
      <c r="E1733" s="9" t="n">
        <v>660205189</v>
      </c>
    </row>
    <row r="1734">
      <c r="A1734" s="6" t="n">
        <v>2022</v>
      </c>
      <c r="B1734" s="6" t="inlineStr">
        <is>
          <t>cobre</t>
        </is>
      </c>
      <c r="C1734" s="6" t="inlineStr">
        <is>
          <t>E1 Mena/concentrado</t>
        </is>
      </c>
      <c r="D1734" s="6" t="inlineStr">
        <is>
          <t>X</t>
        </is>
      </c>
      <c r="E1734" s="6" t="n">
        <v>3137587661</v>
      </c>
    </row>
    <row r="1735">
      <c r="A1735" s="9" t="n">
        <v>2022</v>
      </c>
      <c r="B1735" s="9" t="inlineStr">
        <is>
          <t>cobre</t>
        </is>
      </c>
      <c r="C1735" s="9" t="inlineStr">
        <is>
          <t>E2 Metal en bruto/refinado</t>
        </is>
      </c>
      <c r="D1735" s="9" t="inlineStr">
        <is>
          <t>M</t>
        </is>
      </c>
      <c r="E1735" s="9" t="n">
        <v>399000027</v>
      </c>
    </row>
    <row r="1736">
      <c r="A1736" s="6" t="n">
        <v>2022</v>
      </c>
      <c r="B1736" s="6" t="inlineStr">
        <is>
          <t>cobre</t>
        </is>
      </c>
      <c r="C1736" s="6" t="inlineStr">
        <is>
          <t>E2 Metal en bruto/refinado</t>
        </is>
      </c>
      <c r="D1736" s="6" t="inlineStr">
        <is>
          <t>X</t>
        </is>
      </c>
      <c r="E1736" s="6" t="n">
        <v>873308606</v>
      </c>
    </row>
    <row r="1737">
      <c r="A1737" s="9" t="n">
        <v>2022</v>
      </c>
      <c r="B1737" s="9" t="inlineStr">
        <is>
          <t>cobre</t>
        </is>
      </c>
      <c r="C1737" s="9" t="inlineStr">
        <is>
          <t>E3 Semimanufacturas</t>
        </is>
      </c>
      <c r="D1737" s="9" t="inlineStr">
        <is>
          <t>M</t>
        </is>
      </c>
      <c r="E1737" s="9" t="n">
        <v>2451466773</v>
      </c>
    </row>
    <row r="1738">
      <c r="A1738" s="6" t="n">
        <v>2022</v>
      </c>
      <c r="B1738" s="6" t="inlineStr">
        <is>
          <t>cobre</t>
        </is>
      </c>
      <c r="C1738" s="6" t="inlineStr">
        <is>
          <t>E3 Semimanufacturas</t>
        </is>
      </c>
      <c r="D1738" s="6" t="inlineStr">
        <is>
          <t>X</t>
        </is>
      </c>
      <c r="E1738" s="6" t="n">
        <v>627341853</v>
      </c>
    </row>
    <row r="1739">
      <c r="A1739" s="9" t="n">
        <v>2022</v>
      </c>
      <c r="B1739" s="9" t="inlineStr">
        <is>
          <t>cobre</t>
        </is>
      </c>
      <c r="C1739" s="9" t="inlineStr">
        <is>
          <t>E4 Manufacturas</t>
        </is>
      </c>
      <c r="D1739" s="9" t="inlineStr">
        <is>
          <t>M</t>
        </is>
      </c>
      <c r="E1739" s="9" t="n">
        <v>452497706</v>
      </c>
    </row>
    <row r="1740">
      <c r="A1740" s="6" t="n">
        <v>2022</v>
      </c>
      <c r="B1740" s="6" t="inlineStr">
        <is>
          <t>cobre</t>
        </is>
      </c>
      <c r="C1740" s="6" t="inlineStr">
        <is>
          <t>E4 Manufacturas</t>
        </is>
      </c>
      <c r="D1740" s="6" t="inlineStr">
        <is>
          <t>X</t>
        </is>
      </c>
      <c r="E1740" s="6" t="n">
        <v>84431303</v>
      </c>
    </row>
    <row r="1741">
      <c r="A1741" s="9" t="n">
        <v>2022</v>
      </c>
      <c r="B1741" s="9" t="inlineStr">
        <is>
          <t>fluorita</t>
        </is>
      </c>
      <c r="C1741" s="9" t="inlineStr">
        <is>
          <t>E1 Espato fluor (crudo)</t>
        </is>
      </c>
      <c r="D1741" s="9" t="inlineStr">
        <is>
          <t>M</t>
        </is>
      </c>
      <c r="E1741" s="9" t="n">
        <v>0</v>
      </c>
    </row>
    <row r="1742">
      <c r="A1742" s="6" t="n">
        <v>2022</v>
      </c>
      <c r="B1742" s="6" t="inlineStr">
        <is>
          <t>fluorita</t>
        </is>
      </c>
      <c r="C1742" s="6" t="inlineStr">
        <is>
          <t>E1 Espato fluor (crudo)</t>
        </is>
      </c>
      <c r="D1742" s="6" t="inlineStr">
        <is>
          <t>X</t>
        </is>
      </c>
      <c r="E1742" s="6" t="n">
        <v>55800331</v>
      </c>
    </row>
    <row r="1743">
      <c r="A1743" s="9" t="n">
        <v>2022</v>
      </c>
      <c r="B1743" s="9" t="inlineStr">
        <is>
          <t>fluorita</t>
        </is>
      </c>
      <c r="C1743" s="9" t="inlineStr">
        <is>
          <t>E2 Fluoroquimica</t>
        </is>
      </c>
      <c r="D1743" s="9" t="inlineStr">
        <is>
          <t>M</t>
        </is>
      </c>
      <c r="E1743" s="9" t="n">
        <v>42522829</v>
      </c>
    </row>
    <row r="1744">
      <c r="A1744" s="6" t="n">
        <v>2022</v>
      </c>
      <c r="B1744" s="6" t="inlineStr">
        <is>
          <t>fluorita</t>
        </is>
      </c>
      <c r="C1744" s="6" t="inlineStr">
        <is>
          <t>E2 Fluoroquimica</t>
        </is>
      </c>
      <c r="D1744" s="6" t="inlineStr">
        <is>
          <t>X</t>
        </is>
      </c>
      <c r="E1744" s="6" t="n">
        <v>3964092</v>
      </c>
    </row>
    <row r="1745">
      <c r="A1745" s="9" t="n">
        <v>2022</v>
      </c>
      <c r="B1745" s="9" t="inlineStr">
        <is>
          <t>grafito</t>
        </is>
      </c>
      <c r="C1745" s="9" t="inlineStr">
        <is>
          <t>E1 Grafito natural</t>
        </is>
      </c>
      <c r="D1745" s="9" t="inlineStr">
        <is>
          <t>M</t>
        </is>
      </c>
      <c r="E1745" s="9" t="n">
        <v>5637878</v>
      </c>
    </row>
    <row r="1746">
      <c r="A1746" s="6" t="n">
        <v>2022</v>
      </c>
      <c r="B1746" s="6" t="inlineStr">
        <is>
          <t>grafito</t>
        </is>
      </c>
      <c r="C1746" s="6" t="inlineStr">
        <is>
          <t>E1 Grafito natural</t>
        </is>
      </c>
      <c r="D1746" s="6" t="inlineStr">
        <is>
          <t>X</t>
        </is>
      </c>
      <c r="E1746" s="6" t="n">
        <v>3434484</v>
      </c>
    </row>
    <row r="1747">
      <c r="A1747" s="9" t="n">
        <v>2022</v>
      </c>
      <c r="B1747" s="9" t="inlineStr">
        <is>
          <t>grafito</t>
        </is>
      </c>
      <c r="C1747" s="9" t="inlineStr">
        <is>
          <t>E2 Grafito artificial/prep.</t>
        </is>
      </c>
      <c r="D1747" s="9" t="inlineStr">
        <is>
          <t>M</t>
        </is>
      </c>
      <c r="E1747" s="9" t="n">
        <v>82581604</v>
      </c>
    </row>
    <row r="1748">
      <c r="A1748" s="6" t="n">
        <v>2022</v>
      </c>
      <c r="B1748" s="6" t="inlineStr">
        <is>
          <t>grafito</t>
        </is>
      </c>
      <c r="C1748" s="6" t="inlineStr">
        <is>
          <t>E2 Grafito artificial/prep.</t>
        </is>
      </c>
      <c r="D1748" s="6" t="inlineStr">
        <is>
          <t>X</t>
        </is>
      </c>
      <c r="E1748" s="6" t="n">
        <v>75419392</v>
      </c>
    </row>
    <row r="1749">
      <c r="A1749" s="9" t="n">
        <v>2022</v>
      </c>
      <c r="B1749" s="9" t="inlineStr">
        <is>
          <t>grafito</t>
        </is>
      </c>
      <c r="C1749" s="9" t="inlineStr">
        <is>
          <t>E3 Electrodos/articulos de carbono</t>
        </is>
      </c>
      <c r="D1749" s="9" t="inlineStr">
        <is>
          <t>M</t>
        </is>
      </c>
      <c r="E1749" s="9" t="n">
        <v>156227694</v>
      </c>
    </row>
    <row r="1750">
      <c r="A1750" s="6" t="n">
        <v>2022</v>
      </c>
      <c r="B1750" s="6" t="inlineStr">
        <is>
          <t>grafito</t>
        </is>
      </c>
      <c r="C1750" s="6" t="inlineStr">
        <is>
          <t>E3 Electrodos/articulos de carbono</t>
        </is>
      </c>
      <c r="D1750" s="6" t="inlineStr">
        <is>
          <t>X</t>
        </is>
      </c>
      <c r="E1750" s="6" t="n">
        <v>101454322</v>
      </c>
    </row>
    <row r="1751">
      <c r="A1751" s="9" t="n">
        <v>2022</v>
      </c>
      <c r="B1751" s="9" t="inlineStr">
        <is>
          <t>manganeso</t>
        </is>
      </c>
      <c r="C1751" s="9" t="inlineStr">
        <is>
          <t>E1 Mena/concentrado</t>
        </is>
      </c>
      <c r="D1751" s="9" t="inlineStr">
        <is>
          <t>M</t>
        </is>
      </c>
      <c r="E1751" s="9" t="n">
        <v>0</v>
      </c>
    </row>
    <row r="1752">
      <c r="A1752" s="6" t="n">
        <v>2022</v>
      </c>
      <c r="B1752" s="6" t="inlineStr">
        <is>
          <t>manganeso</t>
        </is>
      </c>
      <c r="C1752" s="6" t="inlineStr">
        <is>
          <t>E1 Mena/concentrado</t>
        </is>
      </c>
      <c r="D1752" s="6" t="inlineStr">
        <is>
          <t>X</t>
        </is>
      </c>
      <c r="E1752" s="6" t="n">
        <v>0</v>
      </c>
    </row>
    <row r="1753">
      <c r="A1753" s="9" t="n">
        <v>2022</v>
      </c>
      <c r="B1753" s="9" t="inlineStr">
        <is>
          <t>manganeso</t>
        </is>
      </c>
      <c r="C1753" s="9" t="inlineStr">
        <is>
          <t>E2 Ferroaleaciones</t>
        </is>
      </c>
      <c r="D1753" s="9" t="inlineStr">
        <is>
          <t>M</t>
        </is>
      </c>
      <c r="E1753" s="9" t="n">
        <v>0</v>
      </c>
    </row>
    <row r="1754">
      <c r="A1754" s="6" t="n">
        <v>2022</v>
      </c>
      <c r="B1754" s="6" t="inlineStr">
        <is>
          <t>manganeso</t>
        </is>
      </c>
      <c r="C1754" s="6" t="inlineStr">
        <is>
          <t>E2 Ferroaleaciones</t>
        </is>
      </c>
      <c r="D1754" s="6" t="inlineStr">
        <is>
          <t>X</t>
        </is>
      </c>
      <c r="E1754" s="6" t="n">
        <v>11736794</v>
      </c>
    </row>
    <row r="1755">
      <c r="A1755" s="9" t="n">
        <v>2022</v>
      </c>
      <c r="B1755" s="9" t="inlineStr">
        <is>
          <t>manganeso</t>
        </is>
      </c>
      <c r="C1755" s="9" t="inlineStr">
        <is>
          <t>E3 Quimicos/metal</t>
        </is>
      </c>
      <c r="D1755" s="9" t="inlineStr">
        <is>
          <t>M</t>
        </is>
      </c>
      <c r="E1755" s="9" t="n">
        <v>20767956</v>
      </c>
    </row>
    <row r="1756">
      <c r="A1756" s="6" t="n">
        <v>2022</v>
      </c>
      <c r="B1756" s="6" t="inlineStr">
        <is>
          <t>manganeso</t>
        </is>
      </c>
      <c r="C1756" s="6" t="inlineStr">
        <is>
          <t>E3 Quimicos/metal</t>
        </is>
      </c>
      <c r="D1756" s="6" t="inlineStr">
        <is>
          <t>X</t>
        </is>
      </c>
      <c r="E1756" s="6" t="n">
        <v>0</v>
      </c>
    </row>
    <row r="1757">
      <c r="A1757" s="9" t="n">
        <v>2022</v>
      </c>
      <c r="B1757" s="9" t="inlineStr">
        <is>
          <t>oro</t>
        </is>
      </c>
      <c r="C1757" s="9" t="inlineStr">
        <is>
          <t>E1 Mena/concentrado</t>
        </is>
      </c>
      <c r="D1757" s="9" t="inlineStr">
        <is>
          <t>M</t>
        </is>
      </c>
      <c r="E1757" s="9" t="n">
        <v>0</v>
      </c>
    </row>
    <row r="1758">
      <c r="A1758" s="6" t="n">
        <v>2022</v>
      </c>
      <c r="B1758" s="6" t="inlineStr">
        <is>
          <t>oro</t>
        </is>
      </c>
      <c r="C1758" s="6" t="inlineStr">
        <is>
          <t>E1 Mena/concentrado</t>
        </is>
      </c>
      <c r="D1758" s="6" t="inlineStr">
        <is>
          <t>X</t>
        </is>
      </c>
      <c r="E1758" s="6" t="n">
        <v>18427502</v>
      </c>
    </row>
    <row r="1759">
      <c r="A1759" s="9" t="n">
        <v>2022</v>
      </c>
      <c r="B1759" s="9" t="inlineStr">
        <is>
          <t>oro</t>
        </is>
      </c>
      <c r="C1759" s="9" t="inlineStr">
        <is>
          <t>E2 Bruto/semilabrado</t>
        </is>
      </c>
      <c r="D1759" s="9" t="inlineStr">
        <is>
          <t>M</t>
        </is>
      </c>
      <c r="E1759" s="9" t="n">
        <v>121944913</v>
      </c>
    </row>
    <row r="1760">
      <c r="A1760" s="6" t="n">
        <v>2022</v>
      </c>
      <c r="B1760" s="6" t="inlineStr">
        <is>
          <t>oro</t>
        </is>
      </c>
      <c r="C1760" s="6" t="inlineStr">
        <is>
          <t>E2 Bruto/semilabrado</t>
        </is>
      </c>
      <c r="D1760" s="6" t="inlineStr">
        <is>
          <t>X</t>
        </is>
      </c>
      <c r="E1760" s="6" t="n">
        <v>3098803603</v>
      </c>
    </row>
    <row r="1761">
      <c r="A1761" s="9" t="n">
        <v>2022</v>
      </c>
      <c r="B1761" s="9" t="inlineStr">
        <is>
          <t>oro-plata (manufacturas)</t>
        </is>
      </c>
      <c r="C1761" s="9" t="inlineStr">
        <is>
          <t>E4 Joyeria/orfebreria</t>
        </is>
      </c>
      <c r="D1761" s="9" t="inlineStr">
        <is>
          <t>M</t>
        </is>
      </c>
      <c r="E1761" s="9" t="n">
        <v>875153546</v>
      </c>
    </row>
    <row r="1762">
      <c r="A1762" s="6" t="n">
        <v>2022</v>
      </c>
      <c r="B1762" s="6" t="inlineStr">
        <is>
          <t>oro-plata (manufacturas)</t>
        </is>
      </c>
      <c r="C1762" s="6" t="inlineStr">
        <is>
          <t>E4 Joyeria/orfebreria</t>
        </is>
      </c>
      <c r="D1762" s="6" t="inlineStr">
        <is>
          <t>X</t>
        </is>
      </c>
      <c r="E1762" s="6" t="n">
        <v>447652908</v>
      </c>
    </row>
    <row r="1763">
      <c r="A1763" s="9" t="n">
        <v>2022</v>
      </c>
      <c r="B1763" s="9" t="inlineStr">
        <is>
          <t>plata</t>
        </is>
      </c>
      <c r="C1763" s="9" t="inlineStr">
        <is>
          <t>E1 Mena/concentrado</t>
        </is>
      </c>
      <c r="D1763" s="9" t="inlineStr">
        <is>
          <t>M</t>
        </is>
      </c>
      <c r="E1763" s="9" t="n">
        <v>408098</v>
      </c>
    </row>
    <row r="1764">
      <c r="A1764" s="6" t="n">
        <v>2022</v>
      </c>
      <c r="B1764" s="6" t="inlineStr">
        <is>
          <t>plata</t>
        </is>
      </c>
      <c r="C1764" s="6" t="inlineStr">
        <is>
          <t>E1 Mena/concentrado</t>
        </is>
      </c>
      <c r="D1764" s="6" t="inlineStr">
        <is>
          <t>X</t>
        </is>
      </c>
      <c r="E1764" s="6" t="n">
        <v>88920958</v>
      </c>
    </row>
    <row r="1765">
      <c r="A1765" s="9" t="n">
        <v>2022</v>
      </c>
      <c r="B1765" s="9" t="inlineStr">
        <is>
          <t>plata</t>
        </is>
      </c>
      <c r="C1765" s="9" t="inlineStr">
        <is>
          <t>E2 Bruto/semilabrado</t>
        </is>
      </c>
      <c r="D1765" s="9" t="inlineStr">
        <is>
          <t>M</t>
        </is>
      </c>
      <c r="E1765" s="9" t="n">
        <v>124089522</v>
      </c>
    </row>
    <row r="1766">
      <c r="A1766" s="6" t="n">
        <v>2022</v>
      </c>
      <c r="B1766" s="6" t="inlineStr">
        <is>
          <t>plata</t>
        </is>
      </c>
      <c r="C1766" s="6" t="inlineStr">
        <is>
          <t>E2 Bruto/semilabrado</t>
        </is>
      </c>
      <c r="D1766" s="6" t="inlineStr">
        <is>
          <t>X</t>
        </is>
      </c>
      <c r="E1766" s="6" t="n">
        <v>2282303905</v>
      </c>
    </row>
    <row r="1767">
      <c r="A1767" s="9" t="n">
        <v>2022</v>
      </c>
      <c r="B1767" s="9" t="inlineStr">
        <is>
          <t>plomo</t>
        </is>
      </c>
      <c r="C1767" s="9" t="inlineStr">
        <is>
          <t>E1 Mena/concentrado</t>
        </is>
      </c>
      <c r="D1767" s="9" t="inlineStr">
        <is>
          <t>M</t>
        </is>
      </c>
      <c r="E1767" s="9" t="n">
        <v>0</v>
      </c>
    </row>
    <row r="1768">
      <c r="A1768" s="6" t="n">
        <v>2022</v>
      </c>
      <c r="B1768" s="6" t="inlineStr">
        <is>
          <t>plomo</t>
        </is>
      </c>
      <c r="C1768" s="6" t="inlineStr">
        <is>
          <t>E1 Mena/concentrado</t>
        </is>
      </c>
      <c r="D1768" s="6" t="inlineStr">
        <is>
          <t>X</t>
        </is>
      </c>
      <c r="E1768" s="6" t="n">
        <v>746165144</v>
      </c>
    </row>
    <row r="1769">
      <c r="A1769" s="9" t="n">
        <v>2022</v>
      </c>
      <c r="B1769" s="9" t="inlineStr">
        <is>
          <t>plomo</t>
        </is>
      </c>
      <c r="C1769" s="9" t="inlineStr">
        <is>
          <t>E2 Metal en bruto/refinado</t>
        </is>
      </c>
      <c r="D1769" s="9" t="inlineStr">
        <is>
          <t>M</t>
        </is>
      </c>
      <c r="E1769" s="9" t="n">
        <v>27626080</v>
      </c>
    </row>
    <row r="1770">
      <c r="A1770" s="6" t="n">
        <v>2022</v>
      </c>
      <c r="B1770" s="6" t="inlineStr">
        <is>
          <t>plomo</t>
        </is>
      </c>
      <c r="C1770" s="6" t="inlineStr">
        <is>
          <t>E2 Metal en bruto/refinado</t>
        </is>
      </c>
      <c r="D1770" s="6" t="inlineStr">
        <is>
          <t>X</t>
        </is>
      </c>
      <c r="E1770" s="6" t="n">
        <v>197623384</v>
      </c>
    </row>
    <row r="1771">
      <c r="A1771" s="9" t="n">
        <v>2022</v>
      </c>
      <c r="B1771" s="9" t="inlineStr">
        <is>
          <t>plomo</t>
        </is>
      </c>
      <c r="C1771" s="9" t="inlineStr">
        <is>
          <t>E3 Semimanufacturas</t>
        </is>
      </c>
      <c r="D1771" s="9" t="inlineStr">
        <is>
          <t>M</t>
        </is>
      </c>
      <c r="E1771" s="9" t="n">
        <v>825140</v>
      </c>
    </row>
    <row r="1772">
      <c r="A1772" s="6" t="n">
        <v>2022</v>
      </c>
      <c r="B1772" s="6" t="inlineStr">
        <is>
          <t>plomo</t>
        </is>
      </c>
      <c r="C1772" s="6" t="inlineStr">
        <is>
          <t>E3 Semimanufacturas</t>
        </is>
      </c>
      <c r="D1772" s="6" t="inlineStr">
        <is>
          <t>X</t>
        </is>
      </c>
      <c r="E1772" s="6" t="n">
        <v>79999</v>
      </c>
    </row>
    <row r="1773">
      <c r="A1773" s="9" t="n">
        <v>2022</v>
      </c>
      <c r="B1773" s="9" t="inlineStr">
        <is>
          <t>plomo</t>
        </is>
      </c>
      <c r="C1773" s="9" t="inlineStr">
        <is>
          <t>E4 Manufacturas</t>
        </is>
      </c>
      <c r="D1773" s="9" t="inlineStr">
        <is>
          <t>M</t>
        </is>
      </c>
      <c r="E1773" s="9" t="n">
        <v>6993358</v>
      </c>
    </row>
    <row r="1774">
      <c r="A1774" s="6" t="n">
        <v>2022</v>
      </c>
      <c r="B1774" s="6" t="inlineStr">
        <is>
          <t>plomo</t>
        </is>
      </c>
      <c r="C1774" s="6" t="inlineStr">
        <is>
          <t>E4 Manufacturas</t>
        </is>
      </c>
      <c r="D1774" s="6" t="inlineStr">
        <is>
          <t>X</t>
        </is>
      </c>
      <c r="E1774" s="6" t="n">
        <v>2254570</v>
      </c>
    </row>
    <row r="1775">
      <c r="A1775" s="9" t="n">
        <v>2022</v>
      </c>
      <c r="B1775" s="9" t="inlineStr">
        <is>
          <t>silice</t>
        </is>
      </c>
      <c r="C1775" s="9" t="inlineStr">
        <is>
          <t>E1 Arena silica/cuarzo</t>
        </is>
      </c>
      <c r="D1775" s="9" t="inlineStr">
        <is>
          <t>M</t>
        </is>
      </c>
      <c r="E1775" s="9" t="n">
        <v>79368931</v>
      </c>
    </row>
    <row r="1776">
      <c r="A1776" s="6" t="n">
        <v>2022</v>
      </c>
      <c r="B1776" s="6" t="inlineStr">
        <is>
          <t>silice</t>
        </is>
      </c>
      <c r="C1776" s="6" t="inlineStr">
        <is>
          <t>E1 Arena silica/cuarzo</t>
        </is>
      </c>
      <c r="D1776" s="6" t="inlineStr">
        <is>
          <t>X</t>
        </is>
      </c>
      <c r="E1776" s="6" t="n">
        <v>3108781</v>
      </c>
    </row>
    <row r="1777">
      <c r="A1777" s="9" t="n">
        <v>2022</v>
      </c>
      <c r="B1777" s="9" t="inlineStr">
        <is>
          <t>silice</t>
        </is>
      </c>
      <c r="C1777" s="9" t="inlineStr">
        <is>
          <t>E2 Silicio/ferrosilicio/SiO2</t>
        </is>
      </c>
      <c r="D1777" s="9" t="inlineStr">
        <is>
          <t>M</t>
        </is>
      </c>
      <c r="E1777" s="9" t="n">
        <v>359549723</v>
      </c>
    </row>
    <row r="1778">
      <c r="A1778" s="6" t="n">
        <v>2022</v>
      </c>
      <c r="B1778" s="6" t="inlineStr">
        <is>
          <t>silice</t>
        </is>
      </c>
      <c r="C1778" s="6" t="inlineStr">
        <is>
          <t>E2 Silicio/ferrosilicio/SiO2</t>
        </is>
      </c>
      <c r="D1778" s="6" t="inlineStr">
        <is>
          <t>X</t>
        </is>
      </c>
      <c r="E1778" s="6" t="n">
        <v>10001150</v>
      </c>
    </row>
    <row r="1779">
      <c r="A1779" s="9" t="n">
        <v>2022</v>
      </c>
      <c r="B1779" s="9" t="inlineStr">
        <is>
          <t>zinc</t>
        </is>
      </c>
      <c r="C1779" s="9" t="inlineStr">
        <is>
          <t>E1 Mena/concentrado</t>
        </is>
      </c>
      <c r="D1779" s="9" t="inlineStr">
        <is>
          <t>M</t>
        </is>
      </c>
      <c r="E1779" s="9" t="n">
        <v>15709723</v>
      </c>
    </row>
    <row r="1780">
      <c r="A1780" s="6" t="n">
        <v>2022</v>
      </c>
      <c r="B1780" s="6" t="inlineStr">
        <is>
          <t>zinc</t>
        </is>
      </c>
      <c r="C1780" s="6" t="inlineStr">
        <is>
          <t>E1 Mena/concentrado</t>
        </is>
      </c>
      <c r="D1780" s="6" t="inlineStr">
        <is>
          <t>X</t>
        </is>
      </c>
      <c r="E1780" s="6" t="n">
        <v>399116625</v>
      </c>
    </row>
    <row r="1781">
      <c r="A1781" s="9" t="n">
        <v>2022</v>
      </c>
      <c r="B1781" s="9" t="inlineStr">
        <is>
          <t>zinc</t>
        </is>
      </c>
      <c r="C1781" s="9" t="inlineStr">
        <is>
          <t>E2 Metal en bruto/refinado</t>
        </is>
      </c>
      <c r="D1781" s="9" t="inlineStr">
        <is>
          <t>M</t>
        </is>
      </c>
      <c r="E1781" s="9" t="n">
        <v>111980751</v>
      </c>
    </row>
    <row r="1782">
      <c r="A1782" s="6" t="n">
        <v>2022</v>
      </c>
      <c r="B1782" s="6" t="inlineStr">
        <is>
          <t>zinc</t>
        </is>
      </c>
      <c r="C1782" s="6" t="inlineStr">
        <is>
          <t>E2 Metal en bruto/refinado</t>
        </is>
      </c>
      <c r="D1782" s="6" t="inlineStr">
        <is>
          <t>X</t>
        </is>
      </c>
      <c r="E1782" s="6" t="n">
        <v>356460312</v>
      </c>
    </row>
    <row r="1783">
      <c r="A1783" s="9" t="n">
        <v>2022</v>
      </c>
      <c r="B1783" s="9" t="inlineStr">
        <is>
          <t>zinc</t>
        </is>
      </c>
      <c r="C1783" s="9" t="inlineStr">
        <is>
          <t>E3 Semimanufacturas</t>
        </is>
      </c>
      <c r="D1783" s="9" t="inlineStr">
        <is>
          <t>M</t>
        </is>
      </c>
      <c r="E1783" s="9" t="n">
        <v>35961789</v>
      </c>
    </row>
    <row r="1784">
      <c r="A1784" s="6" t="n">
        <v>2022</v>
      </c>
      <c r="B1784" s="6" t="inlineStr">
        <is>
          <t>zinc</t>
        </is>
      </c>
      <c r="C1784" s="6" t="inlineStr">
        <is>
          <t>E3 Semimanufacturas</t>
        </is>
      </c>
      <c r="D1784" s="6" t="inlineStr">
        <is>
          <t>X</t>
        </is>
      </c>
      <c r="E1784" s="6" t="n">
        <v>444762</v>
      </c>
    </row>
    <row r="1785">
      <c r="A1785" s="9" t="n">
        <v>2022</v>
      </c>
      <c r="B1785" s="9" t="inlineStr">
        <is>
          <t>zinc</t>
        </is>
      </c>
      <c r="C1785" s="9" t="inlineStr">
        <is>
          <t>E4 Manufacturas</t>
        </is>
      </c>
      <c r="D1785" s="9" t="inlineStr">
        <is>
          <t>M</t>
        </is>
      </c>
      <c r="E1785" s="9" t="n">
        <v>84729358</v>
      </c>
    </row>
    <row r="1786">
      <c r="A1786" s="6" t="n">
        <v>2022</v>
      </c>
      <c r="B1786" s="6" t="inlineStr">
        <is>
          <t>zinc</t>
        </is>
      </c>
      <c r="C1786" s="6" t="inlineStr">
        <is>
          <t>E4 Manufacturas</t>
        </is>
      </c>
      <c r="D1786" s="6" t="inlineStr">
        <is>
          <t>X</t>
        </is>
      </c>
      <c r="E1786" s="6" t="n">
        <v>4577240</v>
      </c>
    </row>
    <row r="1787">
      <c r="A1787" s="9" t="n">
        <v>2023</v>
      </c>
      <c r="B1787" s="9" t="inlineStr">
        <is>
          <t>barita</t>
        </is>
      </c>
      <c r="C1787" s="9" t="inlineStr">
        <is>
          <t>E1 Crudo/molido</t>
        </is>
      </c>
      <c r="D1787" s="9" t="inlineStr">
        <is>
          <t>M</t>
        </is>
      </c>
      <c r="E1787" s="9" t="n">
        <v>12329472</v>
      </c>
    </row>
    <row r="1788">
      <c r="A1788" s="6" t="n">
        <v>2023</v>
      </c>
      <c r="B1788" s="6" t="inlineStr">
        <is>
          <t>barita</t>
        </is>
      </c>
      <c r="C1788" s="6" t="inlineStr">
        <is>
          <t>E1 Crudo/molido</t>
        </is>
      </c>
      <c r="D1788" s="6" t="inlineStr">
        <is>
          <t>X</t>
        </is>
      </c>
      <c r="E1788" s="6" t="n">
        <v>26073174</v>
      </c>
    </row>
    <row r="1789">
      <c r="A1789" s="9" t="n">
        <v>2023</v>
      </c>
      <c r="B1789" s="9" t="inlineStr">
        <is>
          <t>barita</t>
        </is>
      </c>
      <c r="C1789" s="9" t="inlineStr">
        <is>
          <t>E2 Quimicos de bario</t>
        </is>
      </c>
      <c r="D1789" s="9" t="inlineStr">
        <is>
          <t>M</t>
        </is>
      </c>
      <c r="E1789" s="9" t="n">
        <v>1470327</v>
      </c>
    </row>
    <row r="1790">
      <c r="A1790" s="6" t="n">
        <v>2023</v>
      </c>
      <c r="B1790" s="6" t="inlineStr">
        <is>
          <t>barita</t>
        </is>
      </c>
      <c r="C1790" s="6" t="inlineStr">
        <is>
          <t>E2 Quimicos de bario</t>
        </is>
      </c>
      <c r="D1790" s="6" t="inlineStr">
        <is>
          <t>X</t>
        </is>
      </c>
      <c r="E1790" s="6" t="n">
        <v>0</v>
      </c>
    </row>
    <row r="1791">
      <c r="A1791" s="9" t="n">
        <v>2023</v>
      </c>
      <c r="B1791" s="9" t="inlineStr">
        <is>
          <t>cobre</t>
        </is>
      </c>
      <c r="C1791" s="9" t="inlineStr">
        <is>
          <t>E1 Mena/concentrado</t>
        </is>
      </c>
      <c r="D1791" s="9" t="inlineStr">
        <is>
          <t>M</t>
        </is>
      </c>
      <c r="E1791" s="9" t="n">
        <v>528570456</v>
      </c>
    </row>
    <row r="1792">
      <c r="A1792" s="6" t="n">
        <v>2023</v>
      </c>
      <c r="B1792" s="6" t="inlineStr">
        <is>
          <t>cobre</t>
        </is>
      </c>
      <c r="C1792" s="6" t="inlineStr">
        <is>
          <t>E1 Mena/concentrado</t>
        </is>
      </c>
      <c r="D1792" s="6" t="inlineStr">
        <is>
          <t>X</t>
        </is>
      </c>
      <c r="E1792" s="6" t="n">
        <v>3715931601</v>
      </c>
    </row>
    <row r="1793">
      <c r="A1793" s="9" t="n">
        <v>2023</v>
      </c>
      <c r="B1793" s="9" t="inlineStr">
        <is>
          <t>cobre</t>
        </is>
      </c>
      <c r="C1793" s="9" t="inlineStr">
        <is>
          <t>E2 Metal en bruto/refinado</t>
        </is>
      </c>
      <c r="D1793" s="9" t="inlineStr">
        <is>
          <t>M</t>
        </is>
      </c>
      <c r="E1793" s="9" t="n">
        <v>1185615399</v>
      </c>
    </row>
    <row r="1794">
      <c r="A1794" s="6" t="n">
        <v>2023</v>
      </c>
      <c r="B1794" s="6" t="inlineStr">
        <is>
          <t>cobre</t>
        </is>
      </c>
      <c r="C1794" s="6" t="inlineStr">
        <is>
          <t>E2 Metal en bruto/refinado</t>
        </is>
      </c>
      <c r="D1794" s="6" t="inlineStr">
        <is>
          <t>X</t>
        </is>
      </c>
      <c r="E1794" s="6" t="n">
        <v>284447648</v>
      </c>
    </row>
    <row r="1795">
      <c r="A1795" s="9" t="n">
        <v>2023</v>
      </c>
      <c r="B1795" s="9" t="inlineStr">
        <is>
          <t>cobre</t>
        </is>
      </c>
      <c r="C1795" s="9" t="inlineStr">
        <is>
          <t>E3 Semimanufacturas</t>
        </is>
      </c>
      <c r="D1795" s="9" t="inlineStr">
        <is>
          <t>M</t>
        </is>
      </c>
      <c r="E1795" s="9" t="n">
        <v>2688805069</v>
      </c>
    </row>
    <row r="1796">
      <c r="A1796" s="6" t="n">
        <v>2023</v>
      </c>
      <c r="B1796" s="6" t="inlineStr">
        <is>
          <t>cobre</t>
        </is>
      </c>
      <c r="C1796" s="6" t="inlineStr">
        <is>
          <t>E3 Semimanufacturas</t>
        </is>
      </c>
      <c r="D1796" s="6" t="inlineStr">
        <is>
          <t>X</t>
        </is>
      </c>
      <c r="E1796" s="6" t="n">
        <v>559389796</v>
      </c>
    </row>
    <row r="1797">
      <c r="A1797" s="9" t="n">
        <v>2023</v>
      </c>
      <c r="B1797" s="9" t="inlineStr">
        <is>
          <t>cobre</t>
        </is>
      </c>
      <c r="C1797" s="9" t="inlineStr">
        <is>
          <t>E4 Manufacturas</t>
        </is>
      </c>
      <c r="D1797" s="9" t="inlineStr">
        <is>
          <t>M</t>
        </is>
      </c>
      <c r="E1797" s="9" t="n">
        <v>448972895</v>
      </c>
    </row>
    <row r="1798">
      <c r="A1798" s="6" t="n">
        <v>2023</v>
      </c>
      <c r="B1798" s="6" t="inlineStr">
        <is>
          <t>cobre</t>
        </is>
      </c>
      <c r="C1798" s="6" t="inlineStr">
        <is>
          <t>E4 Manufacturas</t>
        </is>
      </c>
      <c r="D1798" s="6" t="inlineStr">
        <is>
          <t>X</t>
        </is>
      </c>
      <c r="E1798" s="6" t="n">
        <v>78136524</v>
      </c>
    </row>
    <row r="1799">
      <c r="A1799" s="9" t="n">
        <v>2023</v>
      </c>
      <c r="B1799" s="9" t="inlineStr">
        <is>
          <t>fluorita</t>
        </is>
      </c>
      <c r="C1799" s="9" t="inlineStr">
        <is>
          <t>E1 Espato fluor (crudo)</t>
        </is>
      </c>
      <c r="D1799" s="9" t="inlineStr">
        <is>
          <t>M</t>
        </is>
      </c>
      <c r="E1799" s="9" t="n">
        <v>0</v>
      </c>
    </row>
    <row r="1800">
      <c r="A1800" s="6" t="n">
        <v>2023</v>
      </c>
      <c r="B1800" s="6" t="inlineStr">
        <is>
          <t>fluorita</t>
        </is>
      </c>
      <c r="C1800" s="6" t="inlineStr">
        <is>
          <t>E1 Espato fluor (crudo)</t>
        </is>
      </c>
      <c r="D1800" s="6" t="inlineStr">
        <is>
          <t>X</t>
        </is>
      </c>
      <c r="E1800" s="6" t="n">
        <v>66031726</v>
      </c>
    </row>
    <row r="1801">
      <c r="A1801" s="9" t="n">
        <v>2023</v>
      </c>
      <c r="B1801" s="9" t="inlineStr">
        <is>
          <t>fluorita</t>
        </is>
      </c>
      <c r="C1801" s="9" t="inlineStr">
        <is>
          <t>E2 Fluoroquimica</t>
        </is>
      </c>
      <c r="D1801" s="9" t="inlineStr">
        <is>
          <t>M</t>
        </is>
      </c>
      <c r="E1801" s="9" t="n">
        <v>37581961</v>
      </c>
    </row>
    <row r="1802">
      <c r="A1802" s="6" t="n">
        <v>2023</v>
      </c>
      <c r="B1802" s="6" t="inlineStr">
        <is>
          <t>fluorita</t>
        </is>
      </c>
      <c r="C1802" s="6" t="inlineStr">
        <is>
          <t>E2 Fluoroquimica</t>
        </is>
      </c>
      <c r="D1802" s="6" t="inlineStr">
        <is>
          <t>X</t>
        </is>
      </c>
      <c r="E1802" s="6" t="n">
        <v>9449698</v>
      </c>
    </row>
    <row r="1803">
      <c r="A1803" s="9" t="n">
        <v>2023</v>
      </c>
      <c r="B1803" s="9" t="inlineStr">
        <is>
          <t>grafito</t>
        </is>
      </c>
      <c r="C1803" s="9" t="inlineStr">
        <is>
          <t>E1 Grafito natural</t>
        </is>
      </c>
      <c r="D1803" s="9" t="inlineStr">
        <is>
          <t>M</t>
        </is>
      </c>
      <c r="E1803" s="9" t="n">
        <v>5915485</v>
      </c>
    </row>
    <row r="1804">
      <c r="A1804" s="6" t="n">
        <v>2023</v>
      </c>
      <c r="B1804" s="6" t="inlineStr">
        <is>
          <t>grafito</t>
        </is>
      </c>
      <c r="C1804" s="6" t="inlineStr">
        <is>
          <t>E1 Grafito natural</t>
        </is>
      </c>
      <c r="D1804" s="6" t="inlineStr">
        <is>
          <t>X</t>
        </is>
      </c>
      <c r="E1804" s="6" t="n">
        <v>1818565</v>
      </c>
    </row>
    <row r="1805">
      <c r="A1805" s="9" t="n">
        <v>2023</v>
      </c>
      <c r="B1805" s="9" t="inlineStr">
        <is>
          <t>grafito</t>
        </is>
      </c>
      <c r="C1805" s="9" t="inlineStr">
        <is>
          <t>E2 Grafito artificial/prep.</t>
        </is>
      </c>
      <c r="D1805" s="9" t="inlineStr">
        <is>
          <t>M</t>
        </is>
      </c>
      <c r="E1805" s="9" t="n">
        <v>61133138</v>
      </c>
    </row>
    <row r="1806">
      <c r="A1806" s="6" t="n">
        <v>2023</v>
      </c>
      <c r="B1806" s="6" t="inlineStr">
        <is>
          <t>grafito</t>
        </is>
      </c>
      <c r="C1806" s="6" t="inlineStr">
        <is>
          <t>E2 Grafito artificial/prep.</t>
        </is>
      </c>
      <c r="D1806" s="6" t="inlineStr">
        <is>
          <t>X</t>
        </is>
      </c>
      <c r="E1806" s="6" t="n">
        <v>60460113</v>
      </c>
    </row>
    <row r="1807">
      <c r="A1807" s="9" t="n">
        <v>2023</v>
      </c>
      <c r="B1807" s="9" t="inlineStr">
        <is>
          <t>grafito</t>
        </is>
      </c>
      <c r="C1807" s="9" t="inlineStr">
        <is>
          <t>E3 Electrodos/articulos de carbono</t>
        </is>
      </c>
      <c r="D1807" s="9" t="inlineStr">
        <is>
          <t>M</t>
        </is>
      </c>
      <c r="E1807" s="9" t="n">
        <v>129093090</v>
      </c>
    </row>
    <row r="1808">
      <c r="A1808" s="6" t="n">
        <v>2023</v>
      </c>
      <c r="B1808" s="6" t="inlineStr">
        <is>
          <t>grafito</t>
        </is>
      </c>
      <c r="C1808" s="6" t="inlineStr">
        <is>
          <t>E3 Electrodos/articulos de carbono</t>
        </is>
      </c>
      <c r="D1808" s="6" t="inlineStr">
        <is>
          <t>X</t>
        </is>
      </c>
      <c r="E1808" s="6" t="n">
        <v>84827072</v>
      </c>
    </row>
    <row r="1809">
      <c r="A1809" s="9" t="n">
        <v>2023</v>
      </c>
      <c r="B1809" s="9" t="inlineStr">
        <is>
          <t>manganeso</t>
        </is>
      </c>
      <c r="C1809" s="9" t="inlineStr">
        <is>
          <t>E1 Mena/concentrado</t>
        </is>
      </c>
      <c r="D1809" s="9" t="inlineStr">
        <is>
          <t>M</t>
        </is>
      </c>
      <c r="E1809" s="9" t="n">
        <v>0</v>
      </c>
    </row>
    <row r="1810">
      <c r="A1810" s="6" t="n">
        <v>2023</v>
      </c>
      <c r="B1810" s="6" t="inlineStr">
        <is>
          <t>manganeso</t>
        </is>
      </c>
      <c r="C1810" s="6" t="inlineStr">
        <is>
          <t>E1 Mena/concentrado</t>
        </is>
      </c>
      <c r="D1810" s="6" t="inlineStr">
        <is>
          <t>X</t>
        </is>
      </c>
      <c r="E1810" s="6" t="n">
        <v>0</v>
      </c>
    </row>
    <row r="1811">
      <c r="A1811" s="9" t="n">
        <v>2023</v>
      </c>
      <c r="B1811" s="9" t="inlineStr">
        <is>
          <t>manganeso</t>
        </is>
      </c>
      <c r="C1811" s="9" t="inlineStr">
        <is>
          <t>E2 Ferroaleaciones</t>
        </is>
      </c>
      <c r="D1811" s="9" t="inlineStr">
        <is>
          <t>M</t>
        </is>
      </c>
      <c r="E1811" s="9" t="n">
        <v>0</v>
      </c>
    </row>
    <row r="1812">
      <c r="A1812" s="6" t="n">
        <v>2023</v>
      </c>
      <c r="B1812" s="6" t="inlineStr">
        <is>
          <t>manganeso</t>
        </is>
      </c>
      <c r="C1812" s="6" t="inlineStr">
        <is>
          <t>E2 Ferroaleaciones</t>
        </is>
      </c>
      <c r="D1812" s="6" t="inlineStr">
        <is>
          <t>X</t>
        </is>
      </c>
      <c r="E1812" s="6" t="n">
        <v>6893582</v>
      </c>
    </row>
    <row r="1813">
      <c r="A1813" s="9" t="n">
        <v>2023</v>
      </c>
      <c r="B1813" s="9" t="inlineStr">
        <is>
          <t>manganeso</t>
        </is>
      </c>
      <c r="C1813" s="9" t="inlineStr">
        <is>
          <t>E3 Quimicos/metal</t>
        </is>
      </c>
      <c r="D1813" s="9" t="inlineStr">
        <is>
          <t>M</t>
        </is>
      </c>
      <c r="E1813" s="9" t="n">
        <v>135746166</v>
      </c>
    </row>
    <row r="1814">
      <c r="A1814" s="6" t="n">
        <v>2023</v>
      </c>
      <c r="B1814" s="6" t="inlineStr">
        <is>
          <t>manganeso</t>
        </is>
      </c>
      <c r="C1814" s="6" t="inlineStr">
        <is>
          <t>E3 Quimicos/metal</t>
        </is>
      </c>
      <c r="D1814" s="6" t="inlineStr">
        <is>
          <t>X</t>
        </is>
      </c>
      <c r="E1814" s="6" t="n">
        <v>0</v>
      </c>
    </row>
    <row r="1815">
      <c r="A1815" s="9" t="n">
        <v>2023</v>
      </c>
      <c r="B1815" s="9" t="inlineStr">
        <is>
          <t>oro</t>
        </is>
      </c>
      <c r="C1815" s="9" t="inlineStr">
        <is>
          <t>E1 Mena/concentrado</t>
        </is>
      </c>
      <c r="D1815" s="9" t="inlineStr">
        <is>
          <t>M</t>
        </is>
      </c>
      <c r="E1815" s="9" t="n">
        <v>0</v>
      </c>
    </row>
    <row r="1816">
      <c r="A1816" s="6" t="n">
        <v>2023</v>
      </c>
      <c r="B1816" s="6" t="inlineStr">
        <is>
          <t>oro</t>
        </is>
      </c>
      <c r="C1816" s="6" t="inlineStr">
        <is>
          <t>E1 Mena/concentrado</t>
        </is>
      </c>
      <c r="D1816" s="6" t="inlineStr">
        <is>
          <t>X</t>
        </is>
      </c>
      <c r="E1816" s="6" t="n">
        <v>28453111</v>
      </c>
    </row>
    <row r="1817">
      <c r="A1817" s="9" t="n">
        <v>2023</v>
      </c>
      <c r="B1817" s="9" t="inlineStr">
        <is>
          <t>oro</t>
        </is>
      </c>
      <c r="C1817" s="9" t="inlineStr">
        <is>
          <t>E2 Bruto/semilabrado</t>
        </is>
      </c>
      <c r="D1817" s="9" t="inlineStr">
        <is>
          <t>M</t>
        </is>
      </c>
      <c r="E1817" s="9" t="n">
        <v>136279165</v>
      </c>
    </row>
    <row r="1818">
      <c r="A1818" s="6" t="n">
        <v>2023</v>
      </c>
      <c r="B1818" s="6" t="inlineStr">
        <is>
          <t>oro</t>
        </is>
      </c>
      <c r="C1818" s="6" t="inlineStr">
        <is>
          <t>E2 Bruto/semilabrado</t>
        </is>
      </c>
      <c r="D1818" s="6" t="inlineStr">
        <is>
          <t>X</t>
        </is>
      </c>
      <c r="E1818" s="6" t="n">
        <v>3406294650</v>
      </c>
    </row>
    <row r="1819">
      <c r="A1819" s="9" t="n">
        <v>2023</v>
      </c>
      <c r="B1819" s="9" t="inlineStr">
        <is>
          <t>oro-plata (manufacturas)</t>
        </is>
      </c>
      <c r="C1819" s="9" t="inlineStr">
        <is>
          <t>E4 Joyeria/orfebreria</t>
        </is>
      </c>
      <c r="D1819" s="9" t="inlineStr">
        <is>
          <t>M</t>
        </is>
      </c>
      <c r="E1819" s="9" t="n">
        <v>1000085991</v>
      </c>
    </row>
    <row r="1820">
      <c r="A1820" s="6" t="n">
        <v>2023</v>
      </c>
      <c r="B1820" s="6" t="inlineStr">
        <is>
          <t>oro-plata (manufacturas)</t>
        </is>
      </c>
      <c r="C1820" s="6" t="inlineStr">
        <is>
          <t>E4 Joyeria/orfebreria</t>
        </is>
      </c>
      <c r="D1820" s="6" t="inlineStr">
        <is>
          <t>X</t>
        </is>
      </c>
      <c r="E1820" s="6" t="n">
        <v>405779406</v>
      </c>
    </row>
    <row r="1821">
      <c r="A1821" s="9" t="n">
        <v>2023</v>
      </c>
      <c r="B1821" s="9" t="inlineStr">
        <is>
          <t>plata</t>
        </is>
      </c>
      <c r="C1821" s="9" t="inlineStr">
        <is>
          <t>E1 Mena/concentrado</t>
        </is>
      </c>
      <c r="D1821" s="9" t="inlineStr">
        <is>
          <t>M</t>
        </is>
      </c>
      <c r="E1821" s="9" t="n">
        <v>216365</v>
      </c>
    </row>
    <row r="1822">
      <c r="A1822" s="6" t="n">
        <v>2023</v>
      </c>
      <c r="B1822" s="6" t="inlineStr">
        <is>
          <t>plata</t>
        </is>
      </c>
      <c r="C1822" s="6" t="inlineStr">
        <is>
          <t>E1 Mena/concentrado</t>
        </is>
      </c>
      <c r="D1822" s="6" t="inlineStr">
        <is>
          <t>X</t>
        </is>
      </c>
      <c r="E1822" s="6" t="n">
        <v>117981985</v>
      </c>
    </row>
    <row r="1823">
      <c r="A1823" s="9" t="n">
        <v>2023</v>
      </c>
      <c r="B1823" s="9" t="inlineStr">
        <is>
          <t>plata</t>
        </is>
      </c>
      <c r="C1823" s="9" t="inlineStr">
        <is>
          <t>E2 Bruto/semilabrado</t>
        </is>
      </c>
      <c r="D1823" s="9" t="inlineStr">
        <is>
          <t>M</t>
        </is>
      </c>
      <c r="E1823" s="9" t="n">
        <v>118033277</v>
      </c>
    </row>
    <row r="1824">
      <c r="A1824" s="6" t="n">
        <v>2023</v>
      </c>
      <c r="B1824" s="6" t="inlineStr">
        <is>
          <t>plata</t>
        </is>
      </c>
      <c r="C1824" s="6" t="inlineStr">
        <is>
          <t>E2 Bruto/semilabrado</t>
        </is>
      </c>
      <c r="D1824" s="6" t="inlineStr">
        <is>
          <t>X</t>
        </is>
      </c>
      <c r="E1824" s="6" t="n">
        <v>2681768790</v>
      </c>
    </row>
    <row r="1825">
      <c r="A1825" s="9" t="n">
        <v>2023</v>
      </c>
      <c r="B1825" s="9" t="inlineStr">
        <is>
          <t>plomo</t>
        </is>
      </c>
      <c r="C1825" s="9" t="inlineStr">
        <is>
          <t>E1 Mena/concentrado</t>
        </is>
      </c>
      <c r="D1825" s="9" t="inlineStr">
        <is>
          <t>M</t>
        </is>
      </c>
      <c r="E1825" s="9" t="n">
        <v>8788092</v>
      </c>
    </row>
    <row r="1826">
      <c r="A1826" s="6" t="n">
        <v>2023</v>
      </c>
      <c r="B1826" s="6" t="inlineStr">
        <is>
          <t>plomo</t>
        </is>
      </c>
      <c r="C1826" s="6" t="inlineStr">
        <is>
          <t>E1 Mena/concentrado</t>
        </is>
      </c>
      <c r="D1826" s="6" t="inlineStr">
        <is>
          <t>X</t>
        </is>
      </c>
      <c r="E1826" s="6" t="n">
        <v>836925906</v>
      </c>
    </row>
    <row r="1827">
      <c r="A1827" s="9" t="n">
        <v>2023</v>
      </c>
      <c r="B1827" s="9" t="inlineStr">
        <is>
          <t>plomo</t>
        </is>
      </c>
      <c r="C1827" s="9" t="inlineStr">
        <is>
          <t>E2 Metal en bruto/refinado</t>
        </is>
      </c>
      <c r="D1827" s="9" t="inlineStr">
        <is>
          <t>M</t>
        </is>
      </c>
      <c r="E1827" s="9" t="n">
        <v>33801842</v>
      </c>
    </row>
    <row r="1828">
      <c r="A1828" s="6" t="n">
        <v>2023</v>
      </c>
      <c r="B1828" s="6" t="inlineStr">
        <is>
          <t>plomo</t>
        </is>
      </c>
      <c r="C1828" s="6" t="inlineStr">
        <is>
          <t>E2 Metal en bruto/refinado</t>
        </is>
      </c>
      <c r="D1828" s="6" t="inlineStr">
        <is>
          <t>X</t>
        </is>
      </c>
      <c r="E1828" s="6" t="n">
        <v>127316957</v>
      </c>
    </row>
    <row r="1829">
      <c r="A1829" s="9" t="n">
        <v>2023</v>
      </c>
      <c r="B1829" s="9" t="inlineStr">
        <is>
          <t>plomo</t>
        </is>
      </c>
      <c r="C1829" s="9" t="inlineStr">
        <is>
          <t>E3 Semimanufacturas</t>
        </is>
      </c>
      <c r="D1829" s="9" t="inlineStr">
        <is>
          <t>M</t>
        </is>
      </c>
      <c r="E1829" s="9" t="n">
        <v>1416236</v>
      </c>
    </row>
    <row r="1830">
      <c r="A1830" s="6" t="n">
        <v>2023</v>
      </c>
      <c r="B1830" s="6" t="inlineStr">
        <is>
          <t>plomo</t>
        </is>
      </c>
      <c r="C1830" s="6" t="inlineStr">
        <is>
          <t>E3 Semimanufacturas</t>
        </is>
      </c>
      <c r="D1830" s="6" t="inlineStr">
        <is>
          <t>X</t>
        </is>
      </c>
      <c r="E1830" s="6" t="n">
        <v>0</v>
      </c>
    </row>
    <row r="1831">
      <c r="A1831" s="9" t="n">
        <v>2023</v>
      </c>
      <c r="B1831" s="9" t="inlineStr">
        <is>
          <t>plomo</t>
        </is>
      </c>
      <c r="C1831" s="9" t="inlineStr">
        <is>
          <t>E4 Manufacturas</t>
        </is>
      </c>
      <c r="D1831" s="9" t="inlineStr">
        <is>
          <t>M</t>
        </is>
      </c>
      <c r="E1831" s="9" t="n">
        <v>15123895</v>
      </c>
    </row>
    <row r="1832">
      <c r="A1832" s="6" t="n">
        <v>2023</v>
      </c>
      <c r="B1832" s="6" t="inlineStr">
        <is>
          <t>plomo</t>
        </is>
      </c>
      <c r="C1832" s="6" t="inlineStr">
        <is>
          <t>E4 Manufacturas</t>
        </is>
      </c>
      <c r="D1832" s="6" t="inlineStr">
        <is>
          <t>X</t>
        </is>
      </c>
      <c r="E1832" s="6" t="n">
        <v>1236869</v>
      </c>
    </row>
    <row r="1833">
      <c r="A1833" s="9" t="n">
        <v>2023</v>
      </c>
      <c r="B1833" s="9" t="inlineStr">
        <is>
          <t>silice</t>
        </is>
      </c>
      <c r="C1833" s="9" t="inlineStr">
        <is>
          <t>E1 Arena silica/cuarzo</t>
        </is>
      </c>
      <c r="D1833" s="9" t="inlineStr">
        <is>
          <t>M</t>
        </is>
      </c>
      <c r="E1833" s="9" t="n">
        <v>87052719</v>
      </c>
    </row>
    <row r="1834">
      <c r="A1834" s="6" t="n">
        <v>2023</v>
      </c>
      <c r="B1834" s="6" t="inlineStr">
        <is>
          <t>silice</t>
        </is>
      </c>
      <c r="C1834" s="6" t="inlineStr">
        <is>
          <t>E1 Arena silica/cuarzo</t>
        </is>
      </c>
      <c r="D1834" s="6" t="inlineStr">
        <is>
          <t>X</t>
        </is>
      </c>
      <c r="E1834" s="6" t="n">
        <v>1897141</v>
      </c>
    </row>
    <row r="1835">
      <c r="A1835" s="9" t="n">
        <v>2023</v>
      </c>
      <c r="B1835" s="9" t="inlineStr">
        <is>
          <t>silice</t>
        </is>
      </c>
      <c r="C1835" s="9" t="inlineStr">
        <is>
          <t>E2 Silicio/ferrosilicio/SiO2</t>
        </is>
      </c>
      <c r="D1835" s="9" t="inlineStr">
        <is>
          <t>M</t>
        </is>
      </c>
      <c r="E1835" s="9" t="n">
        <v>291626006</v>
      </c>
    </row>
    <row r="1836">
      <c r="A1836" s="6" t="n">
        <v>2023</v>
      </c>
      <c r="B1836" s="6" t="inlineStr">
        <is>
          <t>silice</t>
        </is>
      </c>
      <c r="C1836" s="6" t="inlineStr">
        <is>
          <t>E2 Silicio/ferrosilicio/SiO2</t>
        </is>
      </c>
      <c r="D1836" s="6" t="inlineStr">
        <is>
          <t>X</t>
        </is>
      </c>
      <c r="E1836" s="6" t="n">
        <v>6210015</v>
      </c>
    </row>
    <row r="1837">
      <c r="A1837" s="9" t="n">
        <v>2023</v>
      </c>
      <c r="B1837" s="9" t="inlineStr">
        <is>
          <t>zinc</t>
        </is>
      </c>
      <c r="C1837" s="9" t="inlineStr">
        <is>
          <t>E1 Mena/concentrado</t>
        </is>
      </c>
      <c r="D1837" s="9" t="inlineStr">
        <is>
          <t>M</t>
        </is>
      </c>
      <c r="E1837" s="9" t="n">
        <v>0</v>
      </c>
    </row>
    <row r="1838">
      <c r="A1838" s="6" t="n">
        <v>2023</v>
      </c>
      <c r="B1838" s="6" t="inlineStr">
        <is>
          <t>zinc</t>
        </is>
      </c>
      <c r="C1838" s="6" t="inlineStr">
        <is>
          <t>E1 Mena/concentrado</t>
        </is>
      </c>
      <c r="D1838" s="6" t="inlineStr">
        <is>
          <t>X</t>
        </is>
      </c>
      <c r="E1838" s="6" t="n">
        <v>245944426</v>
      </c>
    </row>
    <row r="1839">
      <c r="A1839" s="9" t="n">
        <v>2023</v>
      </c>
      <c r="B1839" s="9" t="inlineStr">
        <is>
          <t>zinc</t>
        </is>
      </c>
      <c r="C1839" s="9" t="inlineStr">
        <is>
          <t>E2 Metal en bruto/refinado</t>
        </is>
      </c>
      <c r="D1839" s="9" t="inlineStr">
        <is>
          <t>M</t>
        </is>
      </c>
      <c r="E1839" s="9" t="n">
        <v>97052042</v>
      </c>
    </row>
    <row r="1840">
      <c r="A1840" s="6" t="n">
        <v>2023</v>
      </c>
      <c r="B1840" s="6" t="inlineStr">
        <is>
          <t>zinc</t>
        </is>
      </c>
      <c r="C1840" s="6" t="inlineStr">
        <is>
          <t>E2 Metal en bruto/refinado</t>
        </is>
      </c>
      <c r="D1840" s="6" t="inlineStr">
        <is>
          <t>X</t>
        </is>
      </c>
      <c r="E1840" s="6" t="n">
        <v>337639196</v>
      </c>
    </row>
    <row r="1841">
      <c r="A1841" s="9" t="n">
        <v>2023</v>
      </c>
      <c r="B1841" s="9" t="inlineStr">
        <is>
          <t>zinc</t>
        </is>
      </c>
      <c r="C1841" s="9" t="inlineStr">
        <is>
          <t>E3 Semimanufacturas</t>
        </is>
      </c>
      <c r="D1841" s="9" t="inlineStr">
        <is>
          <t>M</t>
        </is>
      </c>
      <c r="E1841" s="9" t="n">
        <v>27902639</v>
      </c>
    </row>
    <row r="1842">
      <c r="A1842" s="6" t="n">
        <v>2023</v>
      </c>
      <c r="B1842" s="6" t="inlineStr">
        <is>
          <t>zinc</t>
        </is>
      </c>
      <c r="C1842" s="6" t="inlineStr">
        <is>
          <t>E3 Semimanufacturas</t>
        </is>
      </c>
      <c r="D1842" s="6" t="inlineStr">
        <is>
          <t>X</t>
        </is>
      </c>
      <c r="E1842" s="6" t="n">
        <v>571407</v>
      </c>
    </row>
    <row r="1843">
      <c r="A1843" s="9" t="n">
        <v>2023</v>
      </c>
      <c r="B1843" s="9" t="inlineStr">
        <is>
          <t>zinc</t>
        </is>
      </c>
      <c r="C1843" s="9" t="inlineStr">
        <is>
          <t>E4 Manufacturas</t>
        </is>
      </c>
      <c r="D1843" s="9" t="inlineStr">
        <is>
          <t>M</t>
        </is>
      </c>
      <c r="E1843" s="9" t="n">
        <v>82892240</v>
      </c>
    </row>
    <row r="1844">
      <c r="A1844" s="6" t="n">
        <v>2023</v>
      </c>
      <c r="B1844" s="6" t="inlineStr">
        <is>
          <t>zinc</t>
        </is>
      </c>
      <c r="C1844" s="6" t="inlineStr">
        <is>
          <t>E4 Manufacturas</t>
        </is>
      </c>
      <c r="D1844" s="6" t="inlineStr">
        <is>
          <t>X</t>
        </is>
      </c>
      <c r="E1844" s="6" t="n">
        <v>5267558</v>
      </c>
    </row>
    <row r="1845">
      <c r="A1845" s="9" t="n">
        <v>2024</v>
      </c>
      <c r="B1845" s="9" t="inlineStr">
        <is>
          <t>barita</t>
        </is>
      </c>
      <c r="C1845" s="9" t="inlineStr">
        <is>
          <t>E1 Crudo/molido</t>
        </is>
      </c>
      <c r="D1845" s="9" t="inlineStr">
        <is>
          <t>M</t>
        </is>
      </c>
      <c r="E1845" s="9" t="n">
        <v>6139913</v>
      </c>
    </row>
    <row r="1846">
      <c r="A1846" s="6" t="n">
        <v>2024</v>
      </c>
      <c r="B1846" s="6" t="inlineStr">
        <is>
          <t>barita</t>
        </is>
      </c>
      <c r="C1846" s="6" t="inlineStr">
        <is>
          <t>E1 Crudo/molido</t>
        </is>
      </c>
      <c r="D1846" s="6" t="inlineStr">
        <is>
          <t>X</t>
        </is>
      </c>
      <c r="E1846" s="6" t="n">
        <v>13093040</v>
      </c>
    </row>
    <row r="1847">
      <c r="A1847" s="9" t="n">
        <v>2024</v>
      </c>
      <c r="B1847" s="9" t="inlineStr">
        <is>
          <t>barita</t>
        </is>
      </c>
      <c r="C1847" s="9" t="inlineStr">
        <is>
          <t>E2 Quimicos de bario</t>
        </is>
      </c>
      <c r="D1847" s="9" t="inlineStr">
        <is>
          <t>M</t>
        </is>
      </c>
      <c r="E1847" s="9" t="n">
        <v>1902550</v>
      </c>
    </row>
    <row r="1848">
      <c r="A1848" s="6" t="n">
        <v>2024</v>
      </c>
      <c r="B1848" s="6" t="inlineStr">
        <is>
          <t>barita</t>
        </is>
      </c>
      <c r="C1848" s="6" t="inlineStr">
        <is>
          <t>E2 Quimicos de bario</t>
        </is>
      </c>
      <c r="D1848" s="6" t="inlineStr">
        <is>
          <t>X</t>
        </is>
      </c>
      <c r="E1848" s="6" t="n">
        <v>0</v>
      </c>
    </row>
    <row r="1849">
      <c r="A1849" s="9" t="n">
        <v>2024</v>
      </c>
      <c r="B1849" s="9" t="inlineStr">
        <is>
          <t>cobre</t>
        </is>
      </c>
      <c r="C1849" s="9" t="inlineStr">
        <is>
          <t>E1 Mena/concentrado</t>
        </is>
      </c>
      <c r="D1849" s="9" t="inlineStr">
        <is>
          <t>M</t>
        </is>
      </c>
      <c r="E1849" s="9" t="n">
        <v>1077080598</v>
      </c>
    </row>
    <row r="1850">
      <c r="A1850" s="6" t="n">
        <v>2024</v>
      </c>
      <c r="B1850" s="6" t="inlineStr">
        <is>
          <t>cobre</t>
        </is>
      </c>
      <c r="C1850" s="6" t="inlineStr">
        <is>
          <t>E1 Mena/concentrado</t>
        </is>
      </c>
      <c r="D1850" s="6" t="inlineStr">
        <is>
          <t>X</t>
        </is>
      </c>
      <c r="E1850" s="6" t="n">
        <v>3718889902</v>
      </c>
    </row>
    <row r="1851">
      <c r="A1851" s="9" t="n">
        <v>2024</v>
      </c>
      <c r="B1851" s="9" t="inlineStr">
        <is>
          <t>cobre</t>
        </is>
      </c>
      <c r="C1851" s="9" t="inlineStr">
        <is>
          <t>E2 Metal en bruto/refinado</t>
        </is>
      </c>
      <c r="D1851" s="9" t="inlineStr">
        <is>
          <t>M</t>
        </is>
      </c>
      <c r="E1851" s="9" t="n">
        <v>1721661059</v>
      </c>
    </row>
    <row r="1852">
      <c r="A1852" s="6" t="n">
        <v>2024</v>
      </c>
      <c r="B1852" s="6" t="inlineStr">
        <is>
          <t>cobre</t>
        </is>
      </c>
      <c r="C1852" s="6" t="inlineStr">
        <is>
          <t>E2 Metal en bruto/refinado</t>
        </is>
      </c>
      <c r="D1852" s="6" t="inlineStr">
        <is>
          <t>X</t>
        </is>
      </c>
      <c r="E1852" s="6" t="n">
        <v>236153249</v>
      </c>
    </row>
    <row r="1853">
      <c r="A1853" s="9" t="n">
        <v>2024</v>
      </c>
      <c r="B1853" s="9" t="inlineStr">
        <is>
          <t>cobre</t>
        </is>
      </c>
      <c r="C1853" s="9" t="inlineStr">
        <is>
          <t>E3 Semimanufacturas</t>
        </is>
      </c>
      <c r="D1853" s="9" t="inlineStr">
        <is>
          <t>M</t>
        </is>
      </c>
      <c r="E1853" s="9" t="n">
        <v>2760318391</v>
      </c>
    </row>
    <row r="1854">
      <c r="A1854" s="6" t="n">
        <v>2024</v>
      </c>
      <c r="B1854" s="6" t="inlineStr">
        <is>
          <t>cobre</t>
        </is>
      </c>
      <c r="C1854" s="6" t="inlineStr">
        <is>
          <t>E3 Semimanufacturas</t>
        </is>
      </c>
      <c r="D1854" s="6" t="inlineStr">
        <is>
          <t>X</t>
        </is>
      </c>
      <c r="E1854" s="6" t="n">
        <v>551811551</v>
      </c>
    </row>
    <row r="1855">
      <c r="A1855" s="9" t="n">
        <v>2024</v>
      </c>
      <c r="B1855" s="9" t="inlineStr">
        <is>
          <t>cobre</t>
        </is>
      </c>
      <c r="C1855" s="9" t="inlineStr">
        <is>
          <t>E4 Manufacturas</t>
        </is>
      </c>
      <c r="D1855" s="9" t="inlineStr">
        <is>
          <t>M</t>
        </is>
      </c>
      <c r="E1855" s="9" t="n">
        <v>451136600</v>
      </c>
    </row>
    <row r="1856">
      <c r="A1856" s="6" t="n">
        <v>2024</v>
      </c>
      <c r="B1856" s="6" t="inlineStr">
        <is>
          <t>cobre</t>
        </is>
      </c>
      <c r="C1856" s="6" t="inlineStr">
        <is>
          <t>E4 Manufacturas</t>
        </is>
      </c>
      <c r="D1856" s="6" t="inlineStr">
        <is>
          <t>X</t>
        </is>
      </c>
      <c r="E1856" s="6" t="n">
        <v>84012184</v>
      </c>
    </row>
    <row r="1857">
      <c r="A1857" s="9" t="n">
        <v>2024</v>
      </c>
      <c r="B1857" s="9" t="inlineStr">
        <is>
          <t>fluorita</t>
        </is>
      </c>
      <c r="C1857" s="9" t="inlineStr">
        <is>
          <t>E1 Espato fluor (crudo)</t>
        </is>
      </c>
      <c r="D1857" s="9" t="inlineStr">
        <is>
          <t>M</t>
        </is>
      </c>
      <c r="E1857" s="9" t="n">
        <v>0</v>
      </c>
    </row>
    <row r="1858">
      <c r="A1858" s="6" t="n">
        <v>2024</v>
      </c>
      <c r="B1858" s="6" t="inlineStr">
        <is>
          <t>fluorita</t>
        </is>
      </c>
      <c r="C1858" s="6" t="inlineStr">
        <is>
          <t>E1 Espato fluor (crudo)</t>
        </is>
      </c>
      <c r="D1858" s="6" t="inlineStr">
        <is>
          <t>X</t>
        </is>
      </c>
      <c r="E1858" s="6" t="n">
        <v>25305600</v>
      </c>
    </row>
    <row r="1859">
      <c r="A1859" s="9" t="n">
        <v>2024</v>
      </c>
      <c r="B1859" s="9" t="inlineStr">
        <is>
          <t>fluorita</t>
        </is>
      </c>
      <c r="C1859" s="9" t="inlineStr">
        <is>
          <t>E2 Fluoroquimica</t>
        </is>
      </c>
      <c r="D1859" s="9" t="inlineStr">
        <is>
          <t>M</t>
        </is>
      </c>
      <c r="E1859" s="9" t="n">
        <v>41449465</v>
      </c>
    </row>
    <row r="1860">
      <c r="A1860" s="6" t="n">
        <v>2024</v>
      </c>
      <c r="B1860" s="6" t="inlineStr">
        <is>
          <t>fluorita</t>
        </is>
      </c>
      <c r="C1860" s="6" t="inlineStr">
        <is>
          <t>E2 Fluoroquimica</t>
        </is>
      </c>
      <c r="D1860" s="6" t="inlineStr">
        <is>
          <t>X</t>
        </is>
      </c>
      <c r="E1860" s="6" t="n">
        <v>70879411</v>
      </c>
    </row>
    <row r="1861">
      <c r="A1861" s="9" t="n">
        <v>2024</v>
      </c>
      <c r="B1861" s="9" t="inlineStr">
        <is>
          <t>grafito</t>
        </is>
      </c>
      <c r="C1861" s="9" t="inlineStr">
        <is>
          <t>E1 Grafito natural</t>
        </is>
      </c>
      <c r="D1861" s="9" t="inlineStr">
        <is>
          <t>M</t>
        </is>
      </c>
      <c r="E1861" s="9" t="n">
        <v>5697909</v>
      </c>
    </row>
    <row r="1862">
      <c r="A1862" s="6" t="n">
        <v>2024</v>
      </c>
      <c r="B1862" s="6" t="inlineStr">
        <is>
          <t>grafito</t>
        </is>
      </c>
      <c r="C1862" s="6" t="inlineStr">
        <is>
          <t>E1 Grafito natural</t>
        </is>
      </c>
      <c r="D1862" s="6" t="inlineStr">
        <is>
          <t>X</t>
        </is>
      </c>
      <c r="E1862" s="6" t="n">
        <v>3808739</v>
      </c>
    </row>
    <row r="1863">
      <c r="A1863" s="9" t="n">
        <v>2024</v>
      </c>
      <c r="B1863" s="9" t="inlineStr">
        <is>
          <t>grafito</t>
        </is>
      </c>
      <c r="C1863" s="9" t="inlineStr">
        <is>
          <t>E2 Grafito artificial/prep.</t>
        </is>
      </c>
      <c r="D1863" s="9" t="inlineStr">
        <is>
          <t>M</t>
        </is>
      </c>
      <c r="E1863" s="9" t="n">
        <v>52981712</v>
      </c>
    </row>
    <row r="1864">
      <c r="A1864" s="6" t="n">
        <v>2024</v>
      </c>
      <c r="B1864" s="6" t="inlineStr">
        <is>
          <t>grafito</t>
        </is>
      </c>
      <c r="C1864" s="6" t="inlineStr">
        <is>
          <t>E2 Grafito artificial/prep.</t>
        </is>
      </c>
      <c r="D1864" s="6" t="inlineStr">
        <is>
          <t>X</t>
        </is>
      </c>
      <c r="E1864" s="6" t="n">
        <v>34286349</v>
      </c>
    </row>
    <row r="1865">
      <c r="A1865" s="9" t="n">
        <v>2024</v>
      </c>
      <c r="B1865" s="9" t="inlineStr">
        <is>
          <t>grafito</t>
        </is>
      </c>
      <c r="C1865" s="9" t="inlineStr">
        <is>
          <t>E3 Electrodos/articulos de carbono</t>
        </is>
      </c>
      <c r="D1865" s="9" t="inlineStr">
        <is>
          <t>M</t>
        </is>
      </c>
      <c r="E1865" s="9" t="n">
        <v>106967768</v>
      </c>
    </row>
    <row r="1866">
      <c r="A1866" s="6" t="n">
        <v>2024</v>
      </c>
      <c r="B1866" s="6" t="inlineStr">
        <is>
          <t>grafito</t>
        </is>
      </c>
      <c r="C1866" s="6" t="inlineStr">
        <is>
          <t>E3 Electrodos/articulos de carbono</t>
        </is>
      </c>
      <c r="D1866" s="6" t="inlineStr">
        <is>
          <t>X</t>
        </is>
      </c>
      <c r="E1866" s="6" t="n">
        <v>72509893</v>
      </c>
    </row>
    <row r="1867">
      <c r="A1867" s="9" t="n">
        <v>2024</v>
      </c>
      <c r="B1867" s="9" t="inlineStr">
        <is>
          <t>manganeso</t>
        </is>
      </c>
      <c r="C1867" s="9" t="inlineStr">
        <is>
          <t>E1 Mena/concentrado</t>
        </is>
      </c>
      <c r="D1867" s="9" t="inlineStr">
        <is>
          <t>M</t>
        </is>
      </c>
      <c r="E1867" s="9" t="n">
        <v>0</v>
      </c>
    </row>
    <row r="1868">
      <c r="A1868" s="6" t="n">
        <v>2024</v>
      </c>
      <c r="B1868" s="6" t="inlineStr">
        <is>
          <t>manganeso</t>
        </is>
      </c>
      <c r="C1868" s="6" t="inlineStr">
        <is>
          <t>E1 Mena/concentrado</t>
        </is>
      </c>
      <c r="D1868" s="6" t="inlineStr">
        <is>
          <t>X</t>
        </is>
      </c>
      <c r="E1868" s="6" t="n">
        <v>0</v>
      </c>
    </row>
    <row r="1869">
      <c r="A1869" s="9" t="n">
        <v>2024</v>
      </c>
      <c r="B1869" s="9" t="inlineStr">
        <is>
          <t>manganeso</t>
        </is>
      </c>
      <c r="C1869" s="9" t="inlineStr">
        <is>
          <t>E2 Ferroaleaciones</t>
        </is>
      </c>
      <c r="D1869" s="9" t="inlineStr">
        <is>
          <t>M</t>
        </is>
      </c>
      <c r="E1869" s="9" t="n">
        <v>0</v>
      </c>
    </row>
    <row r="1870">
      <c r="A1870" s="6" t="n">
        <v>2024</v>
      </c>
      <c r="B1870" s="6" t="inlineStr">
        <is>
          <t>manganeso</t>
        </is>
      </c>
      <c r="C1870" s="6" t="inlineStr">
        <is>
          <t>E2 Ferroaleaciones</t>
        </is>
      </c>
      <c r="D1870" s="6" t="inlineStr">
        <is>
          <t>X</t>
        </is>
      </c>
      <c r="E1870" s="6" t="n">
        <v>14437488</v>
      </c>
    </row>
    <row r="1871">
      <c r="A1871" s="9" t="n">
        <v>2024</v>
      </c>
      <c r="B1871" s="9" t="inlineStr">
        <is>
          <t>manganeso</t>
        </is>
      </c>
      <c r="C1871" s="9" t="inlineStr">
        <is>
          <t>E3 Quimicos/metal</t>
        </is>
      </c>
      <c r="D1871" s="9" t="inlineStr">
        <is>
          <t>M</t>
        </is>
      </c>
      <c r="E1871" s="9" t="n">
        <v>12820753</v>
      </c>
    </row>
    <row r="1872">
      <c r="A1872" s="6" t="n">
        <v>2024</v>
      </c>
      <c r="B1872" s="6" t="inlineStr">
        <is>
          <t>manganeso</t>
        </is>
      </c>
      <c r="C1872" s="6" t="inlineStr">
        <is>
          <t>E3 Quimicos/metal</t>
        </is>
      </c>
      <c r="D1872" s="6" t="inlineStr">
        <is>
          <t>X</t>
        </is>
      </c>
      <c r="E1872" s="6" t="n">
        <v>0</v>
      </c>
    </row>
    <row r="1873">
      <c r="A1873" s="9" t="n">
        <v>2024</v>
      </c>
      <c r="B1873" s="9" t="inlineStr">
        <is>
          <t>oro</t>
        </is>
      </c>
      <c r="C1873" s="9" t="inlineStr">
        <is>
          <t>E1 Mena/concentrado</t>
        </is>
      </c>
      <c r="D1873" s="9" t="inlineStr">
        <is>
          <t>M</t>
        </is>
      </c>
      <c r="E1873" s="9" t="n">
        <v>0</v>
      </c>
    </row>
    <row r="1874">
      <c r="A1874" s="6" t="n">
        <v>2024</v>
      </c>
      <c r="B1874" s="6" t="inlineStr">
        <is>
          <t>oro</t>
        </is>
      </c>
      <c r="C1874" s="6" t="inlineStr">
        <is>
          <t>E1 Mena/concentrado</t>
        </is>
      </c>
      <c r="D1874" s="6" t="inlineStr">
        <is>
          <t>X</t>
        </is>
      </c>
      <c r="E1874" s="6" t="n">
        <v>37997871</v>
      </c>
    </row>
    <row r="1875">
      <c r="A1875" s="9" t="n">
        <v>2024</v>
      </c>
      <c r="B1875" s="9" t="inlineStr">
        <is>
          <t>oro</t>
        </is>
      </c>
      <c r="C1875" s="9" t="inlineStr">
        <is>
          <t>E2 Bruto/semilabrado</t>
        </is>
      </c>
      <c r="D1875" s="9" t="inlineStr">
        <is>
          <t>M</t>
        </is>
      </c>
      <c r="E1875" s="9" t="n">
        <v>131625321</v>
      </c>
    </row>
    <row r="1876">
      <c r="A1876" s="6" t="n">
        <v>2024</v>
      </c>
      <c r="B1876" s="6" t="inlineStr">
        <is>
          <t>oro</t>
        </is>
      </c>
      <c r="C1876" s="6" t="inlineStr">
        <is>
          <t>E2 Bruto/semilabrado</t>
        </is>
      </c>
      <c r="D1876" s="6" t="inlineStr">
        <is>
          <t>X</t>
        </is>
      </c>
      <c r="E1876" s="6" t="n">
        <v>3677031558</v>
      </c>
    </row>
    <row r="1877">
      <c r="A1877" s="9" t="n">
        <v>2024</v>
      </c>
      <c r="B1877" s="9" t="inlineStr">
        <is>
          <t>oro-plata (manufacturas)</t>
        </is>
      </c>
      <c r="C1877" s="9" t="inlineStr">
        <is>
          <t>E4 Joyeria/orfebreria</t>
        </is>
      </c>
      <c r="D1877" s="9" t="inlineStr">
        <is>
          <t>M</t>
        </is>
      </c>
      <c r="E1877" s="9" t="n">
        <v>1237524159</v>
      </c>
    </row>
    <row r="1878">
      <c r="A1878" s="6" t="n">
        <v>2024</v>
      </c>
      <c r="B1878" s="6" t="inlineStr">
        <is>
          <t>oro-plata (manufacturas)</t>
        </is>
      </c>
      <c r="C1878" s="6" t="inlineStr">
        <is>
          <t>E4 Joyeria/orfebreria</t>
        </is>
      </c>
      <c r="D1878" s="6" t="inlineStr">
        <is>
          <t>X</t>
        </is>
      </c>
      <c r="E1878" s="6" t="n">
        <v>399152449</v>
      </c>
    </row>
    <row r="1879">
      <c r="A1879" s="9" t="n">
        <v>2024</v>
      </c>
      <c r="B1879" s="9" t="inlineStr">
        <is>
          <t>plata</t>
        </is>
      </c>
      <c r="C1879" s="9" t="inlineStr">
        <is>
          <t>E1 Mena/concentrado</t>
        </is>
      </c>
      <c r="D1879" s="9" t="inlineStr">
        <is>
          <t>M</t>
        </is>
      </c>
      <c r="E1879" s="9" t="n">
        <v>7585944</v>
      </c>
    </row>
    <row r="1880">
      <c r="A1880" s="6" t="n">
        <v>2024</v>
      </c>
      <c r="B1880" s="6" t="inlineStr">
        <is>
          <t>plata</t>
        </is>
      </c>
      <c r="C1880" s="6" t="inlineStr">
        <is>
          <t>E1 Mena/concentrado</t>
        </is>
      </c>
      <c r="D1880" s="6" t="inlineStr">
        <is>
          <t>X</t>
        </is>
      </c>
      <c r="E1880" s="6" t="n">
        <v>185098813</v>
      </c>
    </row>
    <row r="1881">
      <c r="A1881" s="9" t="n">
        <v>2024</v>
      </c>
      <c r="B1881" s="9" t="inlineStr">
        <is>
          <t>plata</t>
        </is>
      </c>
      <c r="C1881" s="9" t="inlineStr">
        <is>
          <t>E2 Bruto/semilabrado</t>
        </is>
      </c>
      <c r="D1881" s="9" t="inlineStr">
        <is>
          <t>M</t>
        </is>
      </c>
      <c r="E1881" s="9" t="n">
        <v>130663338</v>
      </c>
    </row>
    <row r="1882">
      <c r="A1882" s="6" t="n">
        <v>2024</v>
      </c>
      <c r="B1882" s="6" t="inlineStr">
        <is>
          <t>plata</t>
        </is>
      </c>
      <c r="C1882" s="6" t="inlineStr">
        <is>
          <t>E2 Bruto/semilabrado</t>
        </is>
      </c>
      <c r="D1882" s="6" t="inlineStr">
        <is>
          <t>X</t>
        </is>
      </c>
      <c r="E1882" s="6" t="n">
        <v>2593776322</v>
      </c>
    </row>
    <row r="1883">
      <c r="A1883" s="9" t="n">
        <v>2024</v>
      </c>
      <c r="B1883" s="9" t="inlineStr">
        <is>
          <t>plomo</t>
        </is>
      </c>
      <c r="C1883" s="9" t="inlineStr">
        <is>
          <t>E1 Mena/concentrado</t>
        </is>
      </c>
      <c r="D1883" s="9" t="inlineStr">
        <is>
          <t>M</t>
        </is>
      </c>
      <c r="E1883" s="9" t="n">
        <v>0</v>
      </c>
    </row>
    <row r="1884">
      <c r="A1884" s="6" t="n">
        <v>2024</v>
      </c>
      <c r="B1884" s="6" t="inlineStr">
        <is>
          <t>plomo</t>
        </is>
      </c>
      <c r="C1884" s="6" t="inlineStr">
        <is>
          <t>E1 Mena/concentrado</t>
        </is>
      </c>
      <c r="D1884" s="6" t="inlineStr">
        <is>
          <t>X</t>
        </is>
      </c>
      <c r="E1884" s="6" t="n">
        <v>1092152844</v>
      </c>
    </row>
    <row r="1885">
      <c r="A1885" s="9" t="n">
        <v>2024</v>
      </c>
      <c r="B1885" s="9" t="inlineStr">
        <is>
          <t>plomo</t>
        </is>
      </c>
      <c r="C1885" s="9" t="inlineStr">
        <is>
          <t>E2 Metal en bruto/refinado</t>
        </is>
      </c>
      <c r="D1885" s="9" t="inlineStr">
        <is>
          <t>M</t>
        </is>
      </c>
      <c r="E1885" s="9" t="n">
        <v>58671759</v>
      </c>
    </row>
    <row r="1886">
      <c r="A1886" s="6" t="n">
        <v>2024</v>
      </c>
      <c r="B1886" s="6" t="inlineStr">
        <is>
          <t>plomo</t>
        </is>
      </c>
      <c r="C1886" s="6" t="inlineStr">
        <is>
          <t>E2 Metal en bruto/refinado</t>
        </is>
      </c>
      <c r="D1886" s="6" t="inlineStr">
        <is>
          <t>X</t>
        </is>
      </c>
      <c r="E1886" s="6" t="n">
        <v>177590849</v>
      </c>
    </row>
    <row r="1887">
      <c r="A1887" s="9" t="n">
        <v>2024</v>
      </c>
      <c r="B1887" s="9" t="inlineStr">
        <is>
          <t>plomo</t>
        </is>
      </c>
      <c r="C1887" s="9" t="inlineStr">
        <is>
          <t>E3 Semimanufacturas</t>
        </is>
      </c>
      <c r="D1887" s="9" t="inlineStr">
        <is>
          <t>M</t>
        </is>
      </c>
      <c r="E1887" s="9" t="n">
        <v>1039853</v>
      </c>
    </row>
    <row r="1888">
      <c r="A1888" s="6" t="n">
        <v>2024</v>
      </c>
      <c r="B1888" s="6" t="inlineStr">
        <is>
          <t>plomo</t>
        </is>
      </c>
      <c r="C1888" s="6" t="inlineStr">
        <is>
          <t>E3 Semimanufacturas</t>
        </is>
      </c>
      <c r="D1888" s="6" t="inlineStr">
        <is>
          <t>X</t>
        </is>
      </c>
      <c r="E1888" s="6" t="n">
        <v>61346</v>
      </c>
    </row>
    <row r="1889">
      <c r="A1889" s="9" t="n">
        <v>2024</v>
      </c>
      <c r="B1889" s="9" t="inlineStr">
        <is>
          <t>plomo</t>
        </is>
      </c>
      <c r="C1889" s="9" t="inlineStr">
        <is>
          <t>E4 Manufacturas</t>
        </is>
      </c>
      <c r="D1889" s="9" t="inlineStr">
        <is>
          <t>M</t>
        </is>
      </c>
      <c r="E1889" s="9" t="n">
        <v>8185673</v>
      </c>
    </row>
    <row r="1890">
      <c r="A1890" s="6" t="n">
        <v>2024</v>
      </c>
      <c r="B1890" s="6" t="inlineStr">
        <is>
          <t>plomo</t>
        </is>
      </c>
      <c r="C1890" s="6" t="inlineStr">
        <is>
          <t>E4 Manufacturas</t>
        </is>
      </c>
      <c r="D1890" s="6" t="inlineStr">
        <is>
          <t>X</t>
        </is>
      </c>
      <c r="E1890" s="6" t="n">
        <v>1176433</v>
      </c>
    </row>
    <row r="1891">
      <c r="A1891" s="9" t="n">
        <v>2024</v>
      </c>
      <c r="B1891" s="9" t="inlineStr">
        <is>
          <t>silice</t>
        </is>
      </c>
      <c r="C1891" s="9" t="inlineStr">
        <is>
          <t>E1 Arena silica/cuarzo</t>
        </is>
      </c>
      <c r="D1891" s="9" t="inlineStr">
        <is>
          <t>M</t>
        </is>
      </c>
      <c r="E1891" s="9" t="n">
        <v>68537200</v>
      </c>
    </row>
    <row r="1892">
      <c r="A1892" s="6" t="n">
        <v>2024</v>
      </c>
      <c r="B1892" s="6" t="inlineStr">
        <is>
          <t>silice</t>
        </is>
      </c>
      <c r="C1892" s="6" t="inlineStr">
        <is>
          <t>E1 Arena silica/cuarzo</t>
        </is>
      </c>
      <c r="D1892" s="6" t="inlineStr">
        <is>
          <t>X</t>
        </is>
      </c>
      <c r="E1892" s="6" t="n">
        <v>1705312</v>
      </c>
    </row>
    <row r="1893">
      <c r="A1893" s="9" t="n">
        <v>2024</v>
      </c>
      <c r="B1893" s="9" t="inlineStr">
        <is>
          <t>silice</t>
        </is>
      </c>
      <c r="C1893" s="9" t="inlineStr">
        <is>
          <t>E2 Silicio/ferrosilicio/SiO2</t>
        </is>
      </c>
      <c r="D1893" s="9" t="inlineStr">
        <is>
          <t>M</t>
        </is>
      </c>
      <c r="E1893" s="9" t="n">
        <v>293421133</v>
      </c>
    </row>
    <row r="1894">
      <c r="A1894" s="6" t="n">
        <v>2024</v>
      </c>
      <c r="B1894" s="6" t="inlineStr">
        <is>
          <t>silice</t>
        </is>
      </c>
      <c r="C1894" s="6" t="inlineStr">
        <is>
          <t>E2 Silicio/ferrosilicio/SiO2</t>
        </is>
      </c>
      <c r="D1894" s="6" t="inlineStr">
        <is>
          <t>X</t>
        </is>
      </c>
      <c r="E1894" s="6" t="n">
        <v>9261514</v>
      </c>
    </row>
    <row r="1895">
      <c r="A1895" s="9" t="n">
        <v>2024</v>
      </c>
      <c r="B1895" s="9" t="inlineStr">
        <is>
          <t>zinc</t>
        </is>
      </c>
      <c r="C1895" s="9" t="inlineStr">
        <is>
          <t>E1 Mena/concentrado</t>
        </is>
      </c>
      <c r="D1895" s="9" t="inlineStr">
        <is>
          <t>M</t>
        </is>
      </c>
      <c r="E1895" s="9" t="n">
        <v>0</v>
      </c>
    </row>
    <row r="1896">
      <c r="A1896" s="6" t="n">
        <v>2024</v>
      </c>
      <c r="B1896" s="6" t="inlineStr">
        <is>
          <t>zinc</t>
        </is>
      </c>
      <c r="C1896" s="6" t="inlineStr">
        <is>
          <t>E1 Mena/concentrado</t>
        </is>
      </c>
      <c r="D1896" s="6" t="inlineStr">
        <is>
          <t>X</t>
        </is>
      </c>
      <c r="E1896" s="6" t="n">
        <v>577061971</v>
      </c>
    </row>
    <row r="1897">
      <c r="A1897" s="9" t="n">
        <v>2024</v>
      </c>
      <c r="B1897" s="9" t="inlineStr">
        <is>
          <t>zinc</t>
        </is>
      </c>
      <c r="C1897" s="9" t="inlineStr">
        <is>
          <t>E2 Metal en bruto/refinado</t>
        </is>
      </c>
      <c r="D1897" s="9" t="inlineStr">
        <is>
          <t>M</t>
        </is>
      </c>
      <c r="E1897" s="9" t="n">
        <v>126691395</v>
      </c>
    </row>
    <row r="1898">
      <c r="A1898" s="6" t="n">
        <v>2024</v>
      </c>
      <c r="B1898" s="6" t="inlineStr">
        <is>
          <t>zinc</t>
        </is>
      </c>
      <c r="C1898" s="6" t="inlineStr">
        <is>
          <t>E2 Metal en bruto/refinado</t>
        </is>
      </c>
      <c r="D1898" s="6" t="inlineStr">
        <is>
          <t>X</t>
        </is>
      </c>
      <c r="E1898" s="6" t="n">
        <v>142641025</v>
      </c>
    </row>
    <row r="1899">
      <c r="A1899" s="9" t="n">
        <v>2024</v>
      </c>
      <c r="B1899" s="9" t="inlineStr">
        <is>
          <t>zinc</t>
        </is>
      </c>
      <c r="C1899" s="9" t="inlineStr">
        <is>
          <t>E3 Semimanufacturas</t>
        </is>
      </c>
      <c r="D1899" s="9" t="inlineStr">
        <is>
          <t>M</t>
        </is>
      </c>
      <c r="E1899" s="9" t="n">
        <v>28297205</v>
      </c>
    </row>
    <row r="1900">
      <c r="A1900" s="6" t="n">
        <v>2024</v>
      </c>
      <c r="B1900" s="6" t="inlineStr">
        <is>
          <t>zinc</t>
        </is>
      </c>
      <c r="C1900" s="6" t="inlineStr">
        <is>
          <t>E3 Semimanufacturas</t>
        </is>
      </c>
      <c r="D1900" s="6" t="inlineStr">
        <is>
          <t>X</t>
        </is>
      </c>
      <c r="E1900" s="6" t="n">
        <v>238268</v>
      </c>
    </row>
    <row r="1901">
      <c r="A1901" s="9" t="n">
        <v>2024</v>
      </c>
      <c r="B1901" s="9" t="inlineStr">
        <is>
          <t>zinc</t>
        </is>
      </c>
      <c r="C1901" s="9" t="inlineStr">
        <is>
          <t>E4 Manufacturas</t>
        </is>
      </c>
      <c r="D1901" s="9" t="inlineStr">
        <is>
          <t>M</t>
        </is>
      </c>
      <c r="E1901" s="9" t="n">
        <v>91590967</v>
      </c>
    </row>
    <row r="1902">
      <c r="A1902" s="6" t="n">
        <v>2024</v>
      </c>
      <c r="B1902" s="6" t="inlineStr">
        <is>
          <t>zinc</t>
        </is>
      </c>
      <c r="C1902" s="6" t="inlineStr">
        <is>
          <t>E4 Manufacturas</t>
        </is>
      </c>
      <c r="D1902" s="6" t="inlineStr">
        <is>
          <t>X</t>
        </is>
      </c>
      <c r="E1902" s="6" t="n">
        <v>5516170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</cols>
  <sheetData>
    <row r="1" ht="24" customHeight="1">
      <c r="A1" s="1" t="inlineStr">
        <is>
          <t>Concordancia mineral x etapa x fraccion HS</t>
        </is>
      </c>
    </row>
    <row r="2" ht="40" customHeight="1">
      <c r="A2" s="2" t="inlineStr">
        <is>
          <t>Operacionalizacion que asigna cada fraccion HS a una etapa E1-E4. Base de todo el analisis de comercio por grado de transformacion.</t>
        </is>
      </c>
    </row>
    <row r="3">
      <c r="A3" s="3" t="inlineStr">
        <is>
          <t>mineral</t>
        </is>
      </c>
      <c r="B3" s="3" t="inlineStr">
        <is>
          <t>etapa</t>
        </is>
      </c>
      <c r="C3" s="3" t="inlineStr">
        <is>
          <t>fracciones_hs</t>
        </is>
      </c>
    </row>
    <row r="4">
      <c r="A4" s="6" t="inlineStr">
        <is>
          <t>cobre</t>
        </is>
      </c>
      <c r="B4" s="6" t="inlineStr">
        <is>
          <t>E1 Mena/concentrado</t>
        </is>
      </c>
      <c r="C4" s="5" t="inlineStr">
        <is>
          <t>2603</t>
        </is>
      </c>
    </row>
    <row r="5">
      <c r="A5" s="9" t="inlineStr">
        <is>
          <t>cobre</t>
        </is>
      </c>
      <c r="B5" s="9" t="inlineStr">
        <is>
          <t>E2 Metal en bruto/refinado</t>
        </is>
      </c>
      <c r="C5" s="8" t="inlineStr">
        <is>
          <t>7401;7402;7403;7405</t>
        </is>
      </c>
    </row>
    <row r="6">
      <c r="A6" s="6" t="inlineStr">
        <is>
          <t>cobre</t>
        </is>
      </c>
      <c r="B6" s="6" t="inlineStr">
        <is>
          <t>E3 Semimanufacturas</t>
        </is>
      </c>
      <c r="C6" s="5" t="inlineStr">
        <is>
          <t>7407;7408;7409;7410;7411;7412;7413</t>
        </is>
      </c>
    </row>
    <row r="7">
      <c r="A7" s="9" t="inlineStr">
        <is>
          <t>cobre</t>
        </is>
      </c>
      <c r="B7" s="9" t="inlineStr">
        <is>
          <t>E4 Manufacturas</t>
        </is>
      </c>
      <c r="C7" s="8" t="inlineStr">
        <is>
          <t>7415;7418;7419</t>
        </is>
      </c>
    </row>
    <row r="8">
      <c r="A8" s="6" t="inlineStr">
        <is>
          <t>plomo</t>
        </is>
      </c>
      <c r="B8" s="6" t="inlineStr">
        <is>
          <t>E1 Mena/concentrado</t>
        </is>
      </c>
      <c r="C8" s="5" t="inlineStr">
        <is>
          <t>2607</t>
        </is>
      </c>
    </row>
    <row r="9">
      <c r="A9" s="9" t="inlineStr">
        <is>
          <t>plomo</t>
        </is>
      </c>
      <c r="B9" s="9" t="inlineStr">
        <is>
          <t>E2 Metal en bruto/refinado</t>
        </is>
      </c>
      <c r="C9" s="8" t="inlineStr">
        <is>
          <t>7801</t>
        </is>
      </c>
    </row>
    <row r="10">
      <c r="A10" s="6" t="inlineStr">
        <is>
          <t>plomo</t>
        </is>
      </c>
      <c r="B10" s="6" t="inlineStr">
        <is>
          <t>E3 Semimanufacturas</t>
        </is>
      </c>
      <c r="C10" s="5" t="inlineStr">
        <is>
          <t>7804</t>
        </is>
      </c>
    </row>
    <row r="11">
      <c r="A11" s="9" t="inlineStr">
        <is>
          <t>plomo</t>
        </is>
      </c>
      <c r="B11" s="9" t="inlineStr">
        <is>
          <t>E4 Manufacturas</t>
        </is>
      </c>
      <c r="C11" s="8" t="inlineStr">
        <is>
          <t>7806</t>
        </is>
      </c>
    </row>
    <row r="12">
      <c r="A12" s="6" t="inlineStr">
        <is>
          <t>zinc</t>
        </is>
      </c>
      <c r="B12" s="6" t="inlineStr">
        <is>
          <t>E1 Mena/concentrado</t>
        </is>
      </c>
      <c r="C12" s="5" t="inlineStr">
        <is>
          <t>2608</t>
        </is>
      </c>
    </row>
    <row r="13">
      <c r="A13" s="9" t="inlineStr">
        <is>
          <t>zinc</t>
        </is>
      </c>
      <c r="B13" s="9" t="inlineStr">
        <is>
          <t>E2 Metal en bruto/refinado</t>
        </is>
      </c>
      <c r="C13" s="8" t="inlineStr">
        <is>
          <t>7901</t>
        </is>
      </c>
    </row>
    <row r="14">
      <c r="A14" s="6" t="inlineStr">
        <is>
          <t>zinc</t>
        </is>
      </c>
      <c r="B14" s="6" t="inlineStr">
        <is>
          <t>E3 Semimanufacturas</t>
        </is>
      </c>
      <c r="C14" s="5" t="inlineStr">
        <is>
          <t>7903;7904;7905</t>
        </is>
      </c>
    </row>
    <row r="15">
      <c r="A15" s="9" t="inlineStr">
        <is>
          <t>zinc</t>
        </is>
      </c>
      <c r="B15" s="9" t="inlineStr">
        <is>
          <t>E4 Manufacturas</t>
        </is>
      </c>
      <c r="C15" s="8" t="inlineStr">
        <is>
          <t>7907</t>
        </is>
      </c>
    </row>
    <row r="16">
      <c r="A16" s="6" t="inlineStr">
        <is>
          <t>manganeso</t>
        </is>
      </c>
      <c r="B16" s="6" t="inlineStr">
        <is>
          <t>E1 Mena/concentrado</t>
        </is>
      </c>
      <c r="C16" s="5" t="inlineStr">
        <is>
          <t>2602</t>
        </is>
      </c>
    </row>
    <row r="17">
      <c r="A17" s="9" t="inlineStr">
        <is>
          <t>manganeso</t>
        </is>
      </c>
      <c r="B17" s="9" t="inlineStr">
        <is>
          <t>E2 Ferroaleaciones</t>
        </is>
      </c>
      <c r="C17" s="8" t="inlineStr">
        <is>
          <t>720211;720219;720230</t>
        </is>
      </c>
    </row>
    <row r="18">
      <c r="A18" s="6" t="inlineStr">
        <is>
          <t>manganeso</t>
        </is>
      </c>
      <c r="B18" s="6" t="inlineStr">
        <is>
          <t>E3 Quimicos/metal</t>
        </is>
      </c>
      <c r="C18" s="5" t="inlineStr">
        <is>
          <t>282010;8111</t>
        </is>
      </c>
    </row>
    <row r="19">
      <c r="A19" s="9" t="inlineStr">
        <is>
          <t>oro</t>
        </is>
      </c>
      <c r="B19" s="9" t="inlineStr">
        <is>
          <t>E1 Mena/concentrado</t>
        </is>
      </c>
      <c r="C19" s="8" t="inlineStr">
        <is>
          <t>261610</t>
        </is>
      </c>
    </row>
    <row r="20">
      <c r="A20" s="6" t="inlineStr">
        <is>
          <t>oro</t>
        </is>
      </c>
      <c r="B20" s="6" t="inlineStr">
        <is>
          <t>E2 Bruto/semilabrado</t>
        </is>
      </c>
      <c r="C20" s="5" t="inlineStr">
        <is>
          <t>7108</t>
        </is>
      </c>
    </row>
    <row r="21">
      <c r="A21" s="9" t="inlineStr">
        <is>
          <t>plata</t>
        </is>
      </c>
      <c r="B21" s="9" t="inlineStr">
        <is>
          <t>E1 Mena/concentrado</t>
        </is>
      </c>
      <c r="C21" s="8" t="inlineStr">
        <is>
          <t>261690</t>
        </is>
      </c>
    </row>
    <row r="22">
      <c r="A22" s="6" t="inlineStr">
        <is>
          <t>plata</t>
        </is>
      </c>
      <c r="B22" s="6" t="inlineStr">
        <is>
          <t>E2 Bruto/semilabrado</t>
        </is>
      </c>
      <c r="C22" s="5" t="inlineStr">
        <is>
          <t>7106</t>
        </is>
      </c>
    </row>
    <row r="23">
      <c r="A23" s="9" t="inlineStr">
        <is>
          <t>oro-plata (manufacturas)</t>
        </is>
      </c>
      <c r="B23" s="9" t="inlineStr">
        <is>
          <t>E4 Joyeria/orfebreria</t>
        </is>
      </c>
      <c r="C23" s="8" t="inlineStr">
        <is>
          <t>7113;7114;7115</t>
        </is>
      </c>
    </row>
    <row r="24">
      <c r="A24" s="6" t="inlineStr">
        <is>
          <t>barita</t>
        </is>
      </c>
      <c r="B24" s="6" t="inlineStr">
        <is>
          <t>E1 Crudo/molido</t>
        </is>
      </c>
      <c r="C24" s="5" t="inlineStr">
        <is>
          <t>251110</t>
        </is>
      </c>
    </row>
    <row r="25">
      <c r="A25" s="9" t="inlineStr">
        <is>
          <t>barita</t>
        </is>
      </c>
      <c r="B25" s="9" t="inlineStr">
        <is>
          <t>E2 Quimicos de bario</t>
        </is>
      </c>
      <c r="C25" s="8" t="inlineStr">
        <is>
          <t>281640;283660</t>
        </is>
      </c>
    </row>
    <row r="26">
      <c r="A26" s="6" t="inlineStr">
        <is>
          <t>fluorita</t>
        </is>
      </c>
      <c r="B26" s="6" t="inlineStr">
        <is>
          <t>E1 Espato fluor (crudo)</t>
        </is>
      </c>
      <c r="C26" s="5" t="inlineStr">
        <is>
          <t>252921;252922</t>
        </is>
      </c>
    </row>
    <row r="27">
      <c r="A27" s="9" t="inlineStr">
        <is>
          <t>fluorita</t>
        </is>
      </c>
      <c r="B27" s="9" t="inlineStr">
        <is>
          <t>E2 Fluoroquimica</t>
        </is>
      </c>
      <c r="C27" s="8" t="inlineStr">
        <is>
          <t>281111;282612;282619;390461</t>
        </is>
      </c>
    </row>
    <row r="28">
      <c r="A28" s="6" t="inlineStr">
        <is>
          <t>grafito</t>
        </is>
      </c>
      <c r="B28" s="6" t="inlineStr">
        <is>
          <t>E1 Grafito natural</t>
        </is>
      </c>
      <c r="C28" s="5" t="inlineStr">
        <is>
          <t>250410;250490</t>
        </is>
      </c>
    </row>
    <row r="29">
      <c r="A29" s="9" t="inlineStr">
        <is>
          <t>grafito</t>
        </is>
      </c>
      <c r="B29" s="9" t="inlineStr">
        <is>
          <t>E2 Grafito artificial/prep.</t>
        </is>
      </c>
      <c r="C29" s="8" t="inlineStr">
        <is>
          <t>3801</t>
        </is>
      </c>
    </row>
    <row r="30">
      <c r="A30" s="6" t="inlineStr">
        <is>
          <t>grafito</t>
        </is>
      </c>
      <c r="B30" s="6" t="inlineStr">
        <is>
          <t>E3 Electrodos/articulos de carbono</t>
        </is>
      </c>
      <c r="C30" s="5" t="inlineStr">
        <is>
          <t>8545</t>
        </is>
      </c>
    </row>
    <row r="31">
      <c r="A31" s="9" t="inlineStr">
        <is>
          <t>silice</t>
        </is>
      </c>
      <c r="B31" s="9" t="inlineStr">
        <is>
          <t>E1 Arena silica/cuarzo</t>
        </is>
      </c>
      <c r="C31" s="8" t="inlineStr">
        <is>
          <t>250510;250610</t>
        </is>
      </c>
    </row>
    <row r="32">
      <c r="A32" s="6" t="inlineStr">
        <is>
          <t>silice</t>
        </is>
      </c>
      <c r="B32" s="6" t="inlineStr">
        <is>
          <t>E2 Silicio/ferrosilicio/SiO2</t>
        </is>
      </c>
      <c r="C32" s="5" t="inlineStr">
        <is>
          <t>280461;280469;720221;720229;281122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16" customWidth="1" min="4" max="4"/>
    <col width="16" customWidth="1" min="5" max="5"/>
    <col width="13" customWidth="1" min="6" max="6"/>
    <col width="12" customWidth="1" min="7" max="7"/>
    <col width="11" customWidth="1" min="8" max="8"/>
    <col width="11" customWidth="1" min="9" max="9"/>
  </cols>
  <sheetData>
    <row r="1" ht="24" customHeight="1">
      <c r="A1" s="1" t="inlineStr">
        <is>
          <t>Comercio - destinos de exportacion (serie 1992-2024)</t>
        </is>
      </c>
    </row>
    <row r="2" ht="40" customHeight="1">
      <c r="A2" s="2" t="inlineStr">
        <is>
          <t>Por mineral-etapa-anio: destino principal y share de China/EUA. Resultado a partir del crudo por socio de Comtrade (share = valor_destino/valor_total). Hallazgo: los concentrados se desplazan de Norteamerica (1990s) a China. Detalle acumulado por socio en la hoja '19b'.</t>
        </is>
      </c>
    </row>
    <row r="3">
      <c r="A3" s="3" t="inlineStr">
        <is>
          <t>anio</t>
        </is>
      </c>
      <c r="B3" s="3" t="inlineStr">
        <is>
          <t>mineral</t>
        </is>
      </c>
      <c r="C3" s="3" t="inlineStr">
        <is>
          <t>etapa</t>
        </is>
      </c>
      <c r="D3" s="3" t="inlineStr">
        <is>
          <t>valor_total_usd</t>
        </is>
      </c>
      <c r="E3" s="3" t="inlineStr">
        <is>
          <t>destino_principal</t>
        </is>
      </c>
      <c r="F3" s="3" t="inlineStr">
        <is>
          <t>share_principal</t>
        </is>
      </c>
      <c r="G3" s="3" t="inlineStr">
        <is>
          <t>share_china</t>
        </is>
      </c>
      <c r="H3" s="3" t="inlineStr">
        <is>
          <t>share_eua</t>
        </is>
      </c>
      <c r="I3" s="3" t="inlineStr">
        <is>
          <t>n_destinos</t>
        </is>
      </c>
    </row>
    <row r="4">
      <c r="A4" s="6" t="n">
        <v>1992</v>
      </c>
      <c r="B4" s="6" t="inlineStr">
        <is>
          <t>barita</t>
        </is>
      </c>
      <c r="C4" s="6" t="inlineStr">
        <is>
          <t>E1 Crudo/molido</t>
        </is>
      </c>
      <c r="D4" s="6" t="n">
        <v>1244000</v>
      </c>
      <c r="E4" s="6" t="inlineStr">
        <is>
          <t>Estados Unidos</t>
        </is>
      </c>
      <c r="F4" s="6" t="n">
        <v>1</v>
      </c>
      <c r="G4" s="6" t="n">
        <v>0</v>
      </c>
      <c r="H4" s="6" t="n">
        <v>1</v>
      </c>
      <c r="I4" s="6" t="n">
        <v>1</v>
      </c>
    </row>
    <row r="5">
      <c r="A5" s="9" t="n">
        <v>1992</v>
      </c>
      <c r="B5" s="9" t="inlineStr">
        <is>
          <t>barita</t>
        </is>
      </c>
      <c r="C5" s="9" t="inlineStr">
        <is>
          <t>E2 Quimicos de bario</t>
        </is>
      </c>
      <c r="D5" s="9" t="n">
        <v>1571000</v>
      </c>
      <c r="E5" s="9" t="inlineStr">
        <is>
          <t>Estados Unidos</t>
        </is>
      </c>
      <c r="F5" s="9" t="n">
        <v>0.9955000000000001</v>
      </c>
      <c r="G5" s="9" t="n">
        <v>0</v>
      </c>
      <c r="H5" s="9" t="n">
        <v>0.9955000000000001</v>
      </c>
      <c r="I5" s="9" t="n">
        <v>3</v>
      </c>
    </row>
    <row r="6">
      <c r="A6" s="6" t="n">
        <v>1992</v>
      </c>
      <c r="B6" s="6" t="inlineStr">
        <is>
          <t>cobre</t>
        </is>
      </c>
      <c r="C6" s="6" t="inlineStr">
        <is>
          <t>E1 Mena/concentrado</t>
        </is>
      </c>
      <c r="D6" s="6" t="n">
        <v>31605000</v>
      </c>
      <c r="E6" s="6" t="inlineStr">
        <is>
          <t>Estados Unidos</t>
        </is>
      </c>
      <c r="F6" s="6" t="n">
        <v>0.7624</v>
      </c>
      <c r="G6" s="6" t="n">
        <v>0</v>
      </c>
      <c r="H6" s="6" t="n">
        <v>0.7624</v>
      </c>
      <c r="I6" s="6" t="n">
        <v>2</v>
      </c>
    </row>
    <row r="7">
      <c r="A7" s="9" t="n">
        <v>1992</v>
      </c>
      <c r="B7" s="9" t="inlineStr">
        <is>
          <t>cobre</t>
        </is>
      </c>
      <c r="C7" s="9" t="inlineStr">
        <is>
          <t>E2 Metal en bruto/refinado</t>
        </is>
      </c>
      <c r="D7" s="9" t="n">
        <v>287704992</v>
      </c>
      <c r="E7" s="9" t="inlineStr">
        <is>
          <t>Estados Unidos</t>
        </is>
      </c>
      <c r="F7" s="9" t="n">
        <v>0.487</v>
      </c>
      <c r="G7" s="9" t="n">
        <v>0</v>
      </c>
      <c r="H7" s="9" t="n">
        <v>0.487</v>
      </c>
      <c r="I7" s="9" t="n">
        <v>11</v>
      </c>
    </row>
    <row r="8">
      <c r="A8" s="6" t="n">
        <v>1992</v>
      </c>
      <c r="B8" s="6" t="inlineStr">
        <is>
          <t>cobre</t>
        </is>
      </c>
      <c r="C8" s="6" t="inlineStr">
        <is>
          <t>E3 Semimanufacturas</t>
        </is>
      </c>
      <c r="D8" s="6" t="n">
        <v>127642000</v>
      </c>
      <c r="E8" s="6" t="inlineStr">
        <is>
          <t>Estados Unidos</t>
        </is>
      </c>
      <c r="F8" s="6" t="n">
        <v>0.6947</v>
      </c>
      <c r="G8" s="6" t="n">
        <v>0</v>
      </c>
      <c r="H8" s="6" t="n">
        <v>0.6947</v>
      </c>
      <c r="I8" s="6" t="n">
        <v>32</v>
      </c>
    </row>
    <row r="9">
      <c r="A9" s="9" t="n">
        <v>1992</v>
      </c>
      <c r="B9" s="9" t="inlineStr">
        <is>
          <t>cobre</t>
        </is>
      </c>
      <c r="C9" s="9" t="inlineStr">
        <is>
          <t>E4 Manufacturas</t>
        </is>
      </c>
      <c r="D9" s="9" t="n">
        <v>23568000</v>
      </c>
      <c r="E9" s="9" t="inlineStr">
        <is>
          <t>Estados Unidos</t>
        </is>
      </c>
      <c r="F9" s="9" t="n">
        <v>0.9123</v>
      </c>
      <c r="G9" s="9" t="n">
        <v>0.0003</v>
      </c>
      <c r="H9" s="9" t="n">
        <v>0.9123</v>
      </c>
      <c r="I9" s="9" t="n">
        <v>31</v>
      </c>
    </row>
    <row r="10">
      <c r="A10" s="6" t="n">
        <v>1992</v>
      </c>
      <c r="B10" s="6" t="inlineStr">
        <is>
          <t>fluorita</t>
        </is>
      </c>
      <c r="C10" s="6" t="inlineStr">
        <is>
          <t>E1 Espato fluor (crudo)</t>
        </is>
      </c>
      <c r="D10" s="6" t="n">
        <v>13929000</v>
      </c>
      <c r="E10" s="6" t="inlineStr">
        <is>
          <t>Estados Unidos</t>
        </is>
      </c>
      <c r="F10" s="6" t="n">
        <v>0.6031</v>
      </c>
      <c r="G10" s="6" t="n">
        <v>0</v>
      </c>
      <c r="H10" s="6" t="n">
        <v>0.6031</v>
      </c>
      <c r="I10" s="6" t="n">
        <v>10</v>
      </c>
    </row>
    <row r="11">
      <c r="A11" s="9" t="n">
        <v>1992</v>
      </c>
      <c r="B11" s="9" t="inlineStr">
        <is>
          <t>fluorita</t>
        </is>
      </c>
      <c r="C11" s="9" t="inlineStr">
        <is>
          <t>E2 Fluoroquimica</t>
        </is>
      </c>
      <c r="D11" s="9" t="n">
        <v>86072000</v>
      </c>
      <c r="E11" s="9" t="inlineStr">
        <is>
          <t>Estados Unidos</t>
        </is>
      </c>
      <c r="F11" s="9" t="n">
        <v>0.7151999999999999</v>
      </c>
      <c r="G11" s="9" t="n">
        <v>0</v>
      </c>
      <c r="H11" s="9" t="n">
        <v>0.7151999999999999</v>
      </c>
      <c r="I11" s="9" t="n">
        <v>7</v>
      </c>
    </row>
    <row r="12">
      <c r="A12" s="6" t="n">
        <v>1992</v>
      </c>
      <c r="B12" s="6" t="inlineStr">
        <is>
          <t>grafito</t>
        </is>
      </c>
      <c r="C12" s="6" t="inlineStr">
        <is>
          <t>E1 Grafito natural</t>
        </is>
      </c>
      <c r="D12" s="6" t="n">
        <v>3073000</v>
      </c>
      <c r="E12" s="6" t="inlineStr">
        <is>
          <t>Estados Unidos</t>
        </is>
      </c>
      <c r="F12" s="6" t="n">
        <v>0.9307</v>
      </c>
      <c r="G12" s="6" t="n">
        <v>0</v>
      </c>
      <c r="H12" s="6" t="n">
        <v>0.9307</v>
      </c>
      <c r="I12" s="6" t="n">
        <v>2</v>
      </c>
    </row>
    <row r="13">
      <c r="A13" s="9" t="n">
        <v>1992</v>
      </c>
      <c r="B13" s="9" t="inlineStr">
        <is>
          <t>grafito</t>
        </is>
      </c>
      <c r="C13" s="9" t="inlineStr">
        <is>
          <t>E2 Grafito artificial/prep.</t>
        </is>
      </c>
      <c r="D13" s="9" t="n">
        <v>12300000</v>
      </c>
      <c r="E13" s="9" t="inlineStr">
        <is>
          <t>Estados Unidos</t>
        </is>
      </c>
      <c r="F13" s="9" t="n">
        <v>0.9893</v>
      </c>
      <c r="G13" s="9" t="n">
        <v>0.0018</v>
      </c>
      <c r="H13" s="9" t="n">
        <v>0.9893</v>
      </c>
      <c r="I13" s="9" t="n">
        <v>5</v>
      </c>
    </row>
    <row r="14">
      <c r="A14" s="6" t="n">
        <v>1992</v>
      </c>
      <c r="B14" s="6" t="inlineStr">
        <is>
          <t>grafito</t>
        </is>
      </c>
      <c r="C14" s="6" t="inlineStr">
        <is>
          <t>E3 Electrodos/articulos de carbono</t>
        </is>
      </c>
      <c r="D14" s="6" t="n">
        <v>15432000</v>
      </c>
      <c r="E14" s="6" t="inlineStr">
        <is>
          <t>Colombia</t>
        </is>
      </c>
      <c r="F14" s="6" t="n">
        <v>0.2506</v>
      </c>
      <c r="G14" s="6" t="n">
        <v>0</v>
      </c>
      <c r="H14" s="6" t="n">
        <v>0.1973</v>
      </c>
      <c r="I14" s="6" t="n">
        <v>19</v>
      </c>
    </row>
    <row r="15">
      <c r="A15" s="9" t="n">
        <v>1992</v>
      </c>
      <c r="B15" s="9" t="inlineStr">
        <is>
          <t>manganeso</t>
        </is>
      </c>
      <c r="C15" s="9" t="inlineStr">
        <is>
          <t>E1 Mena/concentrado</t>
        </is>
      </c>
      <c r="D15" s="9" t="n">
        <v>6044000</v>
      </c>
      <c r="E15" s="9" t="inlineStr">
        <is>
          <t>Estados Unidos</t>
        </is>
      </c>
      <c r="F15" s="9" t="n">
        <v>0.2631</v>
      </c>
      <c r="G15" s="9" t="n">
        <v>0</v>
      </c>
      <c r="H15" s="9" t="n">
        <v>0.2631</v>
      </c>
      <c r="I15" s="9" t="n">
        <v>11</v>
      </c>
    </row>
    <row r="16">
      <c r="A16" s="6" t="n">
        <v>1992</v>
      </c>
      <c r="B16" s="6" t="inlineStr">
        <is>
          <t>manganeso</t>
        </is>
      </c>
      <c r="C16" s="6" t="inlineStr">
        <is>
          <t>E2 Ferroaleaciones</t>
        </is>
      </c>
      <c r="D16" s="6" t="n">
        <v>36349000</v>
      </c>
      <c r="E16" s="6" t="inlineStr">
        <is>
          <t>Estados Unidos</t>
        </is>
      </c>
      <c r="F16" s="6" t="n">
        <v>0.8300999999999999</v>
      </c>
      <c r="G16" s="6" t="n">
        <v>0</v>
      </c>
      <c r="H16" s="6" t="n">
        <v>0.8300999999999999</v>
      </c>
      <c r="I16" s="6" t="n">
        <v>8</v>
      </c>
    </row>
    <row r="17">
      <c r="A17" s="9" t="n">
        <v>1992</v>
      </c>
      <c r="B17" s="9" t="inlineStr">
        <is>
          <t>manganeso</t>
        </is>
      </c>
      <c r="C17" s="9" t="inlineStr">
        <is>
          <t>E3 Quimicos/metal</t>
        </is>
      </c>
      <c r="D17" s="9" t="n">
        <v>660000</v>
      </c>
      <c r="E17" s="9" t="inlineStr">
        <is>
          <t>Guatemala</t>
        </is>
      </c>
      <c r="F17" s="9" t="n">
        <v>0.4318</v>
      </c>
      <c r="G17" s="9" t="n">
        <v>0</v>
      </c>
      <c r="H17" s="9" t="n">
        <v>0.0424</v>
      </c>
      <c r="I17" s="9" t="n">
        <v>7</v>
      </c>
    </row>
    <row r="18">
      <c r="A18" s="6" t="n">
        <v>1992</v>
      </c>
      <c r="B18" s="6" t="inlineStr">
        <is>
          <t>oro</t>
        </is>
      </c>
      <c r="C18" s="6" t="inlineStr">
        <is>
          <t>E1 Mena/concentrado</t>
        </is>
      </c>
      <c r="D18" s="6" t="n">
        <v>71000</v>
      </c>
      <c r="E18" s="6" t="inlineStr">
        <is>
          <t>Estados Unidos</t>
        </is>
      </c>
      <c r="F18" s="6" t="n">
        <v>1</v>
      </c>
      <c r="G18" s="6" t="n">
        <v>0</v>
      </c>
      <c r="H18" s="6" t="n">
        <v>1</v>
      </c>
      <c r="I18" s="6" t="n">
        <v>1</v>
      </c>
    </row>
    <row r="19">
      <c r="A19" s="9" t="n">
        <v>1992</v>
      </c>
      <c r="B19" s="9" t="inlineStr">
        <is>
          <t>oro</t>
        </is>
      </c>
      <c r="C19" s="9" t="inlineStr">
        <is>
          <t>E2 Bruto/semilabrado</t>
        </is>
      </c>
      <c r="D19" s="9" t="n">
        <v>41453000</v>
      </c>
      <c r="E19" s="9" t="inlineStr">
        <is>
          <t>Estados Unidos</t>
        </is>
      </c>
      <c r="F19" s="9" t="n">
        <v>0.4873</v>
      </c>
      <c r="G19" s="9" t="n">
        <v>0</v>
      </c>
      <c r="H19" s="9" t="n">
        <v>0.4873</v>
      </c>
      <c r="I19" s="9" t="n">
        <v>6</v>
      </c>
    </row>
    <row r="20">
      <c r="A20" s="6" t="n">
        <v>1992</v>
      </c>
      <c r="B20" s="6" t="inlineStr">
        <is>
          <t>oro-plata (manufacturas)</t>
        </is>
      </c>
      <c r="C20" s="6" t="inlineStr">
        <is>
          <t>E4 Joyeria/orfebreria</t>
        </is>
      </c>
      <c r="D20" s="6" t="n">
        <v>43815000</v>
      </c>
      <c r="E20" s="6" t="inlineStr">
        <is>
          <t>Estados Unidos</t>
        </is>
      </c>
      <c r="F20" s="6" t="n">
        <v>0.8206</v>
      </c>
      <c r="G20" s="6" t="n">
        <v>0.0007</v>
      </c>
      <c r="H20" s="6" t="n">
        <v>0.8206</v>
      </c>
      <c r="I20" s="6" t="n">
        <v>29</v>
      </c>
    </row>
    <row r="21">
      <c r="A21" s="9" t="n">
        <v>1992</v>
      </c>
      <c r="B21" s="9" t="inlineStr">
        <is>
          <t>plata</t>
        </is>
      </c>
      <c r="C21" s="9" t="inlineStr">
        <is>
          <t>E1 Mena/concentrado</t>
        </is>
      </c>
      <c r="D21" s="9" t="n">
        <v>102000</v>
      </c>
      <c r="E21" s="9" t="inlineStr">
        <is>
          <t>Estados Unidos</t>
        </is>
      </c>
      <c r="F21" s="9" t="n">
        <v>1</v>
      </c>
      <c r="G21" s="9" t="n">
        <v>0</v>
      </c>
      <c r="H21" s="9" t="n">
        <v>1</v>
      </c>
      <c r="I21" s="9" t="n">
        <v>1</v>
      </c>
    </row>
    <row r="22">
      <c r="A22" s="6" t="n">
        <v>1992</v>
      </c>
      <c r="B22" s="6" t="inlineStr">
        <is>
          <t>plata</t>
        </is>
      </c>
      <c r="C22" s="6" t="inlineStr">
        <is>
          <t>E2 Bruto/semilabrado</t>
        </is>
      </c>
      <c r="D22" s="6" t="n">
        <v>206749008</v>
      </c>
      <c r="E22" s="6" t="inlineStr">
        <is>
          <t>Estados Unidos</t>
        </is>
      </c>
      <c r="F22" s="6" t="n">
        <v>0.8464</v>
      </c>
      <c r="G22" s="6" t="n">
        <v>0</v>
      </c>
      <c r="H22" s="6" t="n">
        <v>0.8464</v>
      </c>
      <c r="I22" s="6" t="n">
        <v>14</v>
      </c>
    </row>
    <row r="23">
      <c r="A23" s="9" t="n">
        <v>1992</v>
      </c>
      <c r="B23" s="9" t="inlineStr">
        <is>
          <t>plomo</t>
        </is>
      </c>
      <c r="C23" s="9" t="inlineStr">
        <is>
          <t>E1 Mena/concentrado</t>
        </is>
      </c>
      <c r="D23" s="9" t="n">
        <v>1580000</v>
      </c>
      <c r="E23" s="9" t="inlineStr">
        <is>
          <t>Estados Unidos</t>
        </is>
      </c>
      <c r="F23" s="9" t="n">
        <v>1</v>
      </c>
      <c r="G23" s="9" t="n">
        <v>0</v>
      </c>
      <c r="H23" s="9" t="n">
        <v>1</v>
      </c>
      <c r="I23" s="9" t="n">
        <v>1</v>
      </c>
    </row>
    <row r="24">
      <c r="A24" s="6" t="n">
        <v>1992</v>
      </c>
      <c r="B24" s="6" t="inlineStr">
        <is>
          <t>plomo</t>
        </is>
      </c>
      <c r="C24" s="6" t="inlineStr">
        <is>
          <t>E2 Metal en bruto/refinado</t>
        </is>
      </c>
      <c r="D24" s="6" t="n">
        <v>55386000</v>
      </c>
      <c r="E24" s="6" t="inlineStr">
        <is>
          <t>Estados Unidos</t>
        </is>
      </c>
      <c r="F24" s="6" t="n">
        <v>0.5825</v>
      </c>
      <c r="G24" s="6" t="n">
        <v>0</v>
      </c>
      <c r="H24" s="6" t="n">
        <v>0.5825</v>
      </c>
      <c r="I24" s="6" t="n">
        <v>21</v>
      </c>
    </row>
    <row r="25">
      <c r="A25" s="9" t="n">
        <v>1992</v>
      </c>
      <c r="B25" s="9" t="inlineStr">
        <is>
          <t>plomo</t>
        </is>
      </c>
      <c r="C25" s="9" t="inlineStr">
        <is>
          <t>E3 Semimanufacturas</t>
        </is>
      </c>
      <c r="D25" s="9" t="n">
        <v>103000</v>
      </c>
      <c r="E25" s="9" t="inlineStr">
        <is>
          <t>Reino Unido</t>
        </is>
      </c>
      <c r="F25" s="9" t="n">
        <v>0.4369</v>
      </c>
      <c r="G25" s="9" t="n">
        <v>0</v>
      </c>
      <c r="H25" s="9" t="n">
        <v>0.0485</v>
      </c>
      <c r="I25" s="9" t="n">
        <v>4</v>
      </c>
    </row>
    <row r="26">
      <c r="A26" s="6" t="n">
        <v>1992</v>
      </c>
      <c r="B26" s="6" t="inlineStr">
        <is>
          <t>plomo</t>
        </is>
      </c>
      <c r="C26" s="6" t="inlineStr">
        <is>
          <t>E4 Manufacturas</t>
        </is>
      </c>
      <c r="D26" s="6" t="n">
        <v>780000</v>
      </c>
      <c r="E26" s="6" t="inlineStr">
        <is>
          <t>Estados Unidos</t>
        </is>
      </c>
      <c r="F26" s="6" t="n">
        <v>0.9295</v>
      </c>
      <c r="G26" s="6" t="n">
        <v>0</v>
      </c>
      <c r="H26" s="6" t="n">
        <v>0.9295</v>
      </c>
      <c r="I26" s="6" t="n">
        <v>8</v>
      </c>
    </row>
    <row r="27">
      <c r="A27" s="9" t="n">
        <v>1992</v>
      </c>
      <c r="B27" s="9" t="inlineStr">
        <is>
          <t>silice</t>
        </is>
      </c>
      <c r="C27" s="9" t="inlineStr">
        <is>
          <t>E1 Arena silica/cuarzo</t>
        </is>
      </c>
      <c r="D27" s="9" t="n">
        <v>624000</v>
      </c>
      <c r="E27" s="9" t="inlineStr">
        <is>
          <t>Costa Rica</t>
        </is>
      </c>
      <c r="F27" s="9" t="n">
        <v>0.9679</v>
      </c>
      <c r="G27" s="9" t="n">
        <v>0</v>
      </c>
      <c r="H27" s="9" t="n">
        <v>0.0208</v>
      </c>
      <c r="I27" s="9" t="n">
        <v>6</v>
      </c>
    </row>
    <row r="28">
      <c r="A28" s="6" t="n">
        <v>1992</v>
      </c>
      <c r="B28" s="6" t="inlineStr">
        <is>
          <t>silice</t>
        </is>
      </c>
      <c r="C28" s="6" t="inlineStr">
        <is>
          <t>E2 Silicio/ferrosilicio/SiO2</t>
        </is>
      </c>
      <c r="D28" s="6" t="n">
        <v>246000</v>
      </c>
      <c r="E28" s="6" t="inlineStr">
        <is>
          <t>Estados Unidos</t>
        </is>
      </c>
      <c r="F28" s="6" t="n">
        <v>0.4593</v>
      </c>
      <c r="G28" s="6" t="n">
        <v>0</v>
      </c>
      <c r="H28" s="6" t="n">
        <v>0.4593</v>
      </c>
      <c r="I28" s="6" t="n">
        <v>7</v>
      </c>
    </row>
    <row r="29">
      <c r="A29" s="9" t="n">
        <v>1992</v>
      </c>
      <c r="B29" s="9" t="inlineStr">
        <is>
          <t>zinc</t>
        </is>
      </c>
      <c r="C29" s="9" t="inlineStr">
        <is>
          <t>E1 Mena/concentrado</t>
        </is>
      </c>
      <c r="D29" s="9" t="n">
        <v>81135000</v>
      </c>
      <c r="E29" s="9" t="inlineStr">
        <is>
          <t>socio_58</t>
        </is>
      </c>
      <c r="F29" s="9" t="n">
        <v>0.2298</v>
      </c>
      <c r="G29" s="9" t="n">
        <v>0</v>
      </c>
      <c r="H29" s="9" t="n">
        <v>0.1451</v>
      </c>
      <c r="I29" s="9" t="n">
        <v>10</v>
      </c>
    </row>
    <row r="30">
      <c r="A30" s="6" t="n">
        <v>1992</v>
      </c>
      <c r="B30" s="6" t="inlineStr">
        <is>
          <t>zinc</t>
        </is>
      </c>
      <c r="C30" s="6" t="inlineStr">
        <is>
          <t>E2 Metal en bruto/refinado</t>
        </is>
      </c>
      <c r="D30" s="6" t="n">
        <v>48501000</v>
      </c>
      <c r="E30" s="6" t="inlineStr">
        <is>
          <t>Estados Unidos</t>
        </is>
      </c>
      <c r="F30" s="6" t="n">
        <v>0.8369</v>
      </c>
      <c r="G30" s="6" t="n">
        <v>0.0022</v>
      </c>
      <c r="H30" s="6" t="n">
        <v>0.8369</v>
      </c>
      <c r="I30" s="6" t="n">
        <v>17</v>
      </c>
    </row>
    <row r="31">
      <c r="A31" s="9" t="n">
        <v>1992</v>
      </c>
      <c r="B31" s="9" t="inlineStr">
        <is>
          <t>zinc</t>
        </is>
      </c>
      <c r="C31" s="9" t="inlineStr">
        <is>
          <t>E3 Semimanufacturas</t>
        </is>
      </c>
      <c r="D31" s="9" t="n">
        <v>8018000</v>
      </c>
      <c r="E31" s="9" t="inlineStr">
        <is>
          <t>Estados Unidos</t>
        </is>
      </c>
      <c r="F31" s="9" t="n">
        <v>0.9611</v>
      </c>
      <c r="G31" s="9" t="n">
        <v>0</v>
      </c>
      <c r="H31" s="9" t="n">
        <v>0.9611</v>
      </c>
      <c r="I31" s="9" t="n">
        <v>11</v>
      </c>
    </row>
    <row r="32">
      <c r="A32" s="6" t="n">
        <v>1992</v>
      </c>
      <c r="B32" s="6" t="inlineStr">
        <is>
          <t>zinc</t>
        </is>
      </c>
      <c r="C32" s="6" t="inlineStr">
        <is>
          <t>E4 Manufacturas</t>
        </is>
      </c>
      <c r="D32" s="6" t="n">
        <v>3917000</v>
      </c>
      <c r="E32" s="6" t="inlineStr">
        <is>
          <t>Estados Unidos</t>
        </is>
      </c>
      <c r="F32" s="6" t="n">
        <v>0.9592000000000001</v>
      </c>
      <c r="G32" s="6" t="n">
        <v>0</v>
      </c>
      <c r="H32" s="6" t="n">
        <v>0.9592000000000001</v>
      </c>
      <c r="I32" s="6" t="n">
        <v>9</v>
      </c>
    </row>
    <row r="33">
      <c r="A33" s="9" t="n">
        <v>1993</v>
      </c>
      <c r="B33" s="9" t="inlineStr">
        <is>
          <t>barita</t>
        </is>
      </c>
      <c r="C33" s="9" t="inlineStr">
        <is>
          <t>E1 Crudo/molido</t>
        </is>
      </c>
      <c r="D33" s="9" t="n">
        <v>4213000</v>
      </c>
      <c r="E33" s="9" t="inlineStr">
        <is>
          <t>Estados Unidos</t>
        </is>
      </c>
      <c r="F33" s="9" t="n">
        <v>1</v>
      </c>
      <c r="G33" s="9" t="n">
        <v>0</v>
      </c>
      <c r="H33" s="9" t="n">
        <v>1</v>
      </c>
      <c r="I33" s="9" t="n">
        <v>1</v>
      </c>
    </row>
    <row r="34">
      <c r="A34" s="6" t="n">
        <v>1993</v>
      </c>
      <c r="B34" s="6" t="inlineStr">
        <is>
          <t>barita</t>
        </is>
      </c>
      <c r="C34" s="6" t="inlineStr">
        <is>
          <t>E2 Quimicos de bario</t>
        </is>
      </c>
      <c r="D34" s="6" t="n">
        <v>1696000</v>
      </c>
      <c r="E34" s="6" t="inlineStr">
        <is>
          <t>Estados Unidos</t>
        </is>
      </c>
      <c r="F34" s="6" t="n">
        <v>0.9965000000000001</v>
      </c>
      <c r="G34" s="6" t="n">
        <v>0</v>
      </c>
      <c r="H34" s="6" t="n">
        <v>0.9965000000000001</v>
      </c>
      <c r="I34" s="6" t="n">
        <v>2</v>
      </c>
    </row>
    <row r="35">
      <c r="A35" s="9" t="n">
        <v>1993</v>
      </c>
      <c r="B35" s="9" t="inlineStr">
        <is>
          <t>cobre</t>
        </is>
      </c>
      <c r="C35" s="9" t="inlineStr">
        <is>
          <t>E1 Mena/concentrado</t>
        </is>
      </c>
      <c r="D35" s="9" t="n">
        <v>61000</v>
      </c>
      <c r="E35" s="9" t="inlineStr">
        <is>
          <t>Estados Unidos</t>
        </is>
      </c>
      <c r="F35" s="9" t="n">
        <v>1</v>
      </c>
      <c r="G35" s="9" t="n">
        <v>0</v>
      </c>
      <c r="H35" s="9" t="n">
        <v>1</v>
      </c>
      <c r="I35" s="9" t="n">
        <v>1</v>
      </c>
    </row>
    <row r="36">
      <c r="A36" s="6" t="n">
        <v>1993</v>
      </c>
      <c r="B36" s="6" t="inlineStr">
        <is>
          <t>cobre</t>
        </is>
      </c>
      <c r="C36" s="6" t="inlineStr">
        <is>
          <t>E2 Metal en bruto/refinado</t>
        </is>
      </c>
      <c r="D36" s="6" t="n">
        <v>360330000</v>
      </c>
      <c r="E36" s="6" t="inlineStr">
        <is>
          <t>Estados Unidos</t>
        </is>
      </c>
      <c r="F36" s="6" t="n">
        <v>0.512</v>
      </c>
      <c r="G36" s="6" t="n">
        <v>0</v>
      </c>
      <c r="H36" s="6" t="n">
        <v>0.512</v>
      </c>
      <c r="I36" s="6" t="n">
        <v>11</v>
      </c>
    </row>
    <row r="37">
      <c r="A37" s="9" t="n">
        <v>1993</v>
      </c>
      <c r="B37" s="9" t="inlineStr">
        <is>
          <t>cobre</t>
        </is>
      </c>
      <c r="C37" s="9" t="inlineStr">
        <is>
          <t>E3 Semimanufacturas</t>
        </is>
      </c>
      <c r="D37" s="9" t="n">
        <v>133665000</v>
      </c>
      <c r="E37" s="9" t="inlineStr">
        <is>
          <t>Estados Unidos</t>
        </is>
      </c>
      <c r="F37" s="9" t="n">
        <v>0.7738</v>
      </c>
      <c r="G37" s="9" t="n">
        <v>0</v>
      </c>
      <c r="H37" s="9" t="n">
        <v>0.7738</v>
      </c>
      <c r="I37" s="9" t="n">
        <v>31</v>
      </c>
    </row>
    <row r="38">
      <c r="A38" s="6" t="n">
        <v>1993</v>
      </c>
      <c r="B38" s="6" t="inlineStr">
        <is>
          <t>cobre</t>
        </is>
      </c>
      <c r="C38" s="6" t="inlineStr">
        <is>
          <t>E4 Manufacturas</t>
        </is>
      </c>
      <c r="D38" s="6" t="n">
        <v>28018000</v>
      </c>
      <c r="E38" s="6" t="inlineStr">
        <is>
          <t>Estados Unidos</t>
        </is>
      </c>
      <c r="F38" s="6" t="n">
        <v>0.9114</v>
      </c>
      <c r="G38" s="6" t="n">
        <v>0.0002</v>
      </c>
      <c r="H38" s="6" t="n">
        <v>0.9114</v>
      </c>
      <c r="I38" s="6" t="n">
        <v>28</v>
      </c>
    </row>
    <row r="39">
      <c r="A39" s="9" t="n">
        <v>1993</v>
      </c>
      <c r="B39" s="9" t="inlineStr">
        <is>
          <t>fluorita</t>
        </is>
      </c>
      <c r="C39" s="9" t="inlineStr">
        <is>
          <t>E1 Espato fluor (crudo)</t>
        </is>
      </c>
      <c r="D39" s="9" t="n">
        <v>9385000</v>
      </c>
      <c r="E39" s="9" t="inlineStr">
        <is>
          <t>Estados Unidos</t>
        </is>
      </c>
      <c r="F39" s="9" t="n">
        <v>0.669</v>
      </c>
      <c r="G39" s="9" t="n">
        <v>0</v>
      </c>
      <c r="H39" s="9" t="n">
        <v>0.669</v>
      </c>
      <c r="I39" s="9" t="n">
        <v>7</v>
      </c>
    </row>
    <row r="40">
      <c r="A40" s="6" t="n">
        <v>1993</v>
      </c>
      <c r="B40" s="6" t="inlineStr">
        <is>
          <t>fluorita</t>
        </is>
      </c>
      <c r="C40" s="6" t="inlineStr">
        <is>
          <t>E2 Fluoroquimica</t>
        </is>
      </c>
      <c r="D40" s="6" t="n">
        <v>79869000</v>
      </c>
      <c r="E40" s="6" t="inlineStr">
        <is>
          <t>Estados Unidos</t>
        </is>
      </c>
      <c r="F40" s="6" t="n">
        <v>0.7465000000000001</v>
      </c>
      <c r="G40" s="6" t="n">
        <v>0</v>
      </c>
      <c r="H40" s="6" t="n">
        <v>0.7465000000000001</v>
      </c>
      <c r="I40" s="6" t="n">
        <v>7</v>
      </c>
    </row>
    <row r="41">
      <c r="A41" s="9" t="n">
        <v>1993</v>
      </c>
      <c r="B41" s="9" t="inlineStr">
        <is>
          <t>grafito</t>
        </is>
      </c>
      <c r="C41" s="9" t="inlineStr">
        <is>
          <t>E1 Grafito natural</t>
        </is>
      </c>
      <c r="D41" s="9" t="n">
        <v>1995000</v>
      </c>
      <c r="E41" s="9" t="inlineStr">
        <is>
          <t>Estados Unidos</t>
        </is>
      </c>
      <c r="F41" s="9" t="n">
        <v>0.9534</v>
      </c>
      <c r="G41" s="9" t="n">
        <v>0</v>
      </c>
      <c r="H41" s="9" t="n">
        <v>0.9534</v>
      </c>
      <c r="I41" s="9" t="n">
        <v>4</v>
      </c>
    </row>
    <row r="42">
      <c r="A42" s="6" t="n">
        <v>1993</v>
      </c>
      <c r="B42" s="6" t="inlineStr">
        <is>
          <t>grafito</t>
        </is>
      </c>
      <c r="C42" s="6" t="inlineStr">
        <is>
          <t>E2 Grafito artificial/prep.</t>
        </is>
      </c>
      <c r="D42" s="6" t="n">
        <v>18272000</v>
      </c>
      <c r="E42" s="6" t="inlineStr">
        <is>
          <t>Estados Unidos</t>
        </is>
      </c>
      <c r="F42" s="6" t="n">
        <v>0.9917</v>
      </c>
      <c r="G42" s="6" t="n">
        <v>0.0068</v>
      </c>
      <c r="H42" s="6" t="n">
        <v>0.9917</v>
      </c>
      <c r="I42" s="6" t="n">
        <v>5</v>
      </c>
    </row>
    <row r="43">
      <c r="A43" s="9" t="n">
        <v>1993</v>
      </c>
      <c r="B43" s="9" t="inlineStr">
        <is>
          <t>grafito</t>
        </is>
      </c>
      <c r="C43" s="9" t="inlineStr">
        <is>
          <t>E3 Electrodos/articulos de carbono</t>
        </is>
      </c>
      <c r="D43" s="9" t="n">
        <v>13266000</v>
      </c>
      <c r="E43" s="9" t="inlineStr">
        <is>
          <t>Estados Unidos</t>
        </is>
      </c>
      <c r="F43" s="9" t="n">
        <v>0.2647</v>
      </c>
      <c r="G43" s="9" t="n">
        <v>0</v>
      </c>
      <c r="H43" s="9" t="n">
        <v>0.2647</v>
      </c>
      <c r="I43" s="9" t="n">
        <v>21</v>
      </c>
    </row>
    <row r="44">
      <c r="A44" s="6" t="n">
        <v>1993</v>
      </c>
      <c r="B44" s="6" t="inlineStr">
        <is>
          <t>manganeso</t>
        </is>
      </c>
      <c r="C44" s="6" t="inlineStr">
        <is>
          <t>E1 Mena/concentrado</t>
        </is>
      </c>
      <c r="D44" s="6" t="n">
        <v>8842000</v>
      </c>
      <c r="E44" s="6" t="inlineStr">
        <is>
          <t>Espana</t>
        </is>
      </c>
      <c r="F44" s="6" t="n">
        <v>0.2943</v>
      </c>
      <c r="G44" s="6" t="n">
        <v>0</v>
      </c>
      <c r="H44" s="6" t="n">
        <v>0.217</v>
      </c>
      <c r="I44" s="6" t="n">
        <v>13</v>
      </c>
    </row>
    <row r="45">
      <c r="A45" s="9" t="n">
        <v>1993</v>
      </c>
      <c r="B45" s="9" t="inlineStr">
        <is>
          <t>manganeso</t>
        </is>
      </c>
      <c r="C45" s="9" t="inlineStr">
        <is>
          <t>E2 Ferroaleaciones</t>
        </is>
      </c>
      <c r="D45" s="9" t="n">
        <v>35494000</v>
      </c>
      <c r="E45" s="9" t="inlineStr">
        <is>
          <t>Estados Unidos</t>
        </is>
      </c>
      <c r="F45" s="9" t="n">
        <v>0.8329</v>
      </c>
      <c r="G45" s="9" t="n">
        <v>0</v>
      </c>
      <c r="H45" s="9" t="n">
        <v>0.8329</v>
      </c>
      <c r="I45" s="9" t="n">
        <v>6</v>
      </c>
    </row>
    <row r="46">
      <c r="A46" s="6" t="n">
        <v>1993</v>
      </c>
      <c r="B46" s="6" t="inlineStr">
        <is>
          <t>manganeso</t>
        </is>
      </c>
      <c r="C46" s="6" t="inlineStr">
        <is>
          <t>E3 Quimicos/metal</t>
        </is>
      </c>
      <c r="D46" s="6" t="n">
        <v>570000</v>
      </c>
      <c r="E46" s="6" t="inlineStr">
        <is>
          <t>Guatemala</t>
        </is>
      </c>
      <c r="F46" s="6" t="n">
        <v>0.4789</v>
      </c>
      <c r="G46" s="6" t="n">
        <v>0</v>
      </c>
      <c r="H46" s="6" t="n">
        <v>0.0035</v>
      </c>
      <c r="I46" s="6" t="n">
        <v>7</v>
      </c>
    </row>
    <row r="47">
      <c r="A47" s="9" t="n">
        <v>1993</v>
      </c>
      <c r="B47" s="9" t="inlineStr">
        <is>
          <t>oro</t>
        </is>
      </c>
      <c r="C47" s="9" t="inlineStr">
        <is>
          <t>E1 Mena/concentrado</t>
        </is>
      </c>
      <c r="D47" s="9" t="n">
        <v>75000</v>
      </c>
      <c r="E47" s="9" t="inlineStr">
        <is>
          <t>Estados Unidos</t>
        </is>
      </c>
      <c r="F47" s="9" t="n">
        <v>0.9067</v>
      </c>
      <c r="G47" s="9" t="n">
        <v>0</v>
      </c>
      <c r="H47" s="9" t="n">
        <v>0.9067</v>
      </c>
      <c r="I47" s="9" t="n">
        <v>2</v>
      </c>
    </row>
    <row r="48">
      <c r="A48" s="6" t="n">
        <v>1993</v>
      </c>
      <c r="B48" s="6" t="inlineStr">
        <is>
          <t>oro</t>
        </is>
      </c>
      <c r="C48" s="6" t="inlineStr">
        <is>
          <t>E2 Bruto/semilabrado</t>
        </is>
      </c>
      <c r="D48" s="6" t="n">
        <v>52621000</v>
      </c>
      <c r="E48" s="6" t="inlineStr">
        <is>
          <t>Italia</t>
        </is>
      </c>
      <c r="F48" s="6" t="n">
        <v>0.5466</v>
      </c>
      <c r="G48" s="6" t="n">
        <v>0</v>
      </c>
      <c r="H48" s="6" t="n">
        <v>0.4117</v>
      </c>
      <c r="I48" s="6" t="n">
        <v>7</v>
      </c>
    </row>
    <row r="49">
      <c r="A49" s="9" t="n">
        <v>1993</v>
      </c>
      <c r="B49" s="9" t="inlineStr">
        <is>
          <t>oro-plata (manufacturas)</t>
        </is>
      </c>
      <c r="C49" s="9" t="inlineStr">
        <is>
          <t>E4 Joyeria/orfebreria</t>
        </is>
      </c>
      <c r="D49" s="9" t="n">
        <v>50323000</v>
      </c>
      <c r="E49" s="9" t="inlineStr">
        <is>
          <t>Estados Unidos</t>
        </is>
      </c>
      <c r="F49" s="9" t="n">
        <v>0.8573</v>
      </c>
      <c r="G49" s="9" t="n">
        <v>0</v>
      </c>
      <c r="H49" s="9" t="n">
        <v>0.8573</v>
      </c>
      <c r="I49" s="9" t="n">
        <v>39</v>
      </c>
    </row>
    <row r="50">
      <c r="A50" s="6" t="n">
        <v>1993</v>
      </c>
      <c r="B50" s="6" t="inlineStr">
        <is>
          <t>plata</t>
        </is>
      </c>
      <c r="C50" s="6" t="inlineStr">
        <is>
          <t>E1 Mena/concentrado</t>
        </is>
      </c>
      <c r="D50" s="6" t="n">
        <v>1231000</v>
      </c>
      <c r="E50" s="6" t="inlineStr">
        <is>
          <t>Canada</t>
        </is>
      </c>
      <c r="F50" s="6" t="n">
        <v>0.87</v>
      </c>
      <c r="G50" s="6" t="n">
        <v>0</v>
      </c>
      <c r="H50" s="6" t="n">
        <v>0.13</v>
      </c>
      <c r="I50" s="6" t="n">
        <v>2</v>
      </c>
    </row>
    <row r="51">
      <c r="A51" s="9" t="n">
        <v>1993</v>
      </c>
      <c r="B51" s="9" t="inlineStr">
        <is>
          <t>plata</t>
        </is>
      </c>
      <c r="C51" s="9" t="inlineStr">
        <is>
          <t>E2 Bruto/semilabrado</t>
        </is>
      </c>
      <c r="D51" s="9" t="n">
        <v>186176000</v>
      </c>
      <c r="E51" s="9" t="inlineStr">
        <is>
          <t>Estados Unidos</t>
        </is>
      </c>
      <c r="F51" s="9" t="n">
        <v>0.9379</v>
      </c>
      <c r="G51" s="9" t="n">
        <v>0</v>
      </c>
      <c r="H51" s="9" t="n">
        <v>0.9379</v>
      </c>
      <c r="I51" s="9" t="n">
        <v>9</v>
      </c>
    </row>
    <row r="52">
      <c r="A52" s="6" t="n">
        <v>1993</v>
      </c>
      <c r="B52" s="6" t="inlineStr">
        <is>
          <t>plomo</t>
        </is>
      </c>
      <c r="C52" s="6" t="inlineStr">
        <is>
          <t>E1 Mena/concentrado</t>
        </is>
      </c>
      <c r="D52" s="6" t="n">
        <v>293000</v>
      </c>
      <c r="E52" s="6" t="inlineStr">
        <is>
          <t>Estados Unidos</t>
        </is>
      </c>
      <c r="F52" s="6" t="n">
        <v>1</v>
      </c>
      <c r="G52" s="6" t="n">
        <v>0</v>
      </c>
      <c r="H52" s="6" t="n">
        <v>1</v>
      </c>
      <c r="I52" s="6" t="n">
        <v>1</v>
      </c>
    </row>
    <row r="53">
      <c r="A53" s="9" t="n">
        <v>1993</v>
      </c>
      <c r="B53" s="9" t="inlineStr">
        <is>
          <t>plomo</t>
        </is>
      </c>
      <c r="C53" s="9" t="inlineStr">
        <is>
          <t>E2 Metal en bruto/refinado</t>
        </is>
      </c>
      <c r="D53" s="9" t="n">
        <v>42323000</v>
      </c>
      <c r="E53" s="9" t="inlineStr">
        <is>
          <t>Estados Unidos</t>
        </is>
      </c>
      <c r="F53" s="9" t="n">
        <v>0.545</v>
      </c>
      <c r="G53" s="9" t="n">
        <v>0.0009</v>
      </c>
      <c r="H53" s="9" t="n">
        <v>0.545</v>
      </c>
      <c r="I53" s="9" t="n">
        <v>18</v>
      </c>
    </row>
    <row r="54">
      <c r="A54" s="6" t="n">
        <v>1993</v>
      </c>
      <c r="B54" s="6" t="inlineStr">
        <is>
          <t>plomo</t>
        </is>
      </c>
      <c r="C54" s="6" t="inlineStr">
        <is>
          <t>E3 Semimanufacturas</t>
        </is>
      </c>
      <c r="D54" s="6" t="n">
        <v>28000</v>
      </c>
      <c r="E54" s="6" t="inlineStr">
        <is>
          <t>Venezuela</t>
        </is>
      </c>
      <c r="F54" s="6" t="n">
        <v>0.7143</v>
      </c>
      <c r="G54" s="6" t="n">
        <v>0</v>
      </c>
      <c r="H54" s="6" t="n">
        <v>0.1429</v>
      </c>
      <c r="I54" s="6" t="n">
        <v>3</v>
      </c>
    </row>
    <row r="55">
      <c r="A55" s="9" t="n">
        <v>1993</v>
      </c>
      <c r="B55" s="9" t="inlineStr">
        <is>
          <t>plomo</t>
        </is>
      </c>
      <c r="C55" s="9" t="inlineStr">
        <is>
          <t>E4 Manufacturas</t>
        </is>
      </c>
      <c r="D55" s="9" t="n">
        <v>870000</v>
      </c>
      <c r="E55" s="9" t="inlineStr">
        <is>
          <t>Estados Unidos</t>
        </is>
      </c>
      <c r="F55" s="9" t="n">
        <v>0.9425</v>
      </c>
      <c r="G55" s="9" t="n">
        <v>0</v>
      </c>
      <c r="H55" s="9" t="n">
        <v>0.9425</v>
      </c>
      <c r="I55" s="9" t="n">
        <v>8</v>
      </c>
    </row>
    <row r="56">
      <c r="A56" s="6" t="n">
        <v>1993</v>
      </c>
      <c r="B56" s="6" t="inlineStr">
        <is>
          <t>silice</t>
        </is>
      </c>
      <c r="C56" s="6" t="inlineStr">
        <is>
          <t>E1 Arena silica/cuarzo</t>
        </is>
      </c>
      <c r="D56" s="6" t="n">
        <v>957000</v>
      </c>
      <c r="E56" s="6" t="inlineStr">
        <is>
          <t>Costa Rica</t>
        </is>
      </c>
      <c r="F56" s="6" t="n">
        <v>0.8777</v>
      </c>
      <c r="G56" s="6" t="n">
        <v>0</v>
      </c>
      <c r="H56" s="6" t="n">
        <v>0.0303</v>
      </c>
      <c r="I56" s="6" t="n">
        <v>6</v>
      </c>
    </row>
    <row r="57">
      <c r="A57" s="9" t="n">
        <v>1993</v>
      </c>
      <c r="B57" s="9" t="inlineStr">
        <is>
          <t>silice</t>
        </is>
      </c>
      <c r="C57" s="9" t="inlineStr">
        <is>
          <t>E2 Silicio/ferrosilicio/SiO2</t>
        </is>
      </c>
      <c r="D57" s="9" t="n">
        <v>478000</v>
      </c>
      <c r="E57" s="9" t="inlineStr">
        <is>
          <t>Estados Unidos</t>
        </is>
      </c>
      <c r="F57" s="9" t="n">
        <v>0.7762</v>
      </c>
      <c r="G57" s="9" t="n">
        <v>0</v>
      </c>
      <c r="H57" s="9" t="n">
        <v>0.7762</v>
      </c>
      <c r="I57" s="9" t="n">
        <v>9</v>
      </c>
    </row>
    <row r="58">
      <c r="A58" s="6" t="n">
        <v>1993</v>
      </c>
      <c r="B58" s="6" t="inlineStr">
        <is>
          <t>zinc</t>
        </is>
      </c>
      <c r="C58" s="6" t="inlineStr">
        <is>
          <t>E1 Mena/concentrado</t>
        </is>
      </c>
      <c r="D58" s="6" t="n">
        <v>58381000</v>
      </c>
      <c r="E58" s="6" t="inlineStr">
        <is>
          <t>Suiza</t>
        </is>
      </c>
      <c r="F58" s="6" t="n">
        <v>0.28</v>
      </c>
      <c r="G58" s="6" t="n">
        <v>0</v>
      </c>
      <c r="H58" s="6" t="n">
        <v>0.1781</v>
      </c>
      <c r="I58" s="6" t="n">
        <v>10</v>
      </c>
    </row>
    <row r="59">
      <c r="A59" s="9" t="n">
        <v>1993</v>
      </c>
      <c r="B59" s="9" t="inlineStr">
        <is>
          <t>zinc</t>
        </is>
      </c>
      <c r="C59" s="9" t="inlineStr">
        <is>
          <t>E2 Metal en bruto/refinado</t>
        </is>
      </c>
      <c r="D59" s="9" t="n">
        <v>84903000</v>
      </c>
      <c r="E59" s="9" t="inlineStr">
        <is>
          <t>Estados Unidos</t>
        </is>
      </c>
      <c r="F59" s="9" t="n">
        <v>0.8457</v>
      </c>
      <c r="G59" s="9" t="n">
        <v>0</v>
      </c>
      <c r="H59" s="9" t="n">
        <v>0.8457</v>
      </c>
      <c r="I59" s="9" t="n">
        <v>20</v>
      </c>
    </row>
    <row r="60">
      <c r="A60" s="6" t="n">
        <v>1993</v>
      </c>
      <c r="B60" s="6" t="inlineStr">
        <is>
          <t>zinc</t>
        </is>
      </c>
      <c r="C60" s="6" t="inlineStr">
        <is>
          <t>E3 Semimanufacturas</t>
        </is>
      </c>
      <c r="D60" s="6" t="n">
        <v>37221000</v>
      </c>
      <c r="E60" s="6" t="inlineStr">
        <is>
          <t>Estados Unidos</t>
        </is>
      </c>
      <c r="F60" s="6" t="n">
        <v>0.9837</v>
      </c>
      <c r="G60" s="6" t="n">
        <v>0</v>
      </c>
      <c r="H60" s="6" t="n">
        <v>0.9837</v>
      </c>
      <c r="I60" s="6" t="n">
        <v>15</v>
      </c>
    </row>
    <row r="61">
      <c r="A61" s="9" t="n">
        <v>1993</v>
      </c>
      <c r="B61" s="9" t="inlineStr">
        <is>
          <t>zinc</t>
        </is>
      </c>
      <c r="C61" s="9" t="inlineStr">
        <is>
          <t>E4 Manufacturas</t>
        </is>
      </c>
      <c r="D61" s="9" t="n">
        <v>2566000</v>
      </c>
      <c r="E61" s="9" t="inlineStr">
        <is>
          <t>Estados Unidos</t>
        </is>
      </c>
      <c r="F61" s="9" t="n">
        <v>0.8531</v>
      </c>
      <c r="G61" s="9" t="n">
        <v>0</v>
      </c>
      <c r="H61" s="9" t="n">
        <v>0.8531</v>
      </c>
      <c r="I61" s="9" t="n">
        <v>14</v>
      </c>
    </row>
    <row r="62">
      <c r="A62" s="6" t="n">
        <v>1994</v>
      </c>
      <c r="B62" s="6" t="inlineStr">
        <is>
          <t>barita</t>
        </is>
      </c>
      <c r="C62" s="6" t="inlineStr">
        <is>
          <t>E1 Crudo/molido</t>
        </is>
      </c>
      <c r="D62" s="6" t="n">
        <v>4690693</v>
      </c>
      <c r="E62" s="6" t="inlineStr">
        <is>
          <t>Estados Unidos</t>
        </is>
      </c>
      <c r="F62" s="6" t="n">
        <v>0.7862</v>
      </c>
      <c r="G62" s="6" t="n">
        <v>0</v>
      </c>
      <c r="H62" s="6" t="n">
        <v>0.7862</v>
      </c>
      <c r="I62" s="6" t="n">
        <v>4</v>
      </c>
    </row>
    <row r="63">
      <c r="A63" s="9" t="n">
        <v>1994</v>
      </c>
      <c r="B63" s="9" t="inlineStr">
        <is>
          <t>barita</t>
        </is>
      </c>
      <c r="C63" s="9" t="inlineStr">
        <is>
          <t>E2 Quimicos de bario</t>
        </is>
      </c>
      <c r="D63" s="9" t="n">
        <v>3183808</v>
      </c>
      <c r="E63" s="9" t="inlineStr">
        <is>
          <t>Estados Unidos</t>
        </is>
      </c>
      <c r="F63" s="9" t="n">
        <v>0.9988</v>
      </c>
      <c r="G63" s="9" t="n">
        <v>0</v>
      </c>
      <c r="H63" s="9" t="n">
        <v>0.9988</v>
      </c>
      <c r="I63" s="9" t="n">
        <v>3</v>
      </c>
    </row>
    <row r="64">
      <c r="A64" s="6" t="n">
        <v>1994</v>
      </c>
      <c r="B64" s="6" t="inlineStr">
        <is>
          <t>cobre</t>
        </is>
      </c>
      <c r="C64" s="6" t="inlineStr">
        <is>
          <t>E1 Mena/concentrado</t>
        </is>
      </c>
      <c r="D64" s="6" t="n">
        <v>4748557</v>
      </c>
      <c r="E64" s="6" t="inlineStr">
        <is>
          <t>Estados Unidos</t>
        </is>
      </c>
      <c r="F64" s="6" t="n">
        <v>1</v>
      </c>
      <c r="G64" s="6" t="n">
        <v>0</v>
      </c>
      <c r="H64" s="6" t="n">
        <v>1</v>
      </c>
      <c r="I64" s="6" t="n">
        <v>1</v>
      </c>
    </row>
    <row r="65">
      <c r="A65" s="9" t="n">
        <v>1994</v>
      </c>
      <c r="B65" s="9" t="inlineStr">
        <is>
          <t>cobre</t>
        </is>
      </c>
      <c r="C65" s="9" t="inlineStr">
        <is>
          <t>E2 Metal en bruto/refinado</t>
        </is>
      </c>
      <c r="D65" s="9" t="n">
        <v>370218348</v>
      </c>
      <c r="E65" s="9" t="inlineStr">
        <is>
          <t>Estados Unidos</t>
        </is>
      </c>
      <c r="F65" s="9" t="n">
        <v>0.5673</v>
      </c>
      <c r="G65" s="9" t="n">
        <v>0</v>
      </c>
      <c r="H65" s="9" t="n">
        <v>0.5673</v>
      </c>
      <c r="I65" s="9" t="n">
        <v>13</v>
      </c>
    </row>
    <row r="66">
      <c r="A66" s="6" t="n">
        <v>1994</v>
      </c>
      <c r="B66" s="6" t="inlineStr">
        <is>
          <t>cobre</t>
        </is>
      </c>
      <c r="C66" s="6" t="inlineStr">
        <is>
          <t>E3 Semimanufacturas</t>
        </is>
      </c>
      <c r="D66" s="6" t="n">
        <v>113204365</v>
      </c>
      <c r="E66" s="6" t="inlineStr">
        <is>
          <t>Estados Unidos</t>
        </is>
      </c>
      <c r="F66" s="6" t="n">
        <v>0.7616000000000001</v>
      </c>
      <c r="G66" s="6" t="n">
        <v>0</v>
      </c>
      <c r="H66" s="6" t="n">
        <v>0.7616000000000001</v>
      </c>
      <c r="I66" s="6" t="n">
        <v>36</v>
      </c>
    </row>
    <row r="67">
      <c r="A67" s="9" t="n">
        <v>1994</v>
      </c>
      <c r="B67" s="9" t="inlineStr">
        <is>
          <t>cobre</t>
        </is>
      </c>
      <c r="C67" s="9" t="inlineStr">
        <is>
          <t>E4 Manufacturas</t>
        </is>
      </c>
      <c r="D67" s="9" t="n">
        <v>36252008</v>
      </c>
      <c r="E67" s="9" t="inlineStr">
        <is>
          <t>Estados Unidos</t>
        </is>
      </c>
      <c r="F67" s="9" t="n">
        <v>0.7678</v>
      </c>
      <c r="G67" s="9" t="n">
        <v>0</v>
      </c>
      <c r="H67" s="9" t="n">
        <v>0.7678</v>
      </c>
      <c r="I67" s="9" t="n">
        <v>30</v>
      </c>
    </row>
    <row r="68">
      <c r="A68" s="6" t="n">
        <v>1994</v>
      </c>
      <c r="B68" s="6" t="inlineStr">
        <is>
          <t>fluorita</t>
        </is>
      </c>
      <c r="C68" s="6" t="inlineStr">
        <is>
          <t>E1 Espato fluor (crudo)</t>
        </is>
      </c>
      <c r="D68" s="6" t="n">
        <v>15135902</v>
      </c>
      <c r="E68" s="6" t="inlineStr">
        <is>
          <t>Estados Unidos</t>
        </is>
      </c>
      <c r="F68" s="6" t="n">
        <v>0.7518</v>
      </c>
      <c r="G68" s="6" t="n">
        <v>0</v>
      </c>
      <c r="H68" s="6" t="n">
        <v>0.7518</v>
      </c>
      <c r="I68" s="6" t="n">
        <v>8</v>
      </c>
    </row>
    <row r="69">
      <c r="A69" s="9" t="n">
        <v>1994</v>
      </c>
      <c r="B69" s="9" t="inlineStr">
        <is>
          <t>fluorita</t>
        </is>
      </c>
      <c r="C69" s="9" t="inlineStr">
        <is>
          <t>E2 Fluoroquimica</t>
        </is>
      </c>
      <c r="D69" s="9" t="n">
        <v>81006940</v>
      </c>
      <c r="E69" s="9" t="inlineStr">
        <is>
          <t>Estados Unidos</t>
        </is>
      </c>
      <c r="F69" s="9" t="n">
        <v>0.7329</v>
      </c>
      <c r="G69" s="9" t="n">
        <v>0</v>
      </c>
      <c r="H69" s="9" t="n">
        <v>0.7329</v>
      </c>
      <c r="I69" s="9" t="n">
        <v>11</v>
      </c>
    </row>
    <row r="70">
      <c r="A70" s="6" t="n">
        <v>1994</v>
      </c>
      <c r="B70" s="6" t="inlineStr">
        <is>
          <t>grafito</t>
        </is>
      </c>
      <c r="C70" s="6" t="inlineStr">
        <is>
          <t>E1 Grafito natural</t>
        </is>
      </c>
      <c r="D70" s="6" t="n">
        <v>2376785</v>
      </c>
      <c r="E70" s="6" t="inlineStr">
        <is>
          <t>Estados Unidos</t>
        </is>
      </c>
      <c r="F70" s="6" t="n">
        <v>0.978</v>
      </c>
      <c r="G70" s="6" t="n">
        <v>0</v>
      </c>
      <c r="H70" s="6" t="n">
        <v>0.978</v>
      </c>
      <c r="I70" s="6" t="n">
        <v>5</v>
      </c>
    </row>
    <row r="71">
      <c r="A71" s="9" t="n">
        <v>1994</v>
      </c>
      <c r="B71" s="9" t="inlineStr">
        <is>
          <t>grafito</t>
        </is>
      </c>
      <c r="C71" s="9" t="inlineStr">
        <is>
          <t>E2 Grafito artificial/prep.</t>
        </is>
      </c>
      <c r="D71" s="9" t="n">
        <v>16102270</v>
      </c>
      <c r="E71" s="9" t="inlineStr">
        <is>
          <t>Estados Unidos</t>
        </is>
      </c>
      <c r="F71" s="9" t="n">
        <v>0.9959</v>
      </c>
      <c r="G71" s="9" t="n">
        <v>0</v>
      </c>
      <c r="H71" s="9" t="n">
        <v>0.9959</v>
      </c>
      <c r="I71" s="9" t="n">
        <v>6</v>
      </c>
    </row>
    <row r="72">
      <c r="A72" s="6" t="n">
        <v>1994</v>
      </c>
      <c r="B72" s="6" t="inlineStr">
        <is>
          <t>grafito</t>
        </is>
      </c>
      <c r="C72" s="6" t="inlineStr">
        <is>
          <t>E3 Electrodos/articulos de carbono</t>
        </is>
      </c>
      <c r="D72" s="6" t="n">
        <v>19876626</v>
      </c>
      <c r="E72" s="6" t="inlineStr">
        <is>
          <t>Estados Unidos</t>
        </is>
      </c>
      <c r="F72" s="6" t="n">
        <v>0.324</v>
      </c>
      <c r="G72" s="6" t="n">
        <v>0</v>
      </c>
      <c r="H72" s="6" t="n">
        <v>0.324</v>
      </c>
      <c r="I72" s="6" t="n">
        <v>19</v>
      </c>
    </row>
    <row r="73">
      <c r="A73" s="9" t="n">
        <v>1994</v>
      </c>
      <c r="B73" s="9" t="inlineStr">
        <is>
          <t>manganeso</t>
        </is>
      </c>
      <c r="C73" s="9" t="inlineStr">
        <is>
          <t>E1 Mena/concentrado</t>
        </is>
      </c>
      <c r="D73" s="9" t="n">
        <v>3910169</v>
      </c>
      <c r="E73" s="9" t="inlineStr">
        <is>
          <t>Estados Unidos</t>
        </is>
      </c>
      <c r="F73" s="9" t="n">
        <v>0.5056</v>
      </c>
      <c r="G73" s="9" t="n">
        <v>0</v>
      </c>
      <c r="H73" s="9" t="n">
        <v>0.5056</v>
      </c>
      <c r="I73" s="9" t="n">
        <v>9</v>
      </c>
    </row>
    <row r="74">
      <c r="A74" s="6" t="n">
        <v>1994</v>
      </c>
      <c r="B74" s="6" t="inlineStr">
        <is>
          <t>manganeso</t>
        </is>
      </c>
      <c r="C74" s="6" t="inlineStr">
        <is>
          <t>E2 Ferroaleaciones</t>
        </is>
      </c>
      <c r="D74" s="6" t="n">
        <v>32026826</v>
      </c>
      <c r="E74" s="6" t="inlineStr">
        <is>
          <t>Estados Unidos</t>
        </is>
      </c>
      <c r="F74" s="6" t="n">
        <v>0.8001</v>
      </c>
      <c r="G74" s="6" t="n">
        <v>0</v>
      </c>
      <c r="H74" s="6" t="n">
        <v>0.8001</v>
      </c>
      <c r="I74" s="6" t="n">
        <v>11</v>
      </c>
    </row>
    <row r="75">
      <c r="A75" s="9" t="n">
        <v>1994</v>
      </c>
      <c r="B75" s="9" t="inlineStr">
        <is>
          <t>manganeso</t>
        </is>
      </c>
      <c r="C75" s="9" t="inlineStr">
        <is>
          <t>E3 Quimicos/metal</t>
        </is>
      </c>
      <c r="D75" s="9" t="n">
        <v>1691298</v>
      </c>
      <c r="E75" s="9" t="inlineStr">
        <is>
          <t>Estados Unidos</t>
        </is>
      </c>
      <c r="F75" s="9" t="n">
        <v>0.3366</v>
      </c>
      <c r="G75" s="9" t="n">
        <v>0</v>
      </c>
      <c r="H75" s="9" t="n">
        <v>0.3366</v>
      </c>
      <c r="I75" s="9" t="n">
        <v>14</v>
      </c>
    </row>
    <row r="76">
      <c r="A76" s="6" t="n">
        <v>1994</v>
      </c>
      <c r="B76" s="6" t="inlineStr">
        <is>
          <t>oro</t>
        </is>
      </c>
      <c r="C76" s="6" t="inlineStr">
        <is>
          <t>E1 Mena/concentrado</t>
        </is>
      </c>
      <c r="D76" s="6" t="n">
        <v>13441</v>
      </c>
      <c r="E76" s="6" t="inlineStr">
        <is>
          <t>Estados Unidos</t>
        </is>
      </c>
      <c r="F76" s="6" t="n">
        <v>0.9368</v>
      </c>
      <c r="G76" s="6" t="n">
        <v>0</v>
      </c>
      <c r="H76" s="6" t="n">
        <v>0.9368</v>
      </c>
      <c r="I76" s="6" t="n">
        <v>2</v>
      </c>
    </row>
    <row r="77">
      <c r="A77" s="9" t="n">
        <v>1994</v>
      </c>
      <c r="B77" s="9" t="inlineStr">
        <is>
          <t>oro</t>
        </is>
      </c>
      <c r="C77" s="9" t="inlineStr">
        <is>
          <t>E2 Bruto/semilabrado</t>
        </is>
      </c>
      <c r="D77" s="9" t="n">
        <v>78879612</v>
      </c>
      <c r="E77" s="9" t="inlineStr">
        <is>
          <t>Estados Unidos</t>
        </is>
      </c>
      <c r="F77" s="9" t="n">
        <v>0.7758</v>
      </c>
      <c r="G77" s="9" t="n">
        <v>0</v>
      </c>
      <c r="H77" s="9" t="n">
        <v>0.7758</v>
      </c>
      <c r="I77" s="9" t="n">
        <v>4</v>
      </c>
    </row>
    <row r="78">
      <c r="A78" s="6" t="n">
        <v>1994</v>
      </c>
      <c r="B78" s="6" t="inlineStr">
        <is>
          <t>oro-plata (manufacturas)</t>
        </is>
      </c>
      <c r="C78" s="6" t="inlineStr">
        <is>
          <t>E4 Joyeria/orfebreria</t>
        </is>
      </c>
      <c r="D78" s="6" t="n">
        <v>71155204</v>
      </c>
      <c r="E78" s="6" t="inlineStr">
        <is>
          <t>Estados Unidos</t>
        </is>
      </c>
      <c r="F78" s="6" t="n">
        <v>0.9002</v>
      </c>
      <c r="G78" s="6" t="n">
        <v>0</v>
      </c>
      <c r="H78" s="6" t="n">
        <v>0.9002</v>
      </c>
      <c r="I78" s="6" t="n">
        <v>41</v>
      </c>
    </row>
    <row r="79">
      <c r="A79" s="9" t="n">
        <v>1994</v>
      </c>
      <c r="B79" s="9" t="inlineStr">
        <is>
          <t>plata</t>
        </is>
      </c>
      <c r="C79" s="9" t="inlineStr">
        <is>
          <t>E1 Mena/concentrado</t>
        </is>
      </c>
      <c r="D79" s="9" t="n">
        <v>23815</v>
      </c>
      <c r="E79" s="9" t="inlineStr">
        <is>
          <t>Estados Unidos</t>
        </is>
      </c>
      <c r="F79" s="9" t="n">
        <v>1</v>
      </c>
      <c r="G79" s="9" t="n">
        <v>0</v>
      </c>
      <c r="H79" s="9" t="n">
        <v>1</v>
      </c>
      <c r="I79" s="9" t="n">
        <v>1</v>
      </c>
    </row>
    <row r="80">
      <c r="A80" s="6" t="n">
        <v>1994</v>
      </c>
      <c r="B80" s="6" t="inlineStr">
        <is>
          <t>plata</t>
        </is>
      </c>
      <c r="C80" s="6" t="inlineStr">
        <is>
          <t>E2 Bruto/semilabrado</t>
        </is>
      </c>
      <c r="D80" s="6" t="n">
        <v>214312344</v>
      </c>
      <c r="E80" s="6" t="inlineStr">
        <is>
          <t>Estados Unidos</t>
        </is>
      </c>
      <c r="F80" s="6" t="n">
        <v>0.4909</v>
      </c>
      <c r="G80" s="6" t="n">
        <v>0</v>
      </c>
      <c r="H80" s="6" t="n">
        <v>0.4909</v>
      </c>
      <c r="I80" s="6" t="n">
        <v>13</v>
      </c>
    </row>
    <row r="81">
      <c r="A81" s="9" t="n">
        <v>1994</v>
      </c>
      <c r="B81" s="9" t="inlineStr">
        <is>
          <t>plomo</t>
        </is>
      </c>
      <c r="C81" s="9" t="inlineStr">
        <is>
          <t>E2 Metal en bruto/refinado</t>
        </is>
      </c>
      <c r="D81" s="9" t="n">
        <v>32658839</v>
      </c>
      <c r="E81" s="9" t="inlineStr">
        <is>
          <t>Estados Unidos</t>
        </is>
      </c>
      <c r="F81" s="9" t="n">
        <v>0.5294</v>
      </c>
      <c r="G81" s="9" t="n">
        <v>0</v>
      </c>
      <c r="H81" s="9" t="n">
        <v>0.5294</v>
      </c>
      <c r="I81" s="9" t="n">
        <v>18</v>
      </c>
    </row>
    <row r="82">
      <c r="A82" s="6" t="n">
        <v>1994</v>
      </c>
      <c r="B82" s="6" t="inlineStr">
        <is>
          <t>plomo</t>
        </is>
      </c>
      <c r="C82" s="6" t="inlineStr">
        <is>
          <t>E3 Semimanufacturas</t>
        </is>
      </c>
      <c r="D82" s="6" t="n">
        <v>37806</v>
      </c>
      <c r="E82" s="6" t="inlineStr">
        <is>
          <t>Cuba</t>
        </is>
      </c>
      <c r="F82" s="6" t="n">
        <v>0.538</v>
      </c>
      <c r="G82" s="6" t="n">
        <v>0</v>
      </c>
      <c r="H82" s="6" t="n">
        <v>0.462</v>
      </c>
      <c r="I82" s="6" t="n">
        <v>2</v>
      </c>
    </row>
    <row r="83">
      <c r="A83" s="9" t="n">
        <v>1994</v>
      </c>
      <c r="B83" s="9" t="inlineStr">
        <is>
          <t>plomo</t>
        </is>
      </c>
      <c r="C83" s="9" t="inlineStr">
        <is>
          <t>E4 Manufacturas</t>
        </is>
      </c>
      <c r="D83" s="9" t="n">
        <v>1403275</v>
      </c>
      <c r="E83" s="9" t="inlineStr">
        <is>
          <t>Estados Unidos</t>
        </is>
      </c>
      <c r="F83" s="9" t="n">
        <v>0.9846</v>
      </c>
      <c r="G83" s="9" t="n">
        <v>0</v>
      </c>
      <c r="H83" s="9" t="n">
        <v>0.9846</v>
      </c>
      <c r="I83" s="9" t="n">
        <v>7</v>
      </c>
    </row>
    <row r="84">
      <c r="A84" s="6" t="n">
        <v>1994</v>
      </c>
      <c r="B84" s="6" t="inlineStr">
        <is>
          <t>silice</t>
        </is>
      </c>
      <c r="C84" s="6" t="inlineStr">
        <is>
          <t>E1 Arena silica/cuarzo</t>
        </is>
      </c>
      <c r="D84" s="6" t="n">
        <v>382913</v>
      </c>
      <c r="E84" s="6" t="inlineStr">
        <is>
          <t>Costa Rica</t>
        </is>
      </c>
      <c r="F84" s="6" t="n">
        <v>0.5982</v>
      </c>
      <c r="G84" s="6" t="n">
        <v>0</v>
      </c>
      <c r="H84" s="6" t="n">
        <v>0.2023</v>
      </c>
      <c r="I84" s="6" t="n">
        <v>9</v>
      </c>
    </row>
    <row r="85">
      <c r="A85" s="9" t="n">
        <v>1994</v>
      </c>
      <c r="B85" s="9" t="inlineStr">
        <is>
          <t>silice</t>
        </is>
      </c>
      <c r="C85" s="9" t="inlineStr">
        <is>
          <t>E2 Silicio/ferrosilicio/SiO2</t>
        </is>
      </c>
      <c r="D85" s="9" t="n">
        <v>1023489</v>
      </c>
      <c r="E85" s="9" t="inlineStr">
        <is>
          <t>Estados Unidos</t>
        </is>
      </c>
      <c r="F85" s="9" t="n">
        <v>0.4864</v>
      </c>
      <c r="G85" s="9" t="n">
        <v>0</v>
      </c>
      <c r="H85" s="9" t="n">
        <v>0.4864</v>
      </c>
      <c r="I85" s="9" t="n">
        <v>10</v>
      </c>
    </row>
    <row r="86">
      <c r="A86" s="6" t="n">
        <v>1994</v>
      </c>
      <c r="B86" s="6" t="inlineStr">
        <is>
          <t>zinc</t>
        </is>
      </c>
      <c r="C86" s="6" t="inlineStr">
        <is>
          <t>E1 Mena/concentrado</t>
        </is>
      </c>
      <c r="D86" s="6" t="n">
        <v>70061436</v>
      </c>
      <c r="E86" s="6" t="inlineStr">
        <is>
          <t>socio_58</t>
        </is>
      </c>
      <c r="F86" s="6" t="n">
        <v>0.5818</v>
      </c>
      <c r="G86" s="6" t="n">
        <v>0</v>
      </c>
      <c r="H86" s="6" t="n">
        <v>0.064</v>
      </c>
      <c r="I86" s="6" t="n">
        <v>13</v>
      </c>
    </row>
    <row r="87">
      <c r="A87" s="9" t="n">
        <v>1994</v>
      </c>
      <c r="B87" s="9" t="inlineStr">
        <is>
          <t>zinc</t>
        </is>
      </c>
      <c r="C87" s="9" t="inlineStr">
        <is>
          <t>E2 Metal en bruto/refinado</t>
        </is>
      </c>
      <c r="D87" s="9" t="n">
        <v>75922031</v>
      </c>
      <c r="E87" s="9" t="inlineStr">
        <is>
          <t>Estados Unidos</t>
        </is>
      </c>
      <c r="F87" s="9" t="n">
        <v>0.7621</v>
      </c>
      <c r="G87" s="9" t="n">
        <v>0</v>
      </c>
      <c r="H87" s="9" t="n">
        <v>0.7621</v>
      </c>
      <c r="I87" s="9" t="n">
        <v>14</v>
      </c>
    </row>
    <row r="88">
      <c r="A88" s="6" t="n">
        <v>1994</v>
      </c>
      <c r="B88" s="6" t="inlineStr">
        <is>
          <t>zinc</t>
        </is>
      </c>
      <c r="C88" s="6" t="inlineStr">
        <is>
          <t>E3 Semimanufacturas</t>
        </is>
      </c>
      <c r="D88" s="6" t="n">
        <v>37376920</v>
      </c>
      <c r="E88" s="6" t="inlineStr">
        <is>
          <t>Estados Unidos</t>
        </is>
      </c>
      <c r="F88" s="6" t="n">
        <v>0.9864000000000001</v>
      </c>
      <c r="G88" s="6" t="n">
        <v>0</v>
      </c>
      <c r="H88" s="6" t="n">
        <v>0.9864000000000001</v>
      </c>
      <c r="I88" s="6" t="n">
        <v>11</v>
      </c>
    </row>
    <row r="89">
      <c r="A89" s="9" t="n">
        <v>1994</v>
      </c>
      <c r="B89" s="9" t="inlineStr">
        <is>
          <t>zinc</t>
        </is>
      </c>
      <c r="C89" s="9" t="inlineStr">
        <is>
          <t>E4 Manufacturas</t>
        </is>
      </c>
      <c r="D89" s="9" t="n">
        <v>2722911</v>
      </c>
      <c r="E89" s="9" t="inlineStr">
        <is>
          <t>Estados Unidos</t>
        </is>
      </c>
      <c r="F89" s="9" t="n">
        <v>0.915</v>
      </c>
      <c r="G89" s="9" t="n">
        <v>0</v>
      </c>
      <c r="H89" s="9" t="n">
        <v>0.915</v>
      </c>
      <c r="I89" s="9" t="n">
        <v>15</v>
      </c>
    </row>
    <row r="90">
      <c r="A90" s="6" t="n">
        <v>1995</v>
      </c>
      <c r="B90" s="6" t="inlineStr">
        <is>
          <t>barita</t>
        </is>
      </c>
      <c r="C90" s="6" t="inlineStr">
        <is>
          <t>E1 Crudo/molido</t>
        </is>
      </c>
      <c r="D90" s="6" t="n">
        <v>6854000</v>
      </c>
      <c r="E90" s="6" t="inlineStr">
        <is>
          <t>Estados Unidos</t>
        </is>
      </c>
      <c r="F90" s="6" t="n">
        <v>1</v>
      </c>
      <c r="G90" s="6" t="n">
        <v>0</v>
      </c>
      <c r="H90" s="6" t="n">
        <v>1</v>
      </c>
      <c r="I90" s="6" t="n">
        <v>1</v>
      </c>
    </row>
    <row r="91">
      <c r="A91" s="9" t="n">
        <v>1995</v>
      </c>
      <c r="B91" s="9" t="inlineStr">
        <is>
          <t>barita</t>
        </is>
      </c>
      <c r="C91" s="9" t="inlineStr">
        <is>
          <t>E2 Quimicos de bario</t>
        </is>
      </c>
      <c r="D91" s="9" t="n">
        <v>4728000</v>
      </c>
      <c r="E91" s="9" t="inlineStr">
        <is>
          <t>Estados Unidos</t>
        </is>
      </c>
      <c r="F91" s="9" t="n">
        <v>0.9996</v>
      </c>
      <c r="G91" s="9" t="n">
        <v>0</v>
      </c>
      <c r="H91" s="9" t="n">
        <v>0.9996</v>
      </c>
      <c r="I91" s="9" t="n">
        <v>2</v>
      </c>
    </row>
    <row r="92">
      <c r="A92" s="6" t="n">
        <v>1995</v>
      </c>
      <c r="B92" s="6" t="inlineStr">
        <is>
          <t>cobre</t>
        </is>
      </c>
      <c r="C92" s="6" t="inlineStr">
        <is>
          <t>E1 Mena/concentrado</t>
        </is>
      </c>
      <c r="D92" s="6" t="n">
        <v>20182000</v>
      </c>
      <c r="E92" s="6" t="inlineStr">
        <is>
          <t>Estados Unidos</t>
        </is>
      </c>
      <c r="F92" s="6" t="n">
        <v>1</v>
      </c>
      <c r="G92" s="6" t="n">
        <v>0</v>
      </c>
      <c r="H92" s="6" t="n">
        <v>1</v>
      </c>
      <c r="I92" s="6" t="n">
        <v>1</v>
      </c>
    </row>
    <row r="93">
      <c r="A93" s="9" t="n">
        <v>1995</v>
      </c>
      <c r="B93" s="9" t="inlineStr">
        <is>
          <t>cobre</t>
        </is>
      </c>
      <c r="C93" s="9" t="inlineStr">
        <is>
          <t>E2 Metal en bruto/refinado</t>
        </is>
      </c>
      <c r="D93" s="9" t="n">
        <v>581942992</v>
      </c>
      <c r="E93" s="9" t="inlineStr">
        <is>
          <t>Estados Unidos</t>
        </is>
      </c>
      <c r="F93" s="9" t="n">
        <v>0.6312</v>
      </c>
      <c r="G93" s="9" t="n">
        <v>0</v>
      </c>
      <c r="H93" s="9" t="n">
        <v>0.6312</v>
      </c>
      <c r="I93" s="9" t="n">
        <v>8</v>
      </c>
    </row>
    <row r="94">
      <c r="A94" s="6" t="n">
        <v>1995</v>
      </c>
      <c r="B94" s="6" t="inlineStr">
        <is>
          <t>cobre</t>
        </is>
      </c>
      <c r="C94" s="6" t="inlineStr">
        <is>
          <t>E3 Semimanufacturas</t>
        </is>
      </c>
      <c r="D94" s="6" t="n">
        <v>207421000</v>
      </c>
      <c r="E94" s="6" t="inlineStr">
        <is>
          <t>Estados Unidos</t>
        </is>
      </c>
      <c r="F94" s="6" t="n">
        <v>0.7795</v>
      </c>
      <c r="G94" s="6" t="n">
        <v>0</v>
      </c>
      <c r="H94" s="6" t="n">
        <v>0.7795</v>
      </c>
      <c r="I94" s="6" t="n">
        <v>40</v>
      </c>
    </row>
    <row r="95">
      <c r="A95" s="9" t="n">
        <v>1995</v>
      </c>
      <c r="B95" s="9" t="inlineStr">
        <is>
          <t>cobre</t>
        </is>
      </c>
      <c r="C95" s="9" t="inlineStr">
        <is>
          <t>E4 Manufacturas</t>
        </is>
      </c>
      <c r="D95" s="9" t="n">
        <v>23368000</v>
      </c>
      <c r="E95" s="9" t="inlineStr">
        <is>
          <t>Estados Unidos</t>
        </is>
      </c>
      <c r="F95" s="9" t="n">
        <v>0.8955</v>
      </c>
      <c r="G95" s="9" t="n">
        <v>0</v>
      </c>
      <c r="H95" s="9" t="n">
        <v>0.8955</v>
      </c>
      <c r="I95" s="9" t="n">
        <v>29</v>
      </c>
    </row>
    <row r="96">
      <c r="A96" s="6" t="n">
        <v>1995</v>
      </c>
      <c r="B96" s="6" t="inlineStr">
        <is>
          <t>fluorita</t>
        </is>
      </c>
      <c r="C96" s="6" t="inlineStr">
        <is>
          <t>E1 Espato fluor (crudo)</t>
        </is>
      </c>
      <c r="D96" s="6" t="n">
        <v>23708000</v>
      </c>
      <c r="E96" s="6" t="inlineStr">
        <is>
          <t>Estados Unidos</t>
        </is>
      </c>
      <c r="F96" s="6" t="n">
        <v>0.3995</v>
      </c>
      <c r="G96" s="6" t="n">
        <v>0</v>
      </c>
      <c r="H96" s="6" t="n">
        <v>0.3995</v>
      </c>
      <c r="I96" s="6" t="n">
        <v>12</v>
      </c>
    </row>
    <row r="97">
      <c r="A97" s="9" t="n">
        <v>1995</v>
      </c>
      <c r="B97" s="9" t="inlineStr">
        <is>
          <t>fluorita</t>
        </is>
      </c>
      <c r="C97" s="9" t="inlineStr">
        <is>
          <t>E2 Fluoroquimica</t>
        </is>
      </c>
      <c r="D97" s="9" t="n">
        <v>89756000</v>
      </c>
      <c r="E97" s="9" t="inlineStr">
        <is>
          <t>Estados Unidos</t>
        </is>
      </c>
      <c r="F97" s="9" t="n">
        <v>0.7034</v>
      </c>
      <c r="G97" s="9" t="n">
        <v>0</v>
      </c>
      <c r="H97" s="9" t="n">
        <v>0.7034</v>
      </c>
      <c r="I97" s="9" t="n">
        <v>10</v>
      </c>
    </row>
    <row r="98">
      <c r="A98" s="6" t="n">
        <v>1995</v>
      </c>
      <c r="B98" s="6" t="inlineStr">
        <is>
          <t>grafito</t>
        </is>
      </c>
      <c r="C98" s="6" t="inlineStr">
        <is>
          <t>E1 Grafito natural</t>
        </is>
      </c>
      <c r="D98" s="6" t="n">
        <v>2264000</v>
      </c>
      <c r="E98" s="6" t="inlineStr">
        <is>
          <t>Estados Unidos</t>
        </is>
      </c>
      <c r="F98" s="6" t="n">
        <v>0.9881</v>
      </c>
      <c r="G98" s="6" t="n">
        <v>0</v>
      </c>
      <c r="H98" s="6" t="n">
        <v>0.9881</v>
      </c>
      <c r="I98" s="6" t="n">
        <v>6</v>
      </c>
    </row>
    <row r="99">
      <c r="A99" s="9" t="n">
        <v>1995</v>
      </c>
      <c r="B99" s="9" t="inlineStr">
        <is>
          <t>grafito</t>
        </is>
      </c>
      <c r="C99" s="9" t="inlineStr">
        <is>
          <t>E2 Grafito artificial/prep.</t>
        </is>
      </c>
      <c r="D99" s="9" t="n">
        <v>17075000</v>
      </c>
      <c r="E99" s="9" t="inlineStr">
        <is>
          <t>Estados Unidos</t>
        </is>
      </c>
      <c r="F99" s="9" t="n">
        <v>0.9974</v>
      </c>
      <c r="G99" s="9" t="n">
        <v>0</v>
      </c>
      <c r="H99" s="9" t="n">
        <v>0.9974</v>
      </c>
      <c r="I99" s="9" t="n">
        <v>8</v>
      </c>
    </row>
    <row r="100">
      <c r="A100" s="6" t="n">
        <v>1995</v>
      </c>
      <c r="B100" s="6" t="inlineStr">
        <is>
          <t>grafito</t>
        </is>
      </c>
      <c r="C100" s="6" t="inlineStr">
        <is>
          <t>E3 Electrodos/articulos de carbono</t>
        </is>
      </c>
      <c r="D100" s="6" t="n">
        <v>23514000</v>
      </c>
      <c r="E100" s="6" t="inlineStr">
        <is>
          <t>Estados Unidos</t>
        </is>
      </c>
      <c r="F100" s="6" t="n">
        <v>0.2809</v>
      </c>
      <c r="G100" s="6" t="n">
        <v>0</v>
      </c>
      <c r="H100" s="6" t="n">
        <v>0.2809</v>
      </c>
      <c r="I100" s="6" t="n">
        <v>23</v>
      </c>
    </row>
    <row r="101">
      <c r="A101" s="9" t="n">
        <v>1995</v>
      </c>
      <c r="B101" s="9" t="inlineStr">
        <is>
          <t>manganeso</t>
        </is>
      </c>
      <c r="C101" s="9" t="inlineStr">
        <is>
          <t>E1 Mena/concentrado</t>
        </is>
      </c>
      <c r="D101" s="9" t="n">
        <v>9596000</v>
      </c>
      <c r="E101" s="9" t="inlineStr">
        <is>
          <t>Estados Unidos</t>
        </is>
      </c>
      <c r="F101" s="9" t="n">
        <v>0.3647</v>
      </c>
      <c r="G101" s="9" t="n">
        <v>0</v>
      </c>
      <c r="H101" s="9" t="n">
        <v>0.3647</v>
      </c>
      <c r="I101" s="9" t="n">
        <v>13</v>
      </c>
    </row>
    <row r="102">
      <c r="A102" s="6" t="n">
        <v>1995</v>
      </c>
      <c r="B102" s="6" t="inlineStr">
        <is>
          <t>manganeso</t>
        </is>
      </c>
      <c r="C102" s="6" t="inlineStr">
        <is>
          <t>E2 Ferroaleaciones</t>
        </is>
      </c>
      <c r="D102" s="6" t="n">
        <v>31864000</v>
      </c>
      <c r="E102" s="6" t="inlineStr">
        <is>
          <t>Estados Unidos</t>
        </is>
      </c>
      <c r="F102" s="6" t="n">
        <v>0.8762</v>
      </c>
      <c r="G102" s="6" t="n">
        <v>0</v>
      </c>
      <c r="H102" s="6" t="n">
        <v>0.8762</v>
      </c>
      <c r="I102" s="6" t="n">
        <v>13</v>
      </c>
    </row>
    <row r="103">
      <c r="A103" s="9" t="n">
        <v>1995</v>
      </c>
      <c r="B103" s="9" t="inlineStr">
        <is>
          <t>manganeso</t>
        </is>
      </c>
      <c r="C103" s="9" t="inlineStr">
        <is>
          <t>E3 Quimicos/metal</t>
        </is>
      </c>
      <c r="D103" s="9" t="n">
        <v>1771000</v>
      </c>
      <c r="E103" s="9" t="inlineStr">
        <is>
          <t>Indonesia</t>
        </is>
      </c>
      <c r="F103" s="9" t="n">
        <v>0.3286</v>
      </c>
      <c r="G103" s="9" t="n">
        <v>0</v>
      </c>
      <c r="H103" s="9" t="n">
        <v>0.2134</v>
      </c>
      <c r="I103" s="9" t="n">
        <v>13</v>
      </c>
    </row>
    <row r="104">
      <c r="A104" s="6" t="n">
        <v>1995</v>
      </c>
      <c r="B104" s="6" t="inlineStr">
        <is>
          <t>oro</t>
        </is>
      </c>
      <c r="C104" s="6" t="inlineStr">
        <is>
          <t>E1 Mena/concentrado</t>
        </is>
      </c>
      <c r="D104" s="6" t="n">
        <v>13000</v>
      </c>
      <c r="E104" s="6" t="inlineStr">
        <is>
          <t>Estados Unidos</t>
        </is>
      </c>
      <c r="F104" s="6" t="n">
        <v>1</v>
      </c>
      <c r="G104" s="6" t="n">
        <v>0</v>
      </c>
      <c r="H104" s="6" t="n">
        <v>1</v>
      </c>
      <c r="I104" s="6" t="n">
        <v>1</v>
      </c>
    </row>
    <row r="105">
      <c r="A105" s="9" t="n">
        <v>1995</v>
      </c>
      <c r="B105" s="9" t="inlineStr">
        <is>
          <t>oro</t>
        </is>
      </c>
      <c r="C105" s="9" t="inlineStr">
        <is>
          <t>E2 Bruto/semilabrado</t>
        </is>
      </c>
      <c r="D105" s="9" t="n">
        <v>138916000</v>
      </c>
      <c r="E105" s="9" t="inlineStr">
        <is>
          <t>Estados Unidos</t>
        </is>
      </c>
      <c r="F105" s="9" t="n">
        <v>0.8109</v>
      </c>
      <c r="G105" s="9" t="n">
        <v>0</v>
      </c>
      <c r="H105" s="9" t="n">
        <v>0.8109</v>
      </c>
      <c r="I105" s="9" t="n">
        <v>3</v>
      </c>
    </row>
    <row r="106">
      <c r="A106" s="6" t="n">
        <v>1995</v>
      </c>
      <c r="B106" s="6" t="inlineStr">
        <is>
          <t>oro-plata (manufacturas)</t>
        </is>
      </c>
      <c r="C106" s="6" t="inlineStr">
        <is>
          <t>E4 Joyeria/orfebreria</t>
        </is>
      </c>
      <c r="D106" s="6" t="n">
        <v>101540000</v>
      </c>
      <c r="E106" s="6" t="inlineStr">
        <is>
          <t>Estados Unidos</t>
        </is>
      </c>
      <c r="F106" s="6" t="n">
        <v>0.902</v>
      </c>
      <c r="G106" s="6" t="n">
        <v>0</v>
      </c>
      <c r="H106" s="6" t="n">
        <v>0.902</v>
      </c>
      <c r="I106" s="6" t="n">
        <v>60</v>
      </c>
    </row>
    <row r="107">
      <c r="A107" s="9" t="n">
        <v>1995</v>
      </c>
      <c r="B107" s="9" t="inlineStr">
        <is>
          <t>plata</t>
        </is>
      </c>
      <c r="C107" s="9" t="inlineStr">
        <is>
          <t>E1 Mena/concentrado</t>
        </is>
      </c>
      <c r="D107" s="9" t="n">
        <v>6883000</v>
      </c>
      <c r="E107" s="9" t="inlineStr">
        <is>
          <t>Estados Unidos</t>
        </is>
      </c>
      <c r="F107" s="9" t="n">
        <v>1</v>
      </c>
      <c r="G107" s="9" t="n">
        <v>0</v>
      </c>
      <c r="H107" s="9" t="n">
        <v>1</v>
      </c>
      <c r="I107" s="9" t="n">
        <v>1</v>
      </c>
    </row>
    <row r="108">
      <c r="A108" s="6" t="n">
        <v>1995</v>
      </c>
      <c r="B108" s="6" t="inlineStr">
        <is>
          <t>plata</t>
        </is>
      </c>
      <c r="C108" s="6" t="inlineStr">
        <is>
          <t>E2 Bruto/semilabrado</t>
        </is>
      </c>
      <c r="D108" s="6" t="n">
        <v>300763000</v>
      </c>
      <c r="E108" s="6" t="inlineStr">
        <is>
          <t>Estados Unidos</t>
        </is>
      </c>
      <c r="F108" s="6" t="n">
        <v>0.8235</v>
      </c>
      <c r="G108" s="6" t="n">
        <v>0</v>
      </c>
      <c r="H108" s="6" t="n">
        <v>0.8235</v>
      </c>
      <c r="I108" s="6" t="n">
        <v>13</v>
      </c>
    </row>
    <row r="109">
      <c r="A109" s="9" t="n">
        <v>1995</v>
      </c>
      <c r="B109" s="9" t="inlineStr">
        <is>
          <t>plomo</t>
        </is>
      </c>
      <c r="C109" s="9" t="inlineStr">
        <is>
          <t>E1 Mena/concentrado</t>
        </is>
      </c>
      <c r="D109" s="9" t="n">
        <v>14708000</v>
      </c>
      <c r="E109" s="9" t="inlineStr">
        <is>
          <t>Suiza</t>
        </is>
      </c>
      <c r="F109" s="9" t="n">
        <v>0.4633</v>
      </c>
      <c r="G109" s="9" t="n">
        <v>0</v>
      </c>
      <c r="H109" s="9" t="n">
        <v>0.0517</v>
      </c>
      <c r="I109" s="9" t="n">
        <v>4</v>
      </c>
    </row>
    <row r="110">
      <c r="A110" s="6" t="n">
        <v>1995</v>
      </c>
      <c r="B110" s="6" t="inlineStr">
        <is>
          <t>plomo</t>
        </is>
      </c>
      <c r="C110" s="6" t="inlineStr">
        <is>
          <t>E2 Metal en bruto/refinado</t>
        </is>
      </c>
      <c r="D110" s="6" t="n">
        <v>68577000</v>
      </c>
      <c r="E110" s="6" t="inlineStr">
        <is>
          <t>Estados Unidos</t>
        </is>
      </c>
      <c r="F110" s="6" t="n">
        <v>0.6307</v>
      </c>
      <c r="G110" s="6" t="n">
        <v>0</v>
      </c>
      <c r="H110" s="6" t="n">
        <v>0.6307</v>
      </c>
      <c r="I110" s="6" t="n">
        <v>18</v>
      </c>
    </row>
    <row r="111">
      <c r="A111" s="9" t="n">
        <v>1995</v>
      </c>
      <c r="B111" s="9" t="inlineStr">
        <is>
          <t>plomo</t>
        </is>
      </c>
      <c r="C111" s="9" t="inlineStr">
        <is>
          <t>E3 Semimanufacturas</t>
        </is>
      </c>
      <c r="D111" s="9" t="n">
        <v>79000</v>
      </c>
      <c r="E111" s="9" t="inlineStr">
        <is>
          <t>Cuba</t>
        </is>
      </c>
      <c r="F111" s="9" t="n">
        <v>0.6456</v>
      </c>
      <c r="G111" s="9" t="n">
        <v>0</v>
      </c>
      <c r="H111" s="9" t="n">
        <v>0.3544</v>
      </c>
      <c r="I111" s="9" t="n">
        <v>2</v>
      </c>
    </row>
    <row r="112">
      <c r="A112" s="6" t="n">
        <v>1995</v>
      </c>
      <c r="B112" s="6" t="inlineStr">
        <is>
          <t>plomo</t>
        </is>
      </c>
      <c r="C112" s="6" t="inlineStr">
        <is>
          <t>E4 Manufacturas</t>
        </is>
      </c>
      <c r="D112" s="6" t="n">
        <v>1493000</v>
      </c>
      <c r="E112" s="6" t="inlineStr">
        <is>
          <t>Estados Unidos</t>
        </is>
      </c>
      <c r="F112" s="6" t="n">
        <v>0.9605</v>
      </c>
      <c r="G112" s="6" t="n">
        <v>0</v>
      </c>
      <c r="H112" s="6" t="n">
        <v>0.9605</v>
      </c>
      <c r="I112" s="6" t="n">
        <v>8</v>
      </c>
    </row>
    <row r="113">
      <c r="A113" s="9" t="n">
        <v>1995</v>
      </c>
      <c r="B113" s="9" t="inlineStr">
        <is>
          <t>silice</t>
        </is>
      </c>
      <c r="C113" s="9" t="inlineStr">
        <is>
          <t>E1 Arena silica/cuarzo</t>
        </is>
      </c>
      <c r="D113" s="9" t="n">
        <v>266000</v>
      </c>
      <c r="E113" s="9" t="inlineStr">
        <is>
          <t>Estados Unidos</t>
        </is>
      </c>
      <c r="F113" s="9" t="n">
        <v>0.6917</v>
      </c>
      <c r="G113" s="9" t="n">
        <v>0</v>
      </c>
      <c r="H113" s="9" t="n">
        <v>0.6917</v>
      </c>
      <c r="I113" s="9" t="n">
        <v>7</v>
      </c>
    </row>
    <row r="114">
      <c r="A114" s="6" t="n">
        <v>1995</v>
      </c>
      <c r="B114" s="6" t="inlineStr">
        <is>
          <t>silice</t>
        </is>
      </c>
      <c r="C114" s="6" t="inlineStr">
        <is>
          <t>E2 Silicio/ferrosilicio/SiO2</t>
        </is>
      </c>
      <c r="D114" s="6" t="n">
        <v>682000</v>
      </c>
      <c r="E114" s="6" t="inlineStr">
        <is>
          <t>Estados Unidos</t>
        </is>
      </c>
      <c r="F114" s="6" t="n">
        <v>0.6745</v>
      </c>
      <c r="G114" s="6" t="n">
        <v>0</v>
      </c>
      <c r="H114" s="6" t="n">
        <v>0.6745</v>
      </c>
      <c r="I114" s="6" t="n">
        <v>10</v>
      </c>
    </row>
    <row r="115">
      <c r="A115" s="9" t="n">
        <v>1995</v>
      </c>
      <c r="B115" s="9" t="inlineStr">
        <is>
          <t>zinc</t>
        </is>
      </c>
      <c r="C115" s="9" t="inlineStr">
        <is>
          <t>E1 Mena/concentrado</t>
        </is>
      </c>
      <c r="D115" s="9" t="n">
        <v>69328000</v>
      </c>
      <c r="E115" s="9" t="inlineStr">
        <is>
          <t>Suiza</t>
        </is>
      </c>
      <c r="F115" s="9" t="n">
        <v>0.2645</v>
      </c>
      <c r="G115" s="9" t="n">
        <v>0</v>
      </c>
      <c r="H115" s="9" t="n">
        <v>0.0583</v>
      </c>
      <c r="I115" s="9" t="n">
        <v>9</v>
      </c>
    </row>
    <row r="116">
      <c r="A116" s="6" t="n">
        <v>1995</v>
      </c>
      <c r="B116" s="6" t="inlineStr">
        <is>
          <t>zinc</t>
        </is>
      </c>
      <c r="C116" s="6" t="inlineStr">
        <is>
          <t>E2 Metal en bruto/refinado</t>
        </is>
      </c>
      <c r="D116" s="6" t="n">
        <v>101060000</v>
      </c>
      <c r="E116" s="6" t="inlineStr">
        <is>
          <t>Estados Unidos</t>
        </is>
      </c>
      <c r="F116" s="6" t="n">
        <v>0.7904</v>
      </c>
      <c r="G116" s="6" t="n">
        <v>0</v>
      </c>
      <c r="H116" s="6" t="n">
        <v>0.7904</v>
      </c>
      <c r="I116" s="6" t="n">
        <v>16</v>
      </c>
    </row>
    <row r="117">
      <c r="A117" s="9" t="n">
        <v>1995</v>
      </c>
      <c r="B117" s="9" t="inlineStr">
        <is>
          <t>zinc</t>
        </is>
      </c>
      <c r="C117" s="9" t="inlineStr">
        <is>
          <t>E3 Semimanufacturas</t>
        </is>
      </c>
      <c r="D117" s="9" t="n">
        <v>44670000</v>
      </c>
      <c r="E117" s="9" t="inlineStr">
        <is>
          <t>Estados Unidos</t>
        </is>
      </c>
      <c r="F117" s="9" t="n">
        <v>0.9869</v>
      </c>
      <c r="G117" s="9" t="n">
        <v>0</v>
      </c>
      <c r="H117" s="9" t="n">
        <v>0.9869</v>
      </c>
      <c r="I117" s="9" t="n">
        <v>14</v>
      </c>
    </row>
    <row r="118">
      <c r="A118" s="6" t="n">
        <v>1995</v>
      </c>
      <c r="B118" s="6" t="inlineStr">
        <is>
          <t>zinc</t>
        </is>
      </c>
      <c r="C118" s="6" t="inlineStr">
        <is>
          <t>E4 Manufacturas</t>
        </is>
      </c>
      <c r="D118" s="6" t="n">
        <v>1442000</v>
      </c>
      <c r="E118" s="6" t="inlineStr">
        <is>
          <t>Estados Unidos</t>
        </is>
      </c>
      <c r="F118" s="6" t="n">
        <v>0.8266</v>
      </c>
      <c r="G118" s="6" t="n">
        <v>0</v>
      </c>
      <c r="H118" s="6" t="n">
        <v>0.8266</v>
      </c>
      <c r="I118" s="6" t="n">
        <v>16</v>
      </c>
    </row>
    <row r="119">
      <c r="A119" s="9" t="n">
        <v>1996</v>
      </c>
      <c r="B119" s="9" t="inlineStr">
        <is>
          <t>barita</t>
        </is>
      </c>
      <c r="C119" s="9" t="inlineStr">
        <is>
          <t>E1 Crudo/molido</t>
        </is>
      </c>
      <c r="D119" s="9" t="n">
        <v>7762014</v>
      </c>
      <c r="E119" s="9" t="inlineStr">
        <is>
          <t>Estados Unidos</t>
        </is>
      </c>
      <c r="F119" s="9" t="n">
        <v>0.8934</v>
      </c>
      <c r="G119" s="9" t="n">
        <v>0</v>
      </c>
      <c r="H119" s="9" t="n">
        <v>0.8934</v>
      </c>
      <c r="I119" s="9" t="n">
        <v>5</v>
      </c>
    </row>
    <row r="120">
      <c r="A120" s="6" t="n">
        <v>1996</v>
      </c>
      <c r="B120" s="6" t="inlineStr">
        <is>
          <t>barita</t>
        </is>
      </c>
      <c r="C120" s="6" t="inlineStr">
        <is>
          <t>E2 Quimicos de bario</t>
        </is>
      </c>
      <c r="D120" s="6" t="n">
        <v>5337880</v>
      </c>
      <c r="E120" s="6" t="inlineStr">
        <is>
          <t>Estados Unidos</t>
        </is>
      </c>
      <c r="F120" s="6" t="n">
        <v>0.9997</v>
      </c>
      <c r="G120" s="6" t="n">
        <v>0</v>
      </c>
      <c r="H120" s="6" t="n">
        <v>0.9997</v>
      </c>
      <c r="I120" s="6" t="n">
        <v>3</v>
      </c>
    </row>
    <row r="121">
      <c r="A121" s="9" t="n">
        <v>1996</v>
      </c>
      <c r="B121" s="9" t="inlineStr">
        <is>
          <t>cobre</t>
        </is>
      </c>
      <c r="C121" s="9" t="inlineStr">
        <is>
          <t>E1 Mena/concentrado</t>
        </is>
      </c>
      <c r="D121" s="9" t="n">
        <v>15994984</v>
      </c>
      <c r="E121" s="9" t="inlineStr">
        <is>
          <t>China</t>
        </is>
      </c>
      <c r="F121" s="9" t="n">
        <v>0.5391</v>
      </c>
      <c r="G121" s="9" t="n">
        <v>0.5391</v>
      </c>
      <c r="H121" s="9" t="n">
        <v>0.2364</v>
      </c>
      <c r="I121" s="9" t="n">
        <v>5</v>
      </c>
    </row>
    <row r="122">
      <c r="A122" s="6" t="n">
        <v>1996</v>
      </c>
      <c r="B122" s="6" t="inlineStr">
        <is>
          <t>cobre</t>
        </is>
      </c>
      <c r="C122" s="6" t="inlineStr">
        <is>
          <t>E2 Metal en bruto/refinado</t>
        </is>
      </c>
      <c r="D122" s="6" t="n">
        <v>394431420</v>
      </c>
      <c r="E122" s="6" t="inlineStr">
        <is>
          <t>Estados Unidos</t>
        </is>
      </c>
      <c r="F122" s="6" t="n">
        <v>0.5835</v>
      </c>
      <c r="G122" s="6" t="n">
        <v>0</v>
      </c>
      <c r="H122" s="6" t="n">
        <v>0.5835</v>
      </c>
      <c r="I122" s="6" t="n">
        <v>15</v>
      </c>
    </row>
    <row r="123">
      <c r="A123" s="9" t="n">
        <v>1996</v>
      </c>
      <c r="B123" s="9" t="inlineStr">
        <is>
          <t>cobre</t>
        </is>
      </c>
      <c r="C123" s="9" t="inlineStr">
        <is>
          <t>E3 Semimanufacturas</t>
        </is>
      </c>
      <c r="D123" s="9" t="n">
        <v>201636893</v>
      </c>
      <c r="E123" s="9" t="inlineStr">
        <is>
          <t>Estados Unidos</t>
        </is>
      </c>
      <c r="F123" s="9" t="n">
        <v>0.7593</v>
      </c>
      <c r="G123" s="9" t="n">
        <v>0</v>
      </c>
      <c r="H123" s="9" t="n">
        <v>0.7593</v>
      </c>
      <c r="I123" s="9" t="n">
        <v>47</v>
      </c>
    </row>
    <row r="124">
      <c r="A124" s="6" t="n">
        <v>1996</v>
      </c>
      <c r="B124" s="6" t="inlineStr">
        <is>
          <t>cobre</t>
        </is>
      </c>
      <c r="C124" s="6" t="inlineStr">
        <is>
          <t>E4 Manufacturas</t>
        </is>
      </c>
      <c r="D124" s="6" t="n">
        <v>37774019</v>
      </c>
      <c r="E124" s="6" t="inlineStr">
        <is>
          <t>Estados Unidos</t>
        </is>
      </c>
      <c r="F124" s="6" t="n">
        <v>0.9449</v>
      </c>
      <c r="G124" s="6" t="n">
        <v>0.0004</v>
      </c>
      <c r="H124" s="6" t="n">
        <v>0.9449</v>
      </c>
      <c r="I124" s="6" t="n">
        <v>40</v>
      </c>
    </row>
    <row r="125">
      <c r="A125" s="9" t="n">
        <v>1996</v>
      </c>
      <c r="B125" s="9" t="inlineStr">
        <is>
          <t>fluorita</t>
        </is>
      </c>
      <c r="C125" s="9" t="inlineStr">
        <is>
          <t>E1 Espato fluor (crudo)</t>
        </is>
      </c>
      <c r="D125" s="9" t="n">
        <v>20073116</v>
      </c>
      <c r="E125" s="9" t="inlineStr">
        <is>
          <t>Estados Unidos</t>
        </is>
      </c>
      <c r="F125" s="9" t="n">
        <v>0.3057</v>
      </c>
      <c r="G125" s="9" t="n">
        <v>0</v>
      </c>
      <c r="H125" s="9" t="n">
        <v>0.3057</v>
      </c>
      <c r="I125" s="9" t="n">
        <v>18</v>
      </c>
    </row>
    <row r="126">
      <c r="A126" s="6" t="n">
        <v>1996</v>
      </c>
      <c r="B126" s="6" t="inlineStr">
        <is>
          <t>fluorita</t>
        </is>
      </c>
      <c r="C126" s="6" t="inlineStr">
        <is>
          <t>E2 Fluoroquimica</t>
        </is>
      </c>
      <c r="D126" s="6" t="n">
        <v>117694924</v>
      </c>
      <c r="E126" s="6" t="inlineStr">
        <is>
          <t>Estados Unidos</t>
        </is>
      </c>
      <c r="F126" s="6" t="n">
        <v>0.6735</v>
      </c>
      <c r="G126" s="6" t="n">
        <v>0</v>
      </c>
      <c r="H126" s="6" t="n">
        <v>0.6735</v>
      </c>
      <c r="I126" s="6" t="n">
        <v>14</v>
      </c>
    </row>
    <row r="127">
      <c r="A127" s="9" t="n">
        <v>1996</v>
      </c>
      <c r="B127" s="9" t="inlineStr">
        <is>
          <t>grafito</t>
        </is>
      </c>
      <c r="C127" s="9" t="inlineStr">
        <is>
          <t>E1 Grafito natural</t>
        </is>
      </c>
      <c r="D127" s="9" t="n">
        <v>2075280</v>
      </c>
      <c r="E127" s="9" t="inlineStr">
        <is>
          <t>Estados Unidos</t>
        </is>
      </c>
      <c r="F127" s="9" t="n">
        <v>0.9548</v>
      </c>
      <c r="G127" s="9" t="n">
        <v>0</v>
      </c>
      <c r="H127" s="9" t="n">
        <v>0.9548</v>
      </c>
      <c r="I127" s="9" t="n">
        <v>9</v>
      </c>
    </row>
    <row r="128">
      <c r="A128" s="6" t="n">
        <v>1996</v>
      </c>
      <c r="B128" s="6" t="inlineStr">
        <is>
          <t>grafito</t>
        </is>
      </c>
      <c r="C128" s="6" t="inlineStr">
        <is>
          <t>E2 Grafito artificial/prep.</t>
        </is>
      </c>
      <c r="D128" s="6" t="n">
        <v>23634821</v>
      </c>
      <c r="E128" s="6" t="inlineStr">
        <is>
          <t>Estados Unidos</t>
        </is>
      </c>
      <c r="F128" s="6" t="n">
        <v>0.9373</v>
      </c>
      <c r="G128" s="6" t="n">
        <v>0</v>
      </c>
      <c r="H128" s="6" t="n">
        <v>0.9373</v>
      </c>
      <c r="I128" s="6" t="n">
        <v>11</v>
      </c>
    </row>
    <row r="129">
      <c r="A129" s="9" t="n">
        <v>1996</v>
      </c>
      <c r="B129" s="9" t="inlineStr">
        <is>
          <t>grafito</t>
        </is>
      </c>
      <c r="C129" s="9" t="inlineStr">
        <is>
          <t>E3 Electrodos/articulos de carbono</t>
        </is>
      </c>
      <c r="D129" s="9" t="n">
        <v>30584127</v>
      </c>
      <c r="E129" s="9" t="inlineStr">
        <is>
          <t>Estados Unidos</t>
        </is>
      </c>
      <c r="F129" s="9" t="n">
        <v>0.384</v>
      </c>
      <c r="G129" s="9" t="n">
        <v>0</v>
      </c>
      <c r="H129" s="9" t="n">
        <v>0.384</v>
      </c>
      <c r="I129" s="9" t="n">
        <v>25</v>
      </c>
    </row>
    <row r="130">
      <c r="A130" s="6" t="n">
        <v>1996</v>
      </c>
      <c r="B130" s="6" t="inlineStr">
        <is>
          <t>manganeso</t>
        </is>
      </c>
      <c r="C130" s="6" t="inlineStr">
        <is>
          <t>E1 Mena/concentrado</t>
        </is>
      </c>
      <c r="D130" s="6" t="n">
        <v>4363511</v>
      </c>
      <c r="E130" s="6" t="inlineStr">
        <is>
          <t>Estados Unidos</t>
        </is>
      </c>
      <c r="F130" s="6" t="n">
        <v>0.6328</v>
      </c>
      <c r="G130" s="6" t="n">
        <v>0</v>
      </c>
      <c r="H130" s="6" t="n">
        <v>0.6328</v>
      </c>
      <c r="I130" s="6" t="n">
        <v>11</v>
      </c>
    </row>
    <row r="131">
      <c r="A131" s="9" t="n">
        <v>1996</v>
      </c>
      <c r="B131" s="9" t="inlineStr">
        <is>
          <t>manganeso</t>
        </is>
      </c>
      <c r="C131" s="9" t="inlineStr">
        <is>
          <t>E2 Ferroaleaciones</t>
        </is>
      </c>
      <c r="D131" s="9" t="n">
        <v>38492952</v>
      </c>
      <c r="E131" s="9" t="inlineStr">
        <is>
          <t>Estados Unidos</t>
        </is>
      </c>
      <c r="F131" s="9" t="n">
        <v>0.9226</v>
      </c>
      <c r="G131" s="9" t="n">
        <v>0</v>
      </c>
      <c r="H131" s="9" t="n">
        <v>0.9226</v>
      </c>
      <c r="I131" s="9" t="n">
        <v>14</v>
      </c>
    </row>
    <row r="132">
      <c r="A132" s="6" t="n">
        <v>1996</v>
      </c>
      <c r="B132" s="6" t="inlineStr">
        <is>
          <t>manganeso</t>
        </is>
      </c>
      <c r="C132" s="6" t="inlineStr">
        <is>
          <t>E3 Quimicos/metal</t>
        </is>
      </c>
      <c r="D132" s="6" t="n">
        <v>3379504</v>
      </c>
      <c r="E132" s="6" t="inlineStr">
        <is>
          <t>Singapur</t>
        </is>
      </c>
      <c r="F132" s="6" t="n">
        <v>0.3976</v>
      </c>
      <c r="G132" s="6" t="n">
        <v>0</v>
      </c>
      <c r="H132" s="6" t="n">
        <v>0.0179</v>
      </c>
      <c r="I132" s="6" t="n">
        <v>17</v>
      </c>
    </row>
    <row r="133">
      <c r="A133" s="9" t="n">
        <v>1996</v>
      </c>
      <c r="B133" s="9" t="inlineStr">
        <is>
          <t>oro</t>
        </is>
      </c>
      <c r="C133" s="9" t="inlineStr">
        <is>
          <t>E1 Mena/concentrado</t>
        </is>
      </c>
      <c r="D133" s="9" t="n">
        <v>8439</v>
      </c>
      <c r="E133" s="9" t="inlineStr">
        <is>
          <t>Estados Unidos</t>
        </is>
      </c>
      <c r="F133" s="9" t="n">
        <v>1</v>
      </c>
      <c r="G133" s="9" t="n">
        <v>0</v>
      </c>
      <c r="H133" s="9" t="n">
        <v>1</v>
      </c>
      <c r="I133" s="9" t="n">
        <v>1</v>
      </c>
    </row>
    <row r="134">
      <c r="A134" s="6" t="n">
        <v>1996</v>
      </c>
      <c r="B134" s="6" t="inlineStr">
        <is>
          <t>oro</t>
        </is>
      </c>
      <c r="C134" s="6" t="inlineStr">
        <is>
          <t>E2 Bruto/semilabrado</t>
        </is>
      </c>
      <c r="D134" s="6" t="n">
        <v>234996426</v>
      </c>
      <c r="E134" s="6" t="inlineStr">
        <is>
          <t>Estados Unidos</t>
        </is>
      </c>
      <c r="F134" s="6" t="n">
        <v>0.9066</v>
      </c>
      <c r="G134" s="6" t="n">
        <v>0</v>
      </c>
      <c r="H134" s="6" t="n">
        <v>0.9066</v>
      </c>
      <c r="I134" s="6" t="n">
        <v>3</v>
      </c>
    </row>
    <row r="135">
      <c r="A135" s="9" t="n">
        <v>1996</v>
      </c>
      <c r="B135" s="9" t="inlineStr">
        <is>
          <t>oro-plata (manufacturas)</t>
        </is>
      </c>
      <c r="C135" s="9" t="inlineStr">
        <is>
          <t>E4 Joyeria/orfebreria</t>
        </is>
      </c>
      <c r="D135" s="9" t="n">
        <v>162060650</v>
      </c>
      <c r="E135" s="9" t="inlineStr">
        <is>
          <t>Estados Unidos</t>
        </is>
      </c>
      <c r="F135" s="9" t="n">
        <v>0.8935</v>
      </c>
      <c r="G135" s="9" t="n">
        <v>0</v>
      </c>
      <c r="H135" s="9" t="n">
        <v>0.8935</v>
      </c>
      <c r="I135" s="9" t="n">
        <v>62</v>
      </c>
    </row>
    <row r="136">
      <c r="A136" s="6" t="n">
        <v>1996</v>
      </c>
      <c r="B136" s="6" t="inlineStr">
        <is>
          <t>plata</t>
        </is>
      </c>
      <c r="C136" s="6" t="inlineStr">
        <is>
          <t>E1 Mena/concentrado</t>
        </is>
      </c>
      <c r="D136" s="6" t="n">
        <v>17565198</v>
      </c>
      <c r="E136" s="6" t="inlineStr">
        <is>
          <t>Estados Unidos</t>
        </is>
      </c>
      <c r="F136" s="6" t="n">
        <v>1</v>
      </c>
      <c r="G136" s="6" t="n">
        <v>0</v>
      </c>
      <c r="H136" s="6" t="n">
        <v>1</v>
      </c>
      <c r="I136" s="6" t="n">
        <v>3</v>
      </c>
    </row>
    <row r="137">
      <c r="A137" s="9" t="n">
        <v>1996</v>
      </c>
      <c r="B137" s="9" t="inlineStr">
        <is>
          <t>plata</t>
        </is>
      </c>
      <c r="C137" s="9" t="inlineStr">
        <is>
          <t>E2 Bruto/semilabrado</t>
        </is>
      </c>
      <c r="D137" s="9" t="n">
        <v>327489363</v>
      </c>
      <c r="E137" s="9" t="inlineStr">
        <is>
          <t>Estados Unidos</t>
        </is>
      </c>
      <c r="F137" s="9" t="n">
        <v>0.4968</v>
      </c>
      <c r="G137" s="9" t="n">
        <v>0</v>
      </c>
      <c r="H137" s="9" t="n">
        <v>0.4968</v>
      </c>
      <c r="I137" s="9" t="n">
        <v>15</v>
      </c>
    </row>
    <row r="138">
      <c r="A138" s="6" t="n">
        <v>1996</v>
      </c>
      <c r="B138" s="6" t="inlineStr">
        <is>
          <t>plomo</t>
        </is>
      </c>
      <c r="C138" s="6" t="inlineStr">
        <is>
          <t>E1 Mena/concentrado</t>
        </is>
      </c>
      <c r="D138" s="6" t="n">
        <v>14091348</v>
      </c>
      <c r="E138" s="6" t="inlineStr">
        <is>
          <t>Canada</t>
        </is>
      </c>
      <c r="F138" s="6" t="n">
        <v>0.529</v>
      </c>
      <c r="G138" s="6" t="n">
        <v>0</v>
      </c>
      <c r="H138" s="6" t="n">
        <v>0.3106</v>
      </c>
      <c r="I138" s="6" t="n">
        <v>4</v>
      </c>
    </row>
    <row r="139">
      <c r="A139" s="9" t="n">
        <v>1996</v>
      </c>
      <c r="B139" s="9" t="inlineStr">
        <is>
          <t>plomo</t>
        </is>
      </c>
      <c r="C139" s="9" t="inlineStr">
        <is>
          <t>E2 Metal en bruto/refinado</t>
        </is>
      </c>
      <c r="D139" s="9" t="n">
        <v>63825757</v>
      </c>
      <c r="E139" s="9" t="inlineStr">
        <is>
          <t>Estados Unidos</t>
        </is>
      </c>
      <c r="F139" s="9" t="n">
        <v>0.6724</v>
      </c>
      <c r="G139" s="9" t="n">
        <v>0</v>
      </c>
      <c r="H139" s="9" t="n">
        <v>0.6724</v>
      </c>
      <c r="I139" s="9" t="n">
        <v>18</v>
      </c>
    </row>
    <row r="140">
      <c r="A140" s="6" t="n">
        <v>1996</v>
      </c>
      <c r="B140" s="6" t="inlineStr">
        <is>
          <t>plomo</t>
        </is>
      </c>
      <c r="C140" s="6" t="inlineStr">
        <is>
          <t>E3 Semimanufacturas</t>
        </is>
      </c>
      <c r="D140" s="6" t="n">
        <v>2851419</v>
      </c>
      <c r="E140" s="6" t="inlineStr">
        <is>
          <t>Canada</t>
        </is>
      </c>
      <c r="F140" s="6" t="n">
        <v>0.9274</v>
      </c>
      <c r="G140" s="6" t="n">
        <v>0</v>
      </c>
      <c r="H140" s="6" t="n">
        <v>0.0076</v>
      </c>
      <c r="I140" s="6" t="n">
        <v>6</v>
      </c>
    </row>
    <row r="141">
      <c r="A141" s="9" t="n">
        <v>1996</v>
      </c>
      <c r="B141" s="9" t="inlineStr">
        <is>
          <t>plomo</t>
        </is>
      </c>
      <c r="C141" s="9" t="inlineStr">
        <is>
          <t>E4 Manufacturas</t>
        </is>
      </c>
      <c r="D141" s="9" t="n">
        <v>1098677</v>
      </c>
      <c r="E141" s="9" t="inlineStr">
        <is>
          <t>Estados Unidos</t>
        </is>
      </c>
      <c r="F141" s="9" t="n">
        <v>0.9431</v>
      </c>
      <c r="G141" s="9" t="n">
        <v>0</v>
      </c>
      <c r="H141" s="9" t="n">
        <v>0.9431</v>
      </c>
      <c r="I141" s="9" t="n">
        <v>7</v>
      </c>
    </row>
    <row r="142">
      <c r="A142" s="6" t="n">
        <v>1996</v>
      </c>
      <c r="B142" s="6" t="inlineStr">
        <is>
          <t>silice</t>
        </is>
      </c>
      <c r="C142" s="6" t="inlineStr">
        <is>
          <t>E1 Arena silica/cuarzo</t>
        </is>
      </c>
      <c r="D142" s="6" t="n">
        <v>241041</v>
      </c>
      <c r="E142" s="6" t="inlineStr">
        <is>
          <t>Estados Unidos</t>
        </is>
      </c>
      <c r="F142" s="6" t="n">
        <v>0.4954</v>
      </c>
      <c r="G142" s="6" t="n">
        <v>0</v>
      </c>
      <c r="H142" s="6" t="n">
        <v>0.4954</v>
      </c>
      <c r="I142" s="6" t="n">
        <v>8</v>
      </c>
    </row>
    <row r="143">
      <c r="A143" s="9" t="n">
        <v>1996</v>
      </c>
      <c r="B143" s="9" t="inlineStr">
        <is>
          <t>silice</t>
        </is>
      </c>
      <c r="C143" s="9" t="inlineStr">
        <is>
          <t>E2 Silicio/ferrosilicio/SiO2</t>
        </is>
      </c>
      <c r="D143" s="9" t="n">
        <v>787171</v>
      </c>
      <c r="E143" s="9" t="inlineStr">
        <is>
          <t>Estados Unidos</t>
        </is>
      </c>
      <c r="F143" s="9" t="n">
        <v>0.2953</v>
      </c>
      <c r="G143" s="9" t="n">
        <v>0</v>
      </c>
      <c r="H143" s="9" t="n">
        <v>0.2953</v>
      </c>
      <c r="I143" s="9" t="n">
        <v>12</v>
      </c>
    </row>
    <row r="144">
      <c r="A144" s="6" t="n">
        <v>1996</v>
      </c>
      <c r="B144" s="6" t="inlineStr">
        <is>
          <t>zinc</t>
        </is>
      </c>
      <c r="C144" s="6" t="inlineStr">
        <is>
          <t>E1 Mena/concentrado</t>
        </is>
      </c>
      <c r="D144" s="6" t="n">
        <v>57037051</v>
      </c>
      <c r="E144" s="6" t="inlineStr">
        <is>
          <t>socio_58</t>
        </is>
      </c>
      <c r="F144" s="6" t="n">
        <v>0.4659</v>
      </c>
      <c r="G144" s="6" t="n">
        <v>0</v>
      </c>
      <c r="H144" s="6" t="n">
        <v>0.0493</v>
      </c>
      <c r="I144" s="6" t="n">
        <v>14</v>
      </c>
    </row>
    <row r="145">
      <c r="A145" s="9" t="n">
        <v>1996</v>
      </c>
      <c r="B145" s="9" t="inlineStr">
        <is>
          <t>zinc</t>
        </is>
      </c>
      <c r="C145" s="9" t="inlineStr">
        <is>
          <t>E2 Metal en bruto/refinado</t>
        </is>
      </c>
      <c r="D145" s="9" t="n">
        <v>80596763</v>
      </c>
      <c r="E145" s="9" t="inlineStr">
        <is>
          <t>Estados Unidos</t>
        </is>
      </c>
      <c r="F145" s="9" t="n">
        <v>0.8656</v>
      </c>
      <c r="G145" s="9" t="n">
        <v>0</v>
      </c>
      <c r="H145" s="9" t="n">
        <v>0.8656</v>
      </c>
      <c r="I145" s="9" t="n">
        <v>15</v>
      </c>
    </row>
    <row r="146">
      <c r="A146" s="6" t="n">
        <v>1996</v>
      </c>
      <c r="B146" s="6" t="inlineStr">
        <is>
          <t>zinc</t>
        </is>
      </c>
      <c r="C146" s="6" t="inlineStr">
        <is>
          <t>E3 Semimanufacturas</t>
        </is>
      </c>
      <c r="D146" s="6" t="n">
        <v>40043533</v>
      </c>
      <c r="E146" s="6" t="inlineStr">
        <is>
          <t>Estados Unidos</t>
        </is>
      </c>
      <c r="F146" s="6" t="n">
        <v>0.9727</v>
      </c>
      <c r="G146" s="6" t="n">
        <v>0</v>
      </c>
      <c r="H146" s="6" t="n">
        <v>0.9727</v>
      </c>
      <c r="I146" s="6" t="n">
        <v>11</v>
      </c>
    </row>
    <row r="147">
      <c r="A147" s="9" t="n">
        <v>1996</v>
      </c>
      <c r="B147" s="9" t="inlineStr">
        <is>
          <t>zinc</t>
        </is>
      </c>
      <c r="C147" s="9" t="inlineStr">
        <is>
          <t>E4 Manufacturas</t>
        </is>
      </c>
      <c r="D147" s="9" t="n">
        <v>978334</v>
      </c>
      <c r="E147" s="9" t="inlineStr">
        <is>
          <t>Estados Unidos</t>
        </is>
      </c>
      <c r="F147" s="9" t="n">
        <v>0.8264</v>
      </c>
      <c r="G147" s="9" t="n">
        <v>0</v>
      </c>
      <c r="H147" s="9" t="n">
        <v>0.8264</v>
      </c>
      <c r="I147" s="9" t="n">
        <v>15</v>
      </c>
    </row>
    <row r="148">
      <c r="A148" s="6" t="n">
        <v>1997</v>
      </c>
      <c r="B148" s="6" t="inlineStr">
        <is>
          <t>barita</t>
        </is>
      </c>
      <c r="C148" s="6" t="inlineStr">
        <is>
          <t>E1 Crudo/molido</t>
        </is>
      </c>
      <c r="D148" s="6" t="n">
        <v>4439673</v>
      </c>
      <c r="E148" s="6" t="inlineStr">
        <is>
          <t>Estados Unidos</t>
        </is>
      </c>
      <c r="F148" s="6" t="n">
        <v>1</v>
      </c>
      <c r="G148" s="6" t="n">
        <v>0</v>
      </c>
      <c r="H148" s="6" t="n">
        <v>1</v>
      </c>
      <c r="I148" s="6" t="n">
        <v>1</v>
      </c>
    </row>
    <row r="149">
      <c r="A149" s="9" t="n">
        <v>1997</v>
      </c>
      <c r="B149" s="9" t="inlineStr">
        <is>
          <t>barita</t>
        </is>
      </c>
      <c r="C149" s="9" t="inlineStr">
        <is>
          <t>E2 Quimicos de bario</t>
        </is>
      </c>
      <c r="D149" s="9" t="n">
        <v>8189142</v>
      </c>
      <c r="E149" s="9" t="inlineStr">
        <is>
          <t>Estados Unidos</t>
        </is>
      </c>
      <c r="F149" s="9" t="n">
        <v>1</v>
      </c>
      <c r="G149" s="9" t="n">
        <v>0</v>
      </c>
      <c r="H149" s="9" t="n">
        <v>1</v>
      </c>
      <c r="I149" s="9" t="n">
        <v>2</v>
      </c>
    </row>
    <row r="150">
      <c r="A150" s="6" t="n">
        <v>1997</v>
      </c>
      <c r="B150" s="6" t="inlineStr">
        <is>
          <t>cobre</t>
        </is>
      </c>
      <c r="C150" s="6" t="inlineStr">
        <is>
          <t>E1 Mena/concentrado</t>
        </is>
      </c>
      <c r="D150" s="6" t="n">
        <v>18588479</v>
      </c>
      <c r="E150" s="6" t="inlineStr">
        <is>
          <t>Peru</t>
        </is>
      </c>
      <c r="F150" s="6" t="n">
        <v>0.5415</v>
      </c>
      <c r="G150" s="6" t="n">
        <v>0</v>
      </c>
      <c r="H150" s="6" t="n">
        <v>0.2055</v>
      </c>
      <c r="I150" s="6" t="n">
        <v>4</v>
      </c>
    </row>
    <row r="151">
      <c r="A151" s="9" t="n">
        <v>1997</v>
      </c>
      <c r="B151" s="9" t="inlineStr">
        <is>
          <t>cobre</t>
        </is>
      </c>
      <c r="C151" s="9" t="inlineStr">
        <is>
          <t>E2 Metal en bruto/refinado</t>
        </is>
      </c>
      <c r="D151" s="9" t="n">
        <v>508233775</v>
      </c>
      <c r="E151" s="9" t="inlineStr">
        <is>
          <t>Estados Unidos</t>
        </is>
      </c>
      <c r="F151" s="9" t="n">
        <v>0.6553</v>
      </c>
      <c r="G151" s="9" t="n">
        <v>0.0009</v>
      </c>
      <c r="H151" s="9" t="n">
        <v>0.6553</v>
      </c>
      <c r="I151" s="9" t="n">
        <v>18</v>
      </c>
    </row>
    <row r="152">
      <c r="A152" s="6" t="n">
        <v>1997</v>
      </c>
      <c r="B152" s="6" t="inlineStr">
        <is>
          <t>cobre</t>
        </is>
      </c>
      <c r="C152" s="6" t="inlineStr">
        <is>
          <t>E3 Semimanufacturas</t>
        </is>
      </c>
      <c r="D152" s="6" t="n">
        <v>144051408</v>
      </c>
      <c r="E152" s="6" t="inlineStr">
        <is>
          <t>Estados Unidos</t>
        </is>
      </c>
      <c r="F152" s="6" t="n">
        <v>0.8362000000000001</v>
      </c>
      <c r="G152" s="6" t="n">
        <v>0</v>
      </c>
      <c r="H152" s="6" t="n">
        <v>0.8362000000000001</v>
      </c>
      <c r="I152" s="6" t="n">
        <v>44</v>
      </c>
    </row>
    <row r="153">
      <c r="A153" s="9" t="n">
        <v>1997</v>
      </c>
      <c r="B153" s="9" t="inlineStr">
        <is>
          <t>cobre</t>
        </is>
      </c>
      <c r="C153" s="9" t="inlineStr">
        <is>
          <t>E4 Manufacturas</t>
        </is>
      </c>
      <c r="D153" s="9" t="n">
        <v>72261511</v>
      </c>
      <c r="E153" s="9" t="inlineStr">
        <is>
          <t>Estados Unidos</t>
        </is>
      </c>
      <c r="F153" s="9" t="n">
        <v>0.9596</v>
      </c>
      <c r="G153" s="9" t="n">
        <v>0</v>
      </c>
      <c r="H153" s="9" t="n">
        <v>0.9596</v>
      </c>
      <c r="I153" s="9" t="n">
        <v>40</v>
      </c>
    </row>
    <row r="154">
      <c r="A154" s="6" t="n">
        <v>1997</v>
      </c>
      <c r="B154" s="6" t="inlineStr">
        <is>
          <t>fluorita</t>
        </is>
      </c>
      <c r="C154" s="6" t="inlineStr">
        <is>
          <t>E1 Espato fluor (crudo)</t>
        </is>
      </c>
      <c r="D154" s="6" t="n">
        <v>23322192</v>
      </c>
      <c r="E154" s="6" t="inlineStr">
        <is>
          <t>Canada</t>
        </is>
      </c>
      <c r="F154" s="6" t="n">
        <v>0.2634</v>
      </c>
      <c r="G154" s="6" t="n">
        <v>0</v>
      </c>
      <c r="H154" s="6" t="n">
        <v>0.232</v>
      </c>
      <c r="I154" s="6" t="n">
        <v>15</v>
      </c>
    </row>
    <row r="155">
      <c r="A155" s="9" t="n">
        <v>1997</v>
      </c>
      <c r="B155" s="9" t="inlineStr">
        <is>
          <t>fluorita</t>
        </is>
      </c>
      <c r="C155" s="9" t="inlineStr">
        <is>
          <t>E2 Fluoroquimica</t>
        </is>
      </c>
      <c r="D155" s="9" t="n">
        <v>115420618</v>
      </c>
      <c r="E155" s="9" t="inlineStr">
        <is>
          <t>Estados Unidos</t>
        </is>
      </c>
      <c r="F155" s="9" t="n">
        <v>0.7221</v>
      </c>
      <c r="G155" s="9" t="n">
        <v>0</v>
      </c>
      <c r="H155" s="9" t="n">
        <v>0.7221</v>
      </c>
      <c r="I155" s="9" t="n">
        <v>15</v>
      </c>
    </row>
    <row r="156">
      <c r="A156" s="6" t="n">
        <v>1997</v>
      </c>
      <c r="B156" s="6" t="inlineStr">
        <is>
          <t>grafito</t>
        </is>
      </c>
      <c r="C156" s="6" t="inlineStr">
        <is>
          <t>E1 Grafito natural</t>
        </is>
      </c>
      <c r="D156" s="6" t="n">
        <v>2299340</v>
      </c>
      <c r="E156" s="6" t="inlineStr">
        <is>
          <t>Estados Unidos</t>
        </is>
      </c>
      <c r="F156" s="6" t="n">
        <v>0.9377</v>
      </c>
      <c r="G156" s="6" t="n">
        <v>0</v>
      </c>
      <c r="H156" s="6" t="n">
        <v>0.9377</v>
      </c>
      <c r="I156" s="6" t="n">
        <v>5</v>
      </c>
    </row>
    <row r="157">
      <c r="A157" s="9" t="n">
        <v>1997</v>
      </c>
      <c r="B157" s="9" t="inlineStr">
        <is>
          <t>grafito</t>
        </is>
      </c>
      <c r="C157" s="9" t="inlineStr">
        <is>
          <t>E2 Grafito artificial/prep.</t>
        </is>
      </c>
      <c r="D157" s="9" t="n">
        <v>17296612</v>
      </c>
      <c r="E157" s="9" t="inlineStr">
        <is>
          <t>Estados Unidos</t>
        </is>
      </c>
      <c r="F157" s="9" t="n">
        <v>0.852</v>
      </c>
      <c r="G157" s="9" t="n">
        <v>0</v>
      </c>
      <c r="H157" s="9" t="n">
        <v>0.852</v>
      </c>
      <c r="I157" s="9" t="n">
        <v>12</v>
      </c>
    </row>
    <row r="158">
      <c r="A158" s="6" t="n">
        <v>1997</v>
      </c>
      <c r="B158" s="6" t="inlineStr">
        <is>
          <t>grafito</t>
        </is>
      </c>
      <c r="C158" s="6" t="inlineStr">
        <is>
          <t>E3 Electrodos/articulos de carbono</t>
        </is>
      </c>
      <c r="D158" s="6" t="n">
        <v>53374327</v>
      </c>
      <c r="E158" s="6" t="inlineStr">
        <is>
          <t>Estados Unidos</t>
        </is>
      </c>
      <c r="F158" s="6" t="n">
        <v>0.5538999999999999</v>
      </c>
      <c r="G158" s="6" t="n">
        <v>0</v>
      </c>
      <c r="H158" s="6" t="n">
        <v>0.5538999999999999</v>
      </c>
      <c r="I158" s="6" t="n">
        <v>29</v>
      </c>
    </row>
    <row r="159">
      <c r="A159" s="9" t="n">
        <v>1997</v>
      </c>
      <c r="B159" s="9" t="inlineStr">
        <is>
          <t>manganeso</t>
        </is>
      </c>
      <c r="C159" s="9" t="inlineStr">
        <is>
          <t>E1 Mena/concentrado</t>
        </is>
      </c>
      <c r="D159" s="9" t="n">
        <v>6756622</v>
      </c>
      <c r="E159" s="9" t="inlineStr">
        <is>
          <t>Estados Unidos</t>
        </is>
      </c>
      <c r="F159" s="9" t="n">
        <v>0.8113</v>
      </c>
      <c r="G159" s="9" t="n">
        <v>0</v>
      </c>
      <c r="H159" s="9" t="n">
        <v>0.8113</v>
      </c>
      <c r="I159" s="9" t="n">
        <v>12</v>
      </c>
    </row>
    <row r="160">
      <c r="A160" s="6" t="n">
        <v>1997</v>
      </c>
      <c r="B160" s="6" t="inlineStr">
        <is>
          <t>manganeso</t>
        </is>
      </c>
      <c r="C160" s="6" t="inlineStr">
        <is>
          <t>E2 Ferroaleaciones</t>
        </is>
      </c>
      <c r="D160" s="6" t="n">
        <v>50073153</v>
      </c>
      <c r="E160" s="6" t="inlineStr">
        <is>
          <t>Estados Unidos</t>
        </is>
      </c>
      <c r="F160" s="6" t="n">
        <v>0.878</v>
      </c>
      <c r="G160" s="6" t="n">
        <v>0</v>
      </c>
      <c r="H160" s="6" t="n">
        <v>0.878</v>
      </c>
      <c r="I160" s="6" t="n">
        <v>13</v>
      </c>
    </row>
    <row r="161">
      <c r="A161" s="9" t="n">
        <v>1997</v>
      </c>
      <c r="B161" s="9" t="inlineStr">
        <is>
          <t>manganeso</t>
        </is>
      </c>
      <c r="C161" s="9" t="inlineStr">
        <is>
          <t>E3 Quimicos/metal</t>
        </is>
      </c>
      <c r="D161" s="9" t="n">
        <v>4913882</v>
      </c>
      <c r="E161" s="9" t="inlineStr">
        <is>
          <t>Singapur</t>
        </is>
      </c>
      <c r="F161" s="9" t="n">
        <v>0.3035</v>
      </c>
      <c r="G161" s="9" t="n">
        <v>0</v>
      </c>
      <c r="H161" s="9" t="n">
        <v>0.0543</v>
      </c>
      <c r="I161" s="9" t="n">
        <v>18</v>
      </c>
    </row>
    <row r="162">
      <c r="A162" s="6" t="n">
        <v>1997</v>
      </c>
      <c r="B162" s="6" t="inlineStr">
        <is>
          <t>oro</t>
        </is>
      </c>
      <c r="C162" s="6" t="inlineStr">
        <is>
          <t>E1 Mena/concentrado</t>
        </is>
      </c>
      <c r="D162" s="6" t="n">
        <v>2865503</v>
      </c>
      <c r="E162" s="6" t="inlineStr">
        <is>
          <t>socio_58</t>
        </is>
      </c>
      <c r="F162" s="6" t="n">
        <v>0.5049</v>
      </c>
      <c r="G162" s="6" t="n">
        <v>0</v>
      </c>
      <c r="H162" s="6" t="n">
        <v>0.0108</v>
      </c>
      <c r="I162" s="6" t="n">
        <v>4</v>
      </c>
    </row>
    <row r="163">
      <c r="A163" s="9" t="n">
        <v>1997</v>
      </c>
      <c r="B163" s="9" t="inlineStr">
        <is>
          <t>oro</t>
        </is>
      </c>
      <c r="C163" s="9" t="inlineStr">
        <is>
          <t>E2 Bruto/semilabrado</t>
        </is>
      </c>
      <c r="D163" s="9" t="n">
        <v>132110309</v>
      </c>
      <c r="E163" s="9" t="inlineStr">
        <is>
          <t>Estados Unidos</t>
        </is>
      </c>
      <c r="F163" s="9" t="n">
        <v>0.8793</v>
      </c>
      <c r="G163" s="9" t="n">
        <v>0</v>
      </c>
      <c r="H163" s="9" t="n">
        <v>0.8793</v>
      </c>
      <c r="I163" s="9" t="n">
        <v>4</v>
      </c>
    </row>
    <row r="164">
      <c r="A164" s="6" t="n">
        <v>1997</v>
      </c>
      <c r="B164" s="6" t="inlineStr">
        <is>
          <t>oro-plata (manufacturas)</t>
        </is>
      </c>
      <c r="C164" s="6" t="inlineStr">
        <is>
          <t>E4 Joyeria/orfebreria</t>
        </is>
      </c>
      <c r="D164" s="6" t="n">
        <v>262748071</v>
      </c>
      <c r="E164" s="6" t="inlineStr">
        <is>
          <t>Estados Unidos</t>
        </is>
      </c>
      <c r="F164" s="6" t="n">
        <v>0.9349</v>
      </c>
      <c r="G164" s="6" t="n">
        <v>0</v>
      </c>
      <c r="H164" s="6" t="n">
        <v>0.9349</v>
      </c>
      <c r="I164" s="6" t="n">
        <v>62</v>
      </c>
    </row>
    <row r="165">
      <c r="A165" s="9" t="n">
        <v>1997</v>
      </c>
      <c r="B165" s="9" t="inlineStr">
        <is>
          <t>plata</t>
        </is>
      </c>
      <c r="C165" s="9" t="inlineStr">
        <is>
          <t>E1 Mena/concentrado</t>
        </is>
      </c>
      <c r="D165" s="9" t="n">
        <v>232354</v>
      </c>
      <c r="E165" s="9" t="inlineStr">
        <is>
          <t>Estados Unidos</t>
        </is>
      </c>
      <c r="F165" s="9" t="n">
        <v>1</v>
      </c>
      <c r="G165" s="9" t="n">
        <v>0</v>
      </c>
      <c r="H165" s="9" t="n">
        <v>1</v>
      </c>
      <c r="I165" s="9" t="n">
        <v>1</v>
      </c>
    </row>
    <row r="166">
      <c r="A166" s="6" t="n">
        <v>1997</v>
      </c>
      <c r="B166" s="6" t="inlineStr">
        <is>
          <t>plata</t>
        </is>
      </c>
      <c r="C166" s="6" t="inlineStr">
        <is>
          <t>E2 Bruto/semilabrado</t>
        </is>
      </c>
      <c r="D166" s="6" t="n">
        <v>322043035</v>
      </c>
      <c r="E166" s="6" t="inlineStr">
        <is>
          <t>Estados Unidos</t>
        </is>
      </c>
      <c r="F166" s="6" t="n">
        <v>0.4463</v>
      </c>
      <c r="G166" s="6" t="n">
        <v>0</v>
      </c>
      <c r="H166" s="6" t="n">
        <v>0.4463</v>
      </c>
      <c r="I166" s="6" t="n">
        <v>17</v>
      </c>
    </row>
    <row r="167">
      <c r="A167" s="9" t="n">
        <v>1997</v>
      </c>
      <c r="B167" s="9" t="inlineStr">
        <is>
          <t>plomo</t>
        </is>
      </c>
      <c r="C167" s="9" t="inlineStr">
        <is>
          <t>E1 Mena/concentrado</t>
        </is>
      </c>
      <c r="D167" s="9" t="n">
        <v>8020893</v>
      </c>
      <c r="E167" s="9" t="inlineStr">
        <is>
          <t>Canada</t>
        </is>
      </c>
      <c r="F167" s="9" t="n">
        <v>0.4929</v>
      </c>
      <c r="G167" s="9" t="n">
        <v>0</v>
      </c>
      <c r="H167" s="9" t="n">
        <v>0.048</v>
      </c>
      <c r="I167" s="9" t="n">
        <v>6</v>
      </c>
    </row>
    <row r="168">
      <c r="A168" s="6" t="n">
        <v>1997</v>
      </c>
      <c r="B168" s="6" t="inlineStr">
        <is>
          <t>plomo</t>
        </is>
      </c>
      <c r="C168" s="6" t="inlineStr">
        <is>
          <t>E2 Metal en bruto/refinado</t>
        </is>
      </c>
      <c r="D168" s="6" t="n">
        <v>64738481</v>
      </c>
      <c r="E168" s="6" t="inlineStr">
        <is>
          <t>Estados Unidos</t>
        </is>
      </c>
      <c r="F168" s="6" t="n">
        <v>0.6662</v>
      </c>
      <c r="G168" s="6" t="n">
        <v>0</v>
      </c>
      <c r="H168" s="6" t="n">
        <v>0.6662</v>
      </c>
      <c r="I168" s="6" t="n">
        <v>16</v>
      </c>
    </row>
    <row r="169">
      <c r="A169" s="9" t="n">
        <v>1997</v>
      </c>
      <c r="B169" s="9" t="inlineStr">
        <is>
          <t>plomo</t>
        </is>
      </c>
      <c r="C169" s="9" t="inlineStr">
        <is>
          <t>E3 Semimanufacturas</t>
        </is>
      </c>
      <c r="D169" s="9" t="n">
        <v>5500</v>
      </c>
      <c r="E169" s="9" t="inlineStr">
        <is>
          <t>Estados Unidos</t>
        </is>
      </c>
      <c r="F169" s="9" t="n">
        <v>0.9635</v>
      </c>
      <c r="G169" s="9" t="n">
        <v>0</v>
      </c>
      <c r="H169" s="9" t="n">
        <v>0.9635</v>
      </c>
      <c r="I169" s="9" t="n">
        <v>2</v>
      </c>
    </row>
    <row r="170">
      <c r="A170" s="6" t="n">
        <v>1997</v>
      </c>
      <c r="B170" s="6" t="inlineStr">
        <is>
          <t>plomo</t>
        </is>
      </c>
      <c r="C170" s="6" t="inlineStr">
        <is>
          <t>E4 Manufacturas</t>
        </is>
      </c>
      <c r="D170" s="6" t="n">
        <v>1324887</v>
      </c>
      <c r="E170" s="6" t="inlineStr">
        <is>
          <t>Estados Unidos</t>
        </is>
      </c>
      <c r="F170" s="6" t="n">
        <v>0.8734</v>
      </c>
      <c r="G170" s="6" t="n">
        <v>0</v>
      </c>
      <c r="H170" s="6" t="n">
        <v>0.8734</v>
      </c>
      <c r="I170" s="6" t="n">
        <v>8</v>
      </c>
    </row>
    <row r="171">
      <c r="A171" s="9" t="n">
        <v>1997</v>
      </c>
      <c r="B171" s="9" t="inlineStr">
        <is>
          <t>silice</t>
        </is>
      </c>
      <c r="C171" s="9" t="inlineStr">
        <is>
          <t>E1 Arena silica/cuarzo</t>
        </is>
      </c>
      <c r="D171" s="9" t="n">
        <v>271128</v>
      </c>
      <c r="E171" s="9" t="inlineStr">
        <is>
          <t>Estados Unidos</t>
        </is>
      </c>
      <c r="F171" s="9" t="n">
        <v>0.7758</v>
      </c>
      <c r="G171" s="9" t="n">
        <v>0</v>
      </c>
      <c r="H171" s="9" t="n">
        <v>0.7758</v>
      </c>
      <c r="I171" s="9" t="n">
        <v>8</v>
      </c>
    </row>
    <row r="172">
      <c r="A172" s="6" t="n">
        <v>1997</v>
      </c>
      <c r="B172" s="6" t="inlineStr">
        <is>
          <t>silice</t>
        </is>
      </c>
      <c r="C172" s="6" t="inlineStr">
        <is>
          <t>E2 Silicio/ferrosilicio/SiO2</t>
        </is>
      </c>
      <c r="D172" s="6" t="n">
        <v>2184585</v>
      </c>
      <c r="E172" s="6" t="inlineStr">
        <is>
          <t>Estados Unidos</t>
        </is>
      </c>
      <c r="F172" s="6" t="n">
        <v>0.4314</v>
      </c>
      <c r="G172" s="6" t="n">
        <v>0</v>
      </c>
      <c r="H172" s="6" t="n">
        <v>0.4314</v>
      </c>
      <c r="I172" s="6" t="n">
        <v>22</v>
      </c>
    </row>
    <row r="173">
      <c r="A173" s="9" t="n">
        <v>1997</v>
      </c>
      <c r="B173" s="9" t="inlineStr">
        <is>
          <t>zinc</t>
        </is>
      </c>
      <c r="C173" s="9" t="inlineStr">
        <is>
          <t>E1 Mena/concentrado</t>
        </is>
      </c>
      <c r="D173" s="9" t="n">
        <v>80546676</v>
      </c>
      <c r="E173" s="9" t="inlineStr">
        <is>
          <t>socio_58</t>
        </is>
      </c>
      <c r="F173" s="9" t="n">
        <v>0.4184</v>
      </c>
      <c r="G173" s="9" t="n">
        <v>0</v>
      </c>
      <c r="H173" s="9" t="n">
        <v>0.0547</v>
      </c>
      <c r="I173" s="9" t="n">
        <v>12</v>
      </c>
    </row>
    <row r="174">
      <c r="A174" s="6" t="n">
        <v>1997</v>
      </c>
      <c r="B174" s="6" t="inlineStr">
        <is>
          <t>zinc</t>
        </is>
      </c>
      <c r="C174" s="6" t="inlineStr">
        <is>
          <t>E2 Metal en bruto/refinado</t>
        </is>
      </c>
      <c r="D174" s="6" t="n">
        <v>96024086</v>
      </c>
      <c r="E174" s="6" t="inlineStr">
        <is>
          <t>Estados Unidos</t>
        </is>
      </c>
      <c r="F174" s="6" t="n">
        <v>0.766</v>
      </c>
      <c r="G174" s="6" t="n">
        <v>0</v>
      </c>
      <c r="H174" s="6" t="n">
        <v>0.766</v>
      </c>
      <c r="I174" s="6" t="n">
        <v>13</v>
      </c>
    </row>
    <row r="175">
      <c r="A175" s="9" t="n">
        <v>1997</v>
      </c>
      <c r="B175" s="9" t="inlineStr">
        <is>
          <t>zinc</t>
        </is>
      </c>
      <c r="C175" s="9" t="inlineStr">
        <is>
          <t>E3 Semimanufacturas</t>
        </is>
      </c>
      <c r="D175" s="9" t="n">
        <v>52258335</v>
      </c>
      <c r="E175" s="9" t="inlineStr">
        <is>
          <t>Estados Unidos</t>
        </is>
      </c>
      <c r="F175" s="9" t="n">
        <v>0.9887</v>
      </c>
      <c r="G175" s="9" t="n">
        <v>0</v>
      </c>
      <c r="H175" s="9" t="n">
        <v>0.9887</v>
      </c>
      <c r="I175" s="9" t="n">
        <v>11</v>
      </c>
    </row>
    <row r="176">
      <c r="A176" s="6" t="n">
        <v>1997</v>
      </c>
      <c r="B176" s="6" t="inlineStr">
        <is>
          <t>zinc</t>
        </is>
      </c>
      <c r="C176" s="6" t="inlineStr">
        <is>
          <t>E4 Manufacturas</t>
        </is>
      </c>
      <c r="D176" s="6" t="n">
        <v>2913503</v>
      </c>
      <c r="E176" s="6" t="inlineStr">
        <is>
          <t>Estados Unidos</t>
        </is>
      </c>
      <c r="F176" s="6" t="n">
        <v>0.9316</v>
      </c>
      <c r="G176" s="6" t="n">
        <v>0</v>
      </c>
      <c r="H176" s="6" t="n">
        <v>0.9316</v>
      </c>
      <c r="I176" s="6" t="n">
        <v>13</v>
      </c>
    </row>
    <row r="177">
      <c r="A177" s="9" t="n">
        <v>1998</v>
      </c>
      <c r="B177" s="9" t="inlineStr">
        <is>
          <t>barita</t>
        </is>
      </c>
      <c r="C177" s="9" t="inlineStr">
        <is>
          <t>E1 Crudo/molido</t>
        </is>
      </c>
      <c r="D177" s="9" t="n">
        <v>1469473</v>
      </c>
      <c r="E177" s="9" t="inlineStr">
        <is>
          <t>Estados Unidos</t>
        </is>
      </c>
      <c r="F177" s="9" t="n">
        <v>0.9821</v>
      </c>
      <c r="G177" s="9" t="n">
        <v>0</v>
      </c>
      <c r="H177" s="9" t="n">
        <v>0.9821</v>
      </c>
      <c r="I177" s="9" t="n">
        <v>2</v>
      </c>
    </row>
    <row r="178">
      <c r="A178" s="6" t="n">
        <v>1998</v>
      </c>
      <c r="B178" s="6" t="inlineStr">
        <is>
          <t>barita</t>
        </is>
      </c>
      <c r="C178" s="6" t="inlineStr">
        <is>
          <t>E2 Quimicos de bario</t>
        </is>
      </c>
      <c r="D178" s="6" t="n">
        <v>7457958</v>
      </c>
      <c r="E178" s="6" t="inlineStr">
        <is>
          <t>Estados Unidos</t>
        </is>
      </c>
      <c r="F178" s="6" t="n">
        <v>0.9994</v>
      </c>
      <c r="G178" s="6" t="n">
        <v>0</v>
      </c>
      <c r="H178" s="6" t="n">
        <v>0.9994</v>
      </c>
      <c r="I178" s="6" t="n">
        <v>2</v>
      </c>
    </row>
    <row r="179">
      <c r="A179" s="9" t="n">
        <v>1998</v>
      </c>
      <c r="B179" s="9" t="inlineStr">
        <is>
          <t>cobre</t>
        </is>
      </c>
      <c r="C179" s="9" t="inlineStr">
        <is>
          <t>E1 Mena/concentrado</t>
        </is>
      </c>
      <c r="D179" s="9" t="n">
        <v>25456433</v>
      </c>
      <c r="E179" s="9" t="inlineStr">
        <is>
          <t>Japon</t>
        </is>
      </c>
      <c r="F179" s="9" t="n">
        <v>0.6286</v>
      </c>
      <c r="G179" s="9" t="n">
        <v>0.0611</v>
      </c>
      <c r="H179" s="9" t="n">
        <v>0.08749999999999999</v>
      </c>
      <c r="I179" s="9" t="n">
        <v>9</v>
      </c>
    </row>
    <row r="180">
      <c r="A180" s="6" t="n">
        <v>1998</v>
      </c>
      <c r="B180" s="6" t="inlineStr">
        <is>
          <t>cobre</t>
        </is>
      </c>
      <c r="C180" s="6" t="inlineStr">
        <is>
          <t>E2 Metal en bruto/refinado</t>
        </is>
      </c>
      <c r="D180" s="6" t="n">
        <v>474989613</v>
      </c>
      <c r="E180" s="6" t="inlineStr">
        <is>
          <t>Estados Unidos</t>
        </is>
      </c>
      <c r="F180" s="6" t="n">
        <v>0.9216</v>
      </c>
      <c r="G180" s="6" t="n">
        <v>0</v>
      </c>
      <c r="H180" s="6" t="n">
        <v>0.9216</v>
      </c>
      <c r="I180" s="6" t="n">
        <v>17</v>
      </c>
    </row>
    <row r="181">
      <c r="A181" s="9" t="n">
        <v>1998</v>
      </c>
      <c r="B181" s="9" t="inlineStr">
        <is>
          <t>cobre</t>
        </is>
      </c>
      <c r="C181" s="9" t="inlineStr">
        <is>
          <t>E3 Semimanufacturas</t>
        </is>
      </c>
      <c r="D181" s="9" t="n">
        <v>184281114</v>
      </c>
      <c r="E181" s="9" t="inlineStr">
        <is>
          <t>Estados Unidos</t>
        </is>
      </c>
      <c r="F181" s="9" t="n">
        <v>0.8681</v>
      </c>
      <c r="G181" s="9" t="n">
        <v>0.0042</v>
      </c>
      <c r="H181" s="9" t="n">
        <v>0.8681</v>
      </c>
      <c r="I181" s="9" t="n">
        <v>47</v>
      </c>
    </row>
    <row r="182">
      <c r="A182" s="6" t="n">
        <v>1998</v>
      </c>
      <c r="B182" s="6" t="inlineStr">
        <is>
          <t>cobre</t>
        </is>
      </c>
      <c r="C182" s="6" t="inlineStr">
        <is>
          <t>E4 Manufacturas</t>
        </is>
      </c>
      <c r="D182" s="6" t="n">
        <v>33740049</v>
      </c>
      <c r="E182" s="6" t="inlineStr">
        <is>
          <t>Estados Unidos</t>
        </is>
      </c>
      <c r="F182" s="6" t="n">
        <v>0.9593</v>
      </c>
      <c r="G182" s="6" t="n">
        <v>0</v>
      </c>
      <c r="H182" s="6" t="n">
        <v>0.9593</v>
      </c>
      <c r="I182" s="6" t="n">
        <v>33</v>
      </c>
    </row>
    <row r="183">
      <c r="A183" s="9" t="n">
        <v>1998</v>
      </c>
      <c r="B183" s="9" t="inlineStr">
        <is>
          <t>fluorita</t>
        </is>
      </c>
      <c r="C183" s="9" t="inlineStr">
        <is>
          <t>E1 Espato fluor (crudo)</t>
        </is>
      </c>
      <c r="D183" s="9" t="n">
        <v>25967668</v>
      </c>
      <c r="E183" s="9" t="inlineStr">
        <is>
          <t>Canada</t>
        </is>
      </c>
      <c r="F183" s="9" t="n">
        <v>0.3974</v>
      </c>
      <c r="G183" s="9" t="n">
        <v>0</v>
      </c>
      <c r="H183" s="9" t="n">
        <v>0.1481</v>
      </c>
      <c r="I183" s="9" t="n">
        <v>17</v>
      </c>
    </row>
    <row r="184">
      <c r="A184" s="6" t="n">
        <v>1998</v>
      </c>
      <c r="B184" s="6" t="inlineStr">
        <is>
          <t>fluorita</t>
        </is>
      </c>
      <c r="C184" s="6" t="inlineStr">
        <is>
          <t>E2 Fluoroquimica</t>
        </is>
      </c>
      <c r="D184" s="6" t="n">
        <v>103997078</v>
      </c>
      <c r="E184" s="6" t="inlineStr">
        <is>
          <t>Estados Unidos</t>
        </is>
      </c>
      <c r="F184" s="6" t="n">
        <v>0.737</v>
      </c>
      <c r="G184" s="6" t="n">
        <v>0</v>
      </c>
      <c r="H184" s="6" t="n">
        <v>0.737</v>
      </c>
      <c r="I184" s="6" t="n">
        <v>17</v>
      </c>
    </row>
    <row r="185">
      <c r="A185" s="9" t="n">
        <v>1998</v>
      </c>
      <c r="B185" s="9" t="inlineStr">
        <is>
          <t>grafito</t>
        </is>
      </c>
      <c r="C185" s="9" t="inlineStr">
        <is>
          <t>E1 Grafito natural</t>
        </is>
      </c>
      <c r="D185" s="9" t="n">
        <v>2571031</v>
      </c>
      <c r="E185" s="9" t="inlineStr">
        <is>
          <t>Estados Unidos</t>
        </is>
      </c>
      <c r="F185" s="9" t="n">
        <v>0.986</v>
      </c>
      <c r="G185" s="9" t="n">
        <v>0</v>
      </c>
      <c r="H185" s="9" t="n">
        <v>0.986</v>
      </c>
      <c r="I185" s="9" t="n">
        <v>4</v>
      </c>
    </row>
    <row r="186">
      <c r="A186" s="6" t="n">
        <v>1998</v>
      </c>
      <c r="B186" s="6" t="inlineStr">
        <is>
          <t>grafito</t>
        </is>
      </c>
      <c r="C186" s="6" t="inlineStr">
        <is>
          <t>E2 Grafito artificial/prep.</t>
        </is>
      </c>
      <c r="D186" s="6" t="n">
        <v>12524260</v>
      </c>
      <c r="E186" s="6" t="inlineStr">
        <is>
          <t>Estados Unidos</t>
        </is>
      </c>
      <c r="F186" s="6" t="n">
        <v>0.5813</v>
      </c>
      <c r="G186" s="6" t="n">
        <v>0</v>
      </c>
      <c r="H186" s="6" t="n">
        <v>0.5813</v>
      </c>
      <c r="I186" s="6" t="n">
        <v>12</v>
      </c>
    </row>
    <row r="187">
      <c r="A187" s="9" t="n">
        <v>1998</v>
      </c>
      <c r="B187" s="9" t="inlineStr">
        <is>
          <t>grafito</t>
        </is>
      </c>
      <c r="C187" s="9" t="inlineStr">
        <is>
          <t>E3 Electrodos/articulos de carbono</t>
        </is>
      </c>
      <c r="D187" s="9" t="n">
        <v>47022713</v>
      </c>
      <c r="E187" s="9" t="inlineStr">
        <is>
          <t>Estados Unidos</t>
        </is>
      </c>
      <c r="F187" s="9" t="n">
        <v>0.4842</v>
      </c>
      <c r="G187" s="9" t="n">
        <v>0</v>
      </c>
      <c r="H187" s="9" t="n">
        <v>0.4842</v>
      </c>
      <c r="I187" s="9" t="n">
        <v>22</v>
      </c>
    </row>
    <row r="188">
      <c r="A188" s="6" t="n">
        <v>1998</v>
      </c>
      <c r="B188" s="6" t="inlineStr">
        <is>
          <t>manganeso</t>
        </is>
      </c>
      <c r="C188" s="6" t="inlineStr">
        <is>
          <t>E1 Mena/concentrado</t>
        </is>
      </c>
      <c r="D188" s="6" t="n">
        <v>5560749</v>
      </c>
      <c r="E188" s="6" t="inlineStr">
        <is>
          <t>Estados Unidos</t>
        </is>
      </c>
      <c r="F188" s="6" t="n">
        <v>0.4957</v>
      </c>
      <c r="G188" s="6" t="n">
        <v>0</v>
      </c>
      <c r="H188" s="6" t="n">
        <v>0.4957</v>
      </c>
      <c r="I188" s="6" t="n">
        <v>17</v>
      </c>
    </row>
    <row r="189">
      <c r="A189" s="9" t="n">
        <v>1998</v>
      </c>
      <c r="B189" s="9" t="inlineStr">
        <is>
          <t>manganeso</t>
        </is>
      </c>
      <c r="C189" s="9" t="inlineStr">
        <is>
          <t>E2 Ferroaleaciones</t>
        </is>
      </c>
      <c r="D189" s="9" t="n">
        <v>45119421</v>
      </c>
      <c r="E189" s="9" t="inlineStr">
        <is>
          <t>Estados Unidos</t>
        </is>
      </c>
      <c r="F189" s="9" t="n">
        <v>0.8456</v>
      </c>
      <c r="G189" s="9" t="n">
        <v>0</v>
      </c>
      <c r="H189" s="9" t="n">
        <v>0.8456</v>
      </c>
      <c r="I189" s="9" t="n">
        <v>14</v>
      </c>
    </row>
    <row r="190">
      <c r="A190" s="6" t="n">
        <v>1998</v>
      </c>
      <c r="B190" s="6" t="inlineStr">
        <is>
          <t>manganeso</t>
        </is>
      </c>
      <c r="C190" s="6" t="inlineStr">
        <is>
          <t>E3 Quimicos/metal</t>
        </is>
      </c>
      <c r="D190" s="6" t="n">
        <v>1281013</v>
      </c>
      <c r="E190" s="6" t="inlineStr">
        <is>
          <t>Espana</t>
        </is>
      </c>
      <c r="F190" s="6" t="n">
        <v>0.273</v>
      </c>
      <c r="G190" s="6" t="n">
        <v>0.1069</v>
      </c>
      <c r="H190" s="6" t="n">
        <v>0.2101</v>
      </c>
      <c r="I190" s="6" t="n">
        <v>14</v>
      </c>
    </row>
    <row r="191">
      <c r="A191" s="9" t="n">
        <v>1998</v>
      </c>
      <c r="B191" s="9" t="inlineStr">
        <is>
          <t>oro</t>
        </is>
      </c>
      <c r="C191" s="9" t="inlineStr">
        <is>
          <t>E1 Mena/concentrado</t>
        </is>
      </c>
      <c r="D191" s="9" t="n">
        <v>5512786</v>
      </c>
      <c r="E191" s="9" t="inlineStr">
        <is>
          <t>socio_58</t>
        </is>
      </c>
      <c r="F191" s="9" t="n">
        <v>0.7971</v>
      </c>
      <c r="G191" s="9" t="n">
        <v>0</v>
      </c>
      <c r="H191" s="9" t="n">
        <v>0</v>
      </c>
      <c r="I191" s="9" t="n">
        <v>3</v>
      </c>
    </row>
    <row r="192">
      <c r="A192" s="6" t="n">
        <v>1998</v>
      </c>
      <c r="B192" s="6" t="inlineStr">
        <is>
          <t>oro</t>
        </is>
      </c>
      <c r="C192" s="6" t="inlineStr">
        <is>
          <t>E2 Bruto/semilabrado</t>
        </is>
      </c>
      <c r="D192" s="6" t="n">
        <v>110741498</v>
      </c>
      <c r="E192" s="6" t="inlineStr">
        <is>
          <t>Estados Unidos</t>
        </is>
      </c>
      <c r="F192" s="6" t="n">
        <v>0.7728</v>
      </c>
      <c r="G192" s="6" t="n">
        <v>0</v>
      </c>
      <c r="H192" s="6" t="n">
        <v>0.7728</v>
      </c>
      <c r="I192" s="6" t="n">
        <v>6</v>
      </c>
    </row>
    <row r="193">
      <c r="A193" s="9" t="n">
        <v>1998</v>
      </c>
      <c r="B193" s="9" t="inlineStr">
        <is>
          <t>oro-plata (manufacturas)</t>
        </is>
      </c>
      <c r="C193" s="9" t="inlineStr">
        <is>
          <t>E4 Joyeria/orfebreria</t>
        </is>
      </c>
      <c r="D193" s="9" t="n">
        <v>316111214</v>
      </c>
      <c r="E193" s="9" t="inlineStr">
        <is>
          <t>Estados Unidos</t>
        </is>
      </c>
      <c r="F193" s="9" t="n">
        <v>0.9464</v>
      </c>
      <c r="G193" s="9" t="n">
        <v>0</v>
      </c>
      <c r="H193" s="9" t="n">
        <v>0.9464</v>
      </c>
      <c r="I193" s="9" t="n">
        <v>65</v>
      </c>
    </row>
    <row r="194">
      <c r="A194" s="6" t="n">
        <v>1998</v>
      </c>
      <c r="B194" s="6" t="inlineStr">
        <is>
          <t>plata</t>
        </is>
      </c>
      <c r="C194" s="6" t="inlineStr">
        <is>
          <t>E1 Mena/concentrado</t>
        </is>
      </c>
      <c r="D194" s="6" t="n">
        <v>115848</v>
      </c>
      <c r="E194" s="6" t="inlineStr">
        <is>
          <t>Estados Unidos</t>
        </is>
      </c>
      <c r="F194" s="6" t="n">
        <v>1</v>
      </c>
      <c r="G194" s="6" t="n">
        <v>0</v>
      </c>
      <c r="H194" s="6" t="n">
        <v>1</v>
      </c>
      <c r="I194" s="6" t="n">
        <v>1</v>
      </c>
    </row>
    <row r="195">
      <c r="A195" s="9" t="n">
        <v>1998</v>
      </c>
      <c r="B195" s="9" t="inlineStr">
        <is>
          <t>plata</t>
        </is>
      </c>
      <c r="C195" s="9" t="inlineStr">
        <is>
          <t>E2 Bruto/semilabrado</t>
        </is>
      </c>
      <c r="D195" s="9" t="n">
        <v>425559217</v>
      </c>
      <c r="E195" s="9" t="inlineStr">
        <is>
          <t>Estados Unidos</t>
        </is>
      </c>
      <c r="F195" s="9" t="n">
        <v>0.5626</v>
      </c>
      <c r="G195" s="9" t="n">
        <v>0</v>
      </c>
      <c r="H195" s="9" t="n">
        <v>0.5626</v>
      </c>
      <c r="I195" s="9" t="n">
        <v>20</v>
      </c>
    </row>
    <row r="196">
      <c r="A196" s="6" t="n">
        <v>1998</v>
      </c>
      <c r="B196" s="6" t="inlineStr">
        <is>
          <t>plomo</t>
        </is>
      </c>
      <c r="C196" s="6" t="inlineStr">
        <is>
          <t>E1 Mena/concentrado</t>
        </is>
      </c>
      <c r="D196" s="6" t="n">
        <v>4415557</v>
      </c>
      <c r="E196" s="6" t="inlineStr">
        <is>
          <t>Canada</t>
        </is>
      </c>
      <c r="F196" s="6" t="n">
        <v>0.5992</v>
      </c>
      <c r="G196" s="6" t="n">
        <v>0</v>
      </c>
      <c r="H196" s="6" t="n">
        <v>0</v>
      </c>
      <c r="I196" s="6" t="n">
        <v>3</v>
      </c>
    </row>
    <row r="197">
      <c r="A197" s="9" t="n">
        <v>1998</v>
      </c>
      <c r="B197" s="9" t="inlineStr">
        <is>
          <t>plomo</t>
        </is>
      </c>
      <c r="C197" s="9" t="inlineStr">
        <is>
          <t>E2 Metal en bruto/refinado</t>
        </is>
      </c>
      <c r="D197" s="9" t="n">
        <v>38417546</v>
      </c>
      <c r="E197" s="9" t="inlineStr">
        <is>
          <t>Estados Unidos</t>
        </is>
      </c>
      <c r="F197" s="9" t="n">
        <v>0.8584000000000001</v>
      </c>
      <c r="G197" s="9" t="n">
        <v>0</v>
      </c>
      <c r="H197" s="9" t="n">
        <v>0.8584000000000001</v>
      </c>
      <c r="I197" s="9" t="n">
        <v>15</v>
      </c>
    </row>
    <row r="198">
      <c r="A198" s="6" t="n">
        <v>1998</v>
      </c>
      <c r="B198" s="6" t="inlineStr">
        <is>
          <t>plomo</t>
        </is>
      </c>
      <c r="C198" s="6" t="inlineStr">
        <is>
          <t>E3 Semimanufacturas</t>
        </is>
      </c>
      <c r="D198" s="6" t="n">
        <v>4183</v>
      </c>
      <c r="E198" s="6" t="inlineStr">
        <is>
          <t>Estados Unidos</t>
        </is>
      </c>
      <c r="F198" s="6" t="n">
        <v>0.9515</v>
      </c>
      <c r="G198" s="6" t="n">
        <v>0</v>
      </c>
      <c r="H198" s="6" t="n">
        <v>0.9515</v>
      </c>
      <c r="I198" s="6" t="n">
        <v>2</v>
      </c>
    </row>
    <row r="199">
      <c r="A199" s="9" t="n">
        <v>1998</v>
      </c>
      <c r="B199" s="9" t="inlineStr">
        <is>
          <t>plomo</t>
        </is>
      </c>
      <c r="C199" s="9" t="inlineStr">
        <is>
          <t>E4 Manufacturas</t>
        </is>
      </c>
      <c r="D199" s="9" t="n">
        <v>1828299</v>
      </c>
      <c r="E199" s="9" t="inlineStr">
        <is>
          <t>Estados Unidos</t>
        </is>
      </c>
      <c r="F199" s="9" t="n">
        <v>0.7783</v>
      </c>
      <c r="G199" s="9" t="n">
        <v>0</v>
      </c>
      <c r="H199" s="9" t="n">
        <v>0.7783</v>
      </c>
      <c r="I199" s="9" t="n">
        <v>10</v>
      </c>
    </row>
    <row r="200">
      <c r="A200" s="6" t="n">
        <v>1998</v>
      </c>
      <c r="B200" s="6" t="inlineStr">
        <is>
          <t>silice</t>
        </is>
      </c>
      <c r="C200" s="6" t="inlineStr">
        <is>
          <t>E1 Arena silica/cuarzo</t>
        </is>
      </c>
      <c r="D200" s="6" t="n">
        <v>282720</v>
      </c>
      <c r="E200" s="6" t="inlineStr">
        <is>
          <t>Estados Unidos</t>
        </is>
      </c>
      <c r="F200" s="6" t="n">
        <v>0.7127</v>
      </c>
      <c r="G200" s="6" t="n">
        <v>0</v>
      </c>
      <c r="H200" s="6" t="n">
        <v>0.7127</v>
      </c>
      <c r="I200" s="6" t="n">
        <v>9</v>
      </c>
    </row>
    <row r="201">
      <c r="A201" s="9" t="n">
        <v>1998</v>
      </c>
      <c r="B201" s="9" t="inlineStr">
        <is>
          <t>silice</t>
        </is>
      </c>
      <c r="C201" s="9" t="inlineStr">
        <is>
          <t>E2 Silicio/ferrosilicio/SiO2</t>
        </is>
      </c>
      <c r="D201" s="9" t="n">
        <v>3758113</v>
      </c>
      <c r="E201" s="9" t="inlineStr">
        <is>
          <t>Estados Unidos</t>
        </is>
      </c>
      <c r="F201" s="9" t="n">
        <v>0.1689</v>
      </c>
      <c r="G201" s="9" t="n">
        <v>0.0063</v>
      </c>
      <c r="H201" s="9" t="n">
        <v>0.1689</v>
      </c>
      <c r="I201" s="9" t="n">
        <v>25</v>
      </c>
    </row>
    <row r="202">
      <c r="A202" s="6" t="n">
        <v>1998</v>
      </c>
      <c r="B202" s="6" t="inlineStr">
        <is>
          <t>zinc</t>
        </is>
      </c>
      <c r="C202" s="6" t="inlineStr">
        <is>
          <t>E1 Mena/concentrado</t>
        </is>
      </c>
      <c r="D202" s="6" t="n">
        <v>71915377</v>
      </c>
      <c r="E202" s="6" t="inlineStr">
        <is>
          <t>socio_58</t>
        </is>
      </c>
      <c r="F202" s="6" t="n">
        <v>0.3698</v>
      </c>
      <c r="G202" s="6" t="n">
        <v>0</v>
      </c>
      <c r="H202" s="6" t="n">
        <v>0.1573</v>
      </c>
      <c r="I202" s="6" t="n">
        <v>15</v>
      </c>
    </row>
    <row r="203">
      <c r="A203" s="9" t="n">
        <v>1998</v>
      </c>
      <c r="B203" s="9" t="inlineStr">
        <is>
          <t>zinc</t>
        </is>
      </c>
      <c r="C203" s="9" t="inlineStr">
        <is>
          <t>E2 Metal en bruto/refinado</t>
        </is>
      </c>
      <c r="D203" s="9" t="n">
        <v>74655631</v>
      </c>
      <c r="E203" s="9" t="inlineStr">
        <is>
          <t>Estados Unidos</t>
        </is>
      </c>
      <c r="F203" s="9" t="n">
        <v>0.7114</v>
      </c>
      <c r="G203" s="9" t="n">
        <v>0</v>
      </c>
      <c r="H203" s="9" t="n">
        <v>0.7114</v>
      </c>
      <c r="I203" s="9" t="n">
        <v>13</v>
      </c>
    </row>
    <row r="204">
      <c r="A204" s="6" t="n">
        <v>1998</v>
      </c>
      <c r="B204" s="6" t="inlineStr">
        <is>
          <t>zinc</t>
        </is>
      </c>
      <c r="C204" s="6" t="inlineStr">
        <is>
          <t>E3 Semimanufacturas</t>
        </is>
      </c>
      <c r="D204" s="6" t="n">
        <v>35625229</v>
      </c>
      <c r="E204" s="6" t="inlineStr">
        <is>
          <t>Estados Unidos</t>
        </is>
      </c>
      <c r="F204" s="6" t="n">
        <v>0.9759</v>
      </c>
      <c r="G204" s="6" t="n">
        <v>0</v>
      </c>
      <c r="H204" s="6" t="n">
        <v>0.9759</v>
      </c>
      <c r="I204" s="6" t="n">
        <v>11</v>
      </c>
    </row>
    <row r="205">
      <c r="A205" s="9" t="n">
        <v>1998</v>
      </c>
      <c r="B205" s="9" t="inlineStr">
        <is>
          <t>zinc</t>
        </is>
      </c>
      <c r="C205" s="9" t="inlineStr">
        <is>
          <t>E4 Manufacturas</t>
        </is>
      </c>
      <c r="D205" s="9" t="n">
        <v>2121948</v>
      </c>
      <c r="E205" s="9" t="inlineStr">
        <is>
          <t>Estados Unidos</t>
        </is>
      </c>
      <c r="F205" s="9" t="n">
        <v>0.9221</v>
      </c>
      <c r="G205" s="9" t="n">
        <v>0</v>
      </c>
      <c r="H205" s="9" t="n">
        <v>0.9221</v>
      </c>
      <c r="I205" s="9" t="n">
        <v>13</v>
      </c>
    </row>
    <row r="206">
      <c r="A206" s="6" t="n">
        <v>1999</v>
      </c>
      <c r="B206" s="6" t="inlineStr">
        <is>
          <t>barita</t>
        </is>
      </c>
      <c r="C206" s="6" t="inlineStr">
        <is>
          <t>E1 Crudo/molido</t>
        </is>
      </c>
      <c r="D206" s="6" t="n">
        <v>1030666</v>
      </c>
      <c r="E206" s="6" t="inlineStr">
        <is>
          <t>Estados Unidos</t>
        </is>
      </c>
      <c r="F206" s="6" t="n">
        <v>1</v>
      </c>
      <c r="G206" s="6" t="n">
        <v>0</v>
      </c>
      <c r="H206" s="6" t="n">
        <v>1</v>
      </c>
      <c r="I206" s="6" t="n">
        <v>1</v>
      </c>
    </row>
    <row r="207">
      <c r="A207" s="9" t="n">
        <v>1999</v>
      </c>
      <c r="B207" s="9" t="inlineStr">
        <is>
          <t>barita</t>
        </is>
      </c>
      <c r="C207" s="9" t="inlineStr">
        <is>
          <t>E2 Quimicos de bario</t>
        </is>
      </c>
      <c r="D207" s="9" t="n">
        <v>7066859</v>
      </c>
      <c r="E207" s="9" t="inlineStr">
        <is>
          <t>Estados Unidos</t>
        </is>
      </c>
      <c r="F207" s="9" t="n">
        <v>0.9954</v>
      </c>
      <c r="G207" s="9" t="n">
        <v>0</v>
      </c>
      <c r="H207" s="9" t="n">
        <v>0.9954</v>
      </c>
      <c r="I207" s="9" t="n">
        <v>2</v>
      </c>
    </row>
    <row r="208">
      <c r="A208" s="6" t="n">
        <v>1999</v>
      </c>
      <c r="B208" s="6" t="inlineStr">
        <is>
          <t>cobre</t>
        </is>
      </c>
      <c r="C208" s="6" t="inlineStr">
        <is>
          <t>E1 Mena/concentrado</t>
        </is>
      </c>
      <c r="D208" s="6" t="n">
        <v>24479468</v>
      </c>
      <c r="E208" s="6" t="inlineStr">
        <is>
          <t>Peru</t>
        </is>
      </c>
      <c r="F208" s="6" t="n">
        <v>0.4051</v>
      </c>
      <c r="G208" s="6" t="n">
        <v>0</v>
      </c>
      <c r="H208" s="6" t="n">
        <v>0.08550000000000001</v>
      </c>
      <c r="I208" s="6" t="n">
        <v>6</v>
      </c>
    </row>
    <row r="209">
      <c r="A209" s="9" t="n">
        <v>1999</v>
      </c>
      <c r="B209" s="9" t="inlineStr">
        <is>
          <t>cobre</t>
        </is>
      </c>
      <c r="C209" s="9" t="inlineStr">
        <is>
          <t>E2 Metal en bruto/refinado</t>
        </is>
      </c>
      <c r="D209" s="9" t="n">
        <v>259030924</v>
      </c>
      <c r="E209" s="9" t="inlineStr">
        <is>
          <t>Estados Unidos</t>
        </is>
      </c>
      <c r="F209" s="9" t="n">
        <v>0.9909</v>
      </c>
      <c r="G209" s="9" t="n">
        <v>0</v>
      </c>
      <c r="H209" s="9" t="n">
        <v>0.9909</v>
      </c>
      <c r="I209" s="9" t="n">
        <v>10</v>
      </c>
    </row>
    <row r="210">
      <c r="A210" s="6" t="n">
        <v>1999</v>
      </c>
      <c r="B210" s="6" t="inlineStr">
        <is>
          <t>cobre</t>
        </is>
      </c>
      <c r="C210" s="6" t="inlineStr">
        <is>
          <t>E3 Semimanufacturas</t>
        </is>
      </c>
      <c r="D210" s="6" t="n">
        <v>266371158</v>
      </c>
      <c r="E210" s="6" t="inlineStr">
        <is>
          <t>Estados Unidos</t>
        </is>
      </c>
      <c r="F210" s="6" t="n">
        <v>0.9136</v>
      </c>
      <c r="G210" s="6" t="n">
        <v>0.0001</v>
      </c>
      <c r="H210" s="6" t="n">
        <v>0.9136</v>
      </c>
      <c r="I210" s="6" t="n">
        <v>45</v>
      </c>
    </row>
    <row r="211">
      <c r="A211" s="9" t="n">
        <v>1999</v>
      </c>
      <c r="B211" s="9" t="inlineStr">
        <is>
          <t>cobre</t>
        </is>
      </c>
      <c r="C211" s="9" t="inlineStr">
        <is>
          <t>E4 Manufacturas</t>
        </is>
      </c>
      <c r="D211" s="9" t="n">
        <v>38697639</v>
      </c>
      <c r="E211" s="9" t="inlineStr">
        <is>
          <t>Estados Unidos</t>
        </is>
      </c>
      <c r="F211" s="9" t="n">
        <v>0.9123</v>
      </c>
      <c r="G211" s="9" t="n">
        <v>0.0001</v>
      </c>
      <c r="H211" s="9" t="n">
        <v>0.9123</v>
      </c>
      <c r="I211" s="9" t="n">
        <v>41</v>
      </c>
    </row>
    <row r="212">
      <c r="A212" s="6" t="n">
        <v>1999</v>
      </c>
      <c r="B212" s="6" t="inlineStr">
        <is>
          <t>fluorita</t>
        </is>
      </c>
      <c r="C212" s="6" t="inlineStr">
        <is>
          <t>E1 Espato fluor (crudo)</t>
        </is>
      </c>
      <c r="D212" s="6" t="n">
        <v>26503055</v>
      </c>
      <c r="E212" s="6" t="inlineStr">
        <is>
          <t>Estados Unidos</t>
        </is>
      </c>
      <c r="F212" s="6" t="n">
        <v>0.4384</v>
      </c>
      <c r="G212" s="6" t="n">
        <v>0</v>
      </c>
      <c r="H212" s="6" t="n">
        <v>0.4384</v>
      </c>
      <c r="I212" s="6" t="n">
        <v>13</v>
      </c>
    </row>
    <row r="213">
      <c r="A213" s="9" t="n">
        <v>1999</v>
      </c>
      <c r="B213" s="9" t="inlineStr">
        <is>
          <t>fluorita</t>
        </is>
      </c>
      <c r="C213" s="9" t="inlineStr">
        <is>
          <t>E2 Fluoroquimica</t>
        </is>
      </c>
      <c r="D213" s="9" t="n">
        <v>104828957</v>
      </c>
      <c r="E213" s="9" t="inlineStr">
        <is>
          <t>Estados Unidos</t>
        </is>
      </c>
      <c r="F213" s="9" t="n">
        <v>0.7945</v>
      </c>
      <c r="G213" s="9" t="n">
        <v>0</v>
      </c>
      <c r="H213" s="9" t="n">
        <v>0.7945</v>
      </c>
      <c r="I213" s="9" t="n">
        <v>11</v>
      </c>
    </row>
    <row r="214">
      <c r="A214" s="6" t="n">
        <v>1999</v>
      </c>
      <c r="B214" s="6" t="inlineStr">
        <is>
          <t>grafito</t>
        </is>
      </c>
      <c r="C214" s="6" t="inlineStr">
        <is>
          <t>E1 Grafito natural</t>
        </is>
      </c>
      <c r="D214" s="6" t="n">
        <v>2027221</v>
      </c>
      <c r="E214" s="6" t="inlineStr">
        <is>
          <t>Estados Unidos</t>
        </is>
      </c>
      <c r="F214" s="6" t="n">
        <v>0.981</v>
      </c>
      <c r="G214" s="6" t="n">
        <v>0</v>
      </c>
      <c r="H214" s="6" t="n">
        <v>0.981</v>
      </c>
      <c r="I214" s="6" t="n">
        <v>4</v>
      </c>
    </row>
    <row r="215">
      <c r="A215" s="9" t="n">
        <v>1999</v>
      </c>
      <c r="B215" s="9" t="inlineStr">
        <is>
          <t>grafito</t>
        </is>
      </c>
      <c r="C215" s="9" t="inlineStr">
        <is>
          <t>E2 Grafito artificial/prep.</t>
        </is>
      </c>
      <c r="D215" s="9" t="n">
        <v>10503553</v>
      </c>
      <c r="E215" s="9" t="inlineStr">
        <is>
          <t>Suiza</t>
        </is>
      </c>
      <c r="F215" s="9" t="n">
        <v>0.7241</v>
      </c>
      <c r="G215" s="9" t="n">
        <v>0</v>
      </c>
      <c r="H215" s="9" t="n">
        <v>0.1997</v>
      </c>
      <c r="I215" s="9" t="n">
        <v>15</v>
      </c>
    </row>
    <row r="216">
      <c r="A216" s="6" t="n">
        <v>1999</v>
      </c>
      <c r="B216" s="6" t="inlineStr">
        <is>
          <t>grafito</t>
        </is>
      </c>
      <c r="C216" s="6" t="inlineStr">
        <is>
          <t>E3 Electrodos/articulos de carbono</t>
        </is>
      </c>
      <c r="D216" s="6" t="n">
        <v>53012949</v>
      </c>
      <c r="E216" s="6" t="inlineStr">
        <is>
          <t>Suiza</t>
        </is>
      </c>
      <c r="F216" s="6" t="n">
        <v>0.4924</v>
      </c>
      <c r="G216" s="6" t="n">
        <v>0</v>
      </c>
      <c r="H216" s="6" t="n">
        <v>0.2278</v>
      </c>
      <c r="I216" s="6" t="n">
        <v>21</v>
      </c>
    </row>
    <row r="217">
      <c r="A217" s="9" t="n">
        <v>1999</v>
      </c>
      <c r="B217" s="9" t="inlineStr">
        <is>
          <t>manganeso</t>
        </is>
      </c>
      <c r="C217" s="9" t="inlineStr">
        <is>
          <t>E1 Mena/concentrado</t>
        </is>
      </c>
      <c r="D217" s="9" t="n">
        <v>4223878</v>
      </c>
      <c r="E217" s="9" t="inlineStr">
        <is>
          <t>Estados Unidos</t>
        </is>
      </c>
      <c r="F217" s="9" t="n">
        <v>0.4723</v>
      </c>
      <c r="G217" s="9" t="n">
        <v>0</v>
      </c>
      <c r="H217" s="9" t="n">
        <v>0.4723</v>
      </c>
      <c r="I217" s="9" t="n">
        <v>18</v>
      </c>
    </row>
    <row r="218">
      <c r="A218" s="6" t="n">
        <v>1999</v>
      </c>
      <c r="B218" s="6" t="inlineStr">
        <is>
          <t>manganeso</t>
        </is>
      </c>
      <c r="C218" s="6" t="inlineStr">
        <is>
          <t>E2 Ferroaleaciones</t>
        </is>
      </c>
      <c r="D218" s="6" t="n">
        <v>40979924</v>
      </c>
      <c r="E218" s="6" t="inlineStr">
        <is>
          <t>Estados Unidos</t>
        </is>
      </c>
      <c r="F218" s="6" t="n">
        <v>0.9063</v>
      </c>
      <c r="G218" s="6" t="n">
        <v>0</v>
      </c>
      <c r="H218" s="6" t="n">
        <v>0.9063</v>
      </c>
      <c r="I218" s="6" t="n">
        <v>12</v>
      </c>
    </row>
    <row r="219">
      <c r="A219" s="9" t="n">
        <v>1999</v>
      </c>
      <c r="B219" s="9" t="inlineStr">
        <is>
          <t>manganeso</t>
        </is>
      </c>
      <c r="C219" s="9" t="inlineStr">
        <is>
          <t>E3 Quimicos/metal</t>
        </is>
      </c>
      <c r="D219" s="9" t="n">
        <v>1447625</v>
      </c>
      <c r="E219" s="9" t="inlineStr">
        <is>
          <t>Espana</t>
        </is>
      </c>
      <c r="F219" s="9" t="n">
        <v>0.6286</v>
      </c>
      <c r="G219" s="9" t="n">
        <v>0</v>
      </c>
      <c r="H219" s="9" t="n">
        <v>0.0463</v>
      </c>
      <c r="I219" s="9" t="n">
        <v>9</v>
      </c>
    </row>
    <row r="220">
      <c r="A220" s="6" t="n">
        <v>1999</v>
      </c>
      <c r="B220" s="6" t="inlineStr">
        <is>
          <t>oro</t>
        </is>
      </c>
      <c r="C220" s="6" t="inlineStr">
        <is>
          <t>E1 Mena/concentrado</t>
        </is>
      </c>
      <c r="D220" s="6" t="n">
        <v>11399621</v>
      </c>
      <c r="E220" s="6" t="inlineStr">
        <is>
          <t>Reino Unido</t>
        </is>
      </c>
      <c r="F220" s="6" t="n">
        <v>0.4122</v>
      </c>
      <c r="G220" s="6" t="n">
        <v>0</v>
      </c>
      <c r="H220" s="6" t="n">
        <v>0</v>
      </c>
      <c r="I220" s="6" t="n">
        <v>5</v>
      </c>
    </row>
    <row r="221">
      <c r="A221" s="9" t="n">
        <v>1999</v>
      </c>
      <c r="B221" s="9" t="inlineStr">
        <is>
          <t>oro</t>
        </is>
      </c>
      <c r="C221" s="9" t="inlineStr">
        <is>
          <t>E2 Bruto/semilabrado</t>
        </is>
      </c>
      <c r="D221" s="9" t="n">
        <v>91457362</v>
      </c>
      <c r="E221" s="9" t="inlineStr">
        <is>
          <t>Estados Unidos</t>
        </is>
      </c>
      <c r="F221" s="9" t="n">
        <v>0.6065</v>
      </c>
      <c r="G221" s="9" t="n">
        <v>0</v>
      </c>
      <c r="H221" s="9" t="n">
        <v>0.6065</v>
      </c>
      <c r="I221" s="9" t="n">
        <v>6</v>
      </c>
    </row>
    <row r="222">
      <c r="A222" s="6" t="n">
        <v>1999</v>
      </c>
      <c r="B222" s="6" t="inlineStr">
        <is>
          <t>oro-plata (manufacturas)</t>
        </is>
      </c>
      <c r="C222" s="6" t="inlineStr">
        <is>
          <t>E4 Joyeria/orfebreria</t>
        </is>
      </c>
      <c r="D222" s="6" t="n">
        <v>364566620</v>
      </c>
      <c r="E222" s="6" t="inlineStr">
        <is>
          <t>Estados Unidos</t>
        </is>
      </c>
      <c r="F222" s="6" t="n">
        <v>0.9599</v>
      </c>
      <c r="G222" s="6" t="n">
        <v>0</v>
      </c>
      <c r="H222" s="6" t="n">
        <v>0.9599</v>
      </c>
      <c r="I222" s="6" t="n">
        <v>69</v>
      </c>
    </row>
    <row r="223">
      <c r="A223" s="9" t="n">
        <v>1999</v>
      </c>
      <c r="B223" s="9" t="inlineStr">
        <is>
          <t>plata</t>
        </is>
      </c>
      <c r="C223" s="9" t="inlineStr">
        <is>
          <t>E1 Mena/concentrado</t>
        </is>
      </c>
      <c r="D223" s="9" t="n">
        <v>69904</v>
      </c>
      <c r="E223" s="9" t="inlineStr">
        <is>
          <t>Estados Unidos</t>
        </is>
      </c>
      <c r="F223" s="9" t="n">
        <v>1</v>
      </c>
      <c r="G223" s="9" t="n">
        <v>0</v>
      </c>
      <c r="H223" s="9" t="n">
        <v>1</v>
      </c>
      <c r="I223" s="9" t="n">
        <v>1</v>
      </c>
    </row>
    <row r="224">
      <c r="A224" s="6" t="n">
        <v>1999</v>
      </c>
      <c r="B224" s="6" t="inlineStr">
        <is>
          <t>plata</t>
        </is>
      </c>
      <c r="C224" s="6" t="inlineStr">
        <is>
          <t>E2 Bruto/semilabrado</t>
        </is>
      </c>
      <c r="D224" s="6" t="n">
        <v>398687564</v>
      </c>
      <c r="E224" s="6" t="inlineStr">
        <is>
          <t>Estados Unidos</t>
        </is>
      </c>
      <c r="F224" s="6" t="n">
        <v>0.6662</v>
      </c>
      <c r="G224" s="6" t="n">
        <v>0</v>
      </c>
      <c r="H224" s="6" t="n">
        <v>0.6662</v>
      </c>
      <c r="I224" s="6" t="n">
        <v>21</v>
      </c>
    </row>
    <row r="225">
      <c r="A225" s="9" t="n">
        <v>1999</v>
      </c>
      <c r="B225" s="9" t="inlineStr">
        <is>
          <t>plomo</t>
        </is>
      </c>
      <c r="C225" s="9" t="inlineStr">
        <is>
          <t>E1 Mena/concentrado</t>
        </is>
      </c>
      <c r="D225" s="9" t="n">
        <v>19056014</v>
      </c>
      <c r="E225" s="9" t="inlineStr">
        <is>
          <t>Estados Unidos</t>
        </is>
      </c>
      <c r="F225" s="9" t="n">
        <v>0.3694</v>
      </c>
      <c r="G225" s="9" t="n">
        <v>0.0145</v>
      </c>
      <c r="H225" s="9" t="n">
        <v>0.3694</v>
      </c>
      <c r="I225" s="9" t="n">
        <v>5</v>
      </c>
    </row>
    <row r="226">
      <c r="A226" s="6" t="n">
        <v>1999</v>
      </c>
      <c r="B226" s="6" t="inlineStr">
        <is>
          <t>plomo</t>
        </is>
      </c>
      <c r="C226" s="6" t="inlineStr">
        <is>
          <t>E2 Metal en bruto/refinado</t>
        </is>
      </c>
      <c r="D226" s="6" t="n">
        <v>14698477</v>
      </c>
      <c r="E226" s="6" t="inlineStr">
        <is>
          <t>Estados Unidos</t>
        </is>
      </c>
      <c r="F226" s="6" t="n">
        <v>0.8917</v>
      </c>
      <c r="G226" s="6" t="n">
        <v>0</v>
      </c>
      <c r="H226" s="6" t="n">
        <v>0.8917</v>
      </c>
      <c r="I226" s="6" t="n">
        <v>11</v>
      </c>
    </row>
    <row r="227">
      <c r="A227" s="9" t="n">
        <v>1999</v>
      </c>
      <c r="B227" s="9" t="inlineStr">
        <is>
          <t>plomo</t>
        </is>
      </c>
      <c r="C227" s="9" t="inlineStr">
        <is>
          <t>E3 Semimanufacturas</t>
        </is>
      </c>
      <c r="D227" s="9" t="n">
        <v>2765085</v>
      </c>
      <c r="E227" s="9" t="inlineStr">
        <is>
          <t>Belgica</t>
        </is>
      </c>
      <c r="F227" s="9" t="n">
        <v>0.9882</v>
      </c>
      <c r="G227" s="9" t="n">
        <v>0</v>
      </c>
      <c r="H227" s="9" t="n">
        <v>0.0036</v>
      </c>
      <c r="I227" s="9" t="n">
        <v>6</v>
      </c>
    </row>
    <row r="228">
      <c r="A228" s="6" t="n">
        <v>1999</v>
      </c>
      <c r="B228" s="6" t="inlineStr">
        <is>
          <t>plomo</t>
        </is>
      </c>
      <c r="C228" s="6" t="inlineStr">
        <is>
          <t>E4 Manufacturas</t>
        </is>
      </c>
      <c r="D228" s="6" t="n">
        <v>1465745</v>
      </c>
      <c r="E228" s="6" t="inlineStr">
        <is>
          <t>Estados Unidos</t>
        </is>
      </c>
      <c r="F228" s="6" t="n">
        <v>0.9405</v>
      </c>
      <c r="G228" s="6" t="n">
        <v>0</v>
      </c>
      <c r="H228" s="6" t="n">
        <v>0.9405</v>
      </c>
      <c r="I228" s="6" t="n">
        <v>11</v>
      </c>
    </row>
    <row r="229">
      <c r="A229" s="9" t="n">
        <v>1999</v>
      </c>
      <c r="B229" s="9" t="inlineStr">
        <is>
          <t>silice</t>
        </is>
      </c>
      <c r="C229" s="9" t="inlineStr">
        <is>
          <t>E1 Arena silica/cuarzo</t>
        </is>
      </c>
      <c r="D229" s="9" t="n">
        <v>895176</v>
      </c>
      <c r="E229" s="9" t="inlineStr">
        <is>
          <t>Estados Unidos</t>
        </is>
      </c>
      <c r="F229" s="9" t="n">
        <v>0.9186</v>
      </c>
      <c r="G229" s="9" t="n">
        <v>0</v>
      </c>
      <c r="H229" s="9" t="n">
        <v>0.9186</v>
      </c>
      <c r="I229" s="9" t="n">
        <v>8</v>
      </c>
    </row>
    <row r="230">
      <c r="A230" s="6" t="n">
        <v>1999</v>
      </c>
      <c r="B230" s="6" t="inlineStr">
        <is>
          <t>silice</t>
        </is>
      </c>
      <c r="C230" s="6" t="inlineStr">
        <is>
          <t>E2 Silicio/ferrosilicio/SiO2</t>
        </is>
      </c>
      <c r="D230" s="6" t="n">
        <v>5948237</v>
      </c>
      <c r="E230" s="6" t="inlineStr">
        <is>
          <t>Estados Unidos</t>
        </is>
      </c>
      <c r="F230" s="6" t="n">
        <v>0.3843</v>
      </c>
      <c r="G230" s="6" t="n">
        <v>0</v>
      </c>
      <c r="H230" s="6" t="n">
        <v>0.3843</v>
      </c>
      <c r="I230" s="6" t="n">
        <v>22</v>
      </c>
    </row>
    <row r="231">
      <c r="A231" s="9" t="n">
        <v>1999</v>
      </c>
      <c r="B231" s="9" t="inlineStr">
        <is>
          <t>zinc</t>
        </is>
      </c>
      <c r="C231" s="9" t="inlineStr">
        <is>
          <t>E1 Mena/concentrado</t>
        </is>
      </c>
      <c r="D231" s="9" t="n">
        <v>75143565</v>
      </c>
      <c r="E231" s="9" t="inlineStr">
        <is>
          <t>Suiza</t>
        </is>
      </c>
      <c r="F231" s="9" t="n">
        <v>0.3603</v>
      </c>
      <c r="G231" s="9" t="n">
        <v>0</v>
      </c>
      <c r="H231" s="9" t="n">
        <v>0.2169</v>
      </c>
      <c r="I231" s="9" t="n">
        <v>11</v>
      </c>
    </row>
    <row r="232">
      <c r="A232" s="6" t="n">
        <v>1999</v>
      </c>
      <c r="B232" s="6" t="inlineStr">
        <is>
          <t>zinc</t>
        </is>
      </c>
      <c r="C232" s="6" t="inlineStr">
        <is>
          <t>E2 Metal en bruto/refinado</t>
        </is>
      </c>
      <c r="D232" s="6" t="n">
        <v>91230556</v>
      </c>
      <c r="E232" s="6" t="inlineStr">
        <is>
          <t>Estados Unidos</t>
        </is>
      </c>
      <c r="F232" s="6" t="n">
        <v>0.7159</v>
      </c>
      <c r="G232" s="6" t="n">
        <v>0</v>
      </c>
      <c r="H232" s="6" t="n">
        <v>0.7159</v>
      </c>
      <c r="I232" s="6" t="n">
        <v>14</v>
      </c>
    </row>
    <row r="233">
      <c r="A233" s="9" t="n">
        <v>1999</v>
      </c>
      <c r="B233" s="9" t="inlineStr">
        <is>
          <t>zinc</t>
        </is>
      </c>
      <c r="C233" s="9" t="inlineStr">
        <is>
          <t>E3 Semimanufacturas</t>
        </is>
      </c>
      <c r="D233" s="9" t="n">
        <v>41965875</v>
      </c>
      <c r="E233" s="9" t="inlineStr">
        <is>
          <t>Estados Unidos</t>
        </is>
      </c>
      <c r="F233" s="9" t="n">
        <v>0.9877</v>
      </c>
      <c r="G233" s="9" t="n">
        <v>0</v>
      </c>
      <c r="H233" s="9" t="n">
        <v>0.9877</v>
      </c>
      <c r="I233" s="9" t="n">
        <v>11</v>
      </c>
    </row>
    <row r="234">
      <c r="A234" s="6" t="n">
        <v>1999</v>
      </c>
      <c r="B234" s="6" t="inlineStr">
        <is>
          <t>zinc</t>
        </is>
      </c>
      <c r="C234" s="6" t="inlineStr">
        <is>
          <t>E4 Manufacturas</t>
        </is>
      </c>
      <c r="D234" s="6" t="n">
        <v>4639034</v>
      </c>
      <c r="E234" s="6" t="inlineStr">
        <is>
          <t>Estados Unidos</t>
        </is>
      </c>
      <c r="F234" s="6" t="n">
        <v>0.9742</v>
      </c>
      <c r="G234" s="6" t="n">
        <v>0.0027</v>
      </c>
      <c r="H234" s="6" t="n">
        <v>0.9742</v>
      </c>
      <c r="I234" s="6" t="n">
        <v>9</v>
      </c>
    </row>
    <row r="235">
      <c r="A235" s="9" t="n">
        <v>2000</v>
      </c>
      <c r="B235" s="9" t="inlineStr">
        <is>
          <t>barita</t>
        </is>
      </c>
      <c r="C235" s="9" t="inlineStr">
        <is>
          <t>E1 Crudo/molido</t>
        </is>
      </c>
      <c r="D235" s="9" t="n">
        <v>767826</v>
      </c>
      <c r="E235" s="9" t="inlineStr">
        <is>
          <t>Estados Unidos</t>
        </is>
      </c>
      <c r="F235" s="9" t="n">
        <v>0.593</v>
      </c>
      <c r="G235" s="9" t="n">
        <v>0</v>
      </c>
      <c r="H235" s="9" t="n">
        <v>0.593</v>
      </c>
      <c r="I235" s="9" t="n">
        <v>3</v>
      </c>
    </row>
    <row r="236">
      <c r="A236" s="6" t="n">
        <v>2000</v>
      </c>
      <c r="B236" s="6" t="inlineStr">
        <is>
          <t>barita</t>
        </is>
      </c>
      <c r="C236" s="6" t="inlineStr">
        <is>
          <t>E2 Quimicos de bario</t>
        </is>
      </c>
      <c r="D236" s="6" t="n">
        <v>6493317</v>
      </c>
      <c r="E236" s="6" t="inlineStr">
        <is>
          <t>Estados Unidos</t>
        </is>
      </c>
      <c r="F236" s="6" t="n">
        <v>0.9996</v>
      </c>
      <c r="G236" s="6" t="n">
        <v>0</v>
      </c>
      <c r="H236" s="6" t="n">
        <v>0.9996</v>
      </c>
      <c r="I236" s="6" t="n">
        <v>2</v>
      </c>
    </row>
    <row r="237">
      <c r="A237" s="9" t="n">
        <v>2000</v>
      </c>
      <c r="B237" s="9" t="inlineStr">
        <is>
          <t>cobre</t>
        </is>
      </c>
      <c r="C237" s="9" t="inlineStr">
        <is>
          <t>E1 Mena/concentrado</t>
        </is>
      </c>
      <c r="D237" s="9" t="n">
        <v>115701455</v>
      </c>
      <c r="E237" s="9" t="inlineStr">
        <is>
          <t>Estados Unidos</t>
        </is>
      </c>
      <c r="F237" s="9" t="n">
        <v>0.5181</v>
      </c>
      <c r="G237" s="9" t="n">
        <v>0.0045</v>
      </c>
      <c r="H237" s="9" t="n">
        <v>0.5181</v>
      </c>
      <c r="I237" s="9" t="n">
        <v>8</v>
      </c>
    </row>
    <row r="238">
      <c r="A238" s="6" t="n">
        <v>2000</v>
      </c>
      <c r="B238" s="6" t="inlineStr">
        <is>
          <t>cobre</t>
        </is>
      </c>
      <c r="C238" s="6" t="inlineStr">
        <is>
          <t>E2 Metal en bruto/refinado</t>
        </is>
      </c>
      <c r="D238" s="6" t="n">
        <v>224508642</v>
      </c>
      <c r="E238" s="6" t="inlineStr">
        <is>
          <t>Estados Unidos</t>
        </is>
      </c>
      <c r="F238" s="6" t="n">
        <v>0.991</v>
      </c>
      <c r="G238" s="6" t="n">
        <v>0</v>
      </c>
      <c r="H238" s="6" t="n">
        <v>0.991</v>
      </c>
      <c r="I238" s="6" t="n">
        <v>8</v>
      </c>
    </row>
    <row r="239">
      <c r="A239" s="9" t="n">
        <v>2000</v>
      </c>
      <c r="B239" s="9" t="inlineStr">
        <is>
          <t>cobre</t>
        </is>
      </c>
      <c r="C239" s="9" t="inlineStr">
        <is>
          <t>E3 Semimanufacturas</t>
        </is>
      </c>
      <c r="D239" s="9" t="n">
        <v>405534456</v>
      </c>
      <c r="E239" s="9" t="inlineStr">
        <is>
          <t>Estados Unidos</t>
        </is>
      </c>
      <c r="F239" s="9" t="n">
        <v>0.8816000000000001</v>
      </c>
      <c r="G239" s="9" t="n">
        <v>0.0058</v>
      </c>
      <c r="H239" s="9" t="n">
        <v>0.8816000000000001</v>
      </c>
      <c r="I239" s="9" t="n">
        <v>43</v>
      </c>
    </row>
    <row r="240">
      <c r="A240" s="6" t="n">
        <v>2000</v>
      </c>
      <c r="B240" s="6" t="inlineStr">
        <is>
          <t>cobre</t>
        </is>
      </c>
      <c r="C240" s="6" t="inlineStr">
        <is>
          <t>E4 Manufacturas</t>
        </is>
      </c>
      <c r="D240" s="6" t="n">
        <v>47581051</v>
      </c>
      <c r="E240" s="6" t="inlineStr">
        <is>
          <t>Estados Unidos</t>
        </is>
      </c>
      <c r="F240" s="6" t="n">
        <v>0.9607</v>
      </c>
      <c r="G240" s="6" t="n">
        <v>0</v>
      </c>
      <c r="H240" s="6" t="n">
        <v>0.9607</v>
      </c>
      <c r="I240" s="6" t="n">
        <v>34</v>
      </c>
    </row>
    <row r="241">
      <c r="A241" s="9" t="n">
        <v>2000</v>
      </c>
      <c r="B241" s="9" t="inlineStr">
        <is>
          <t>fluorita</t>
        </is>
      </c>
      <c r="C241" s="9" t="inlineStr">
        <is>
          <t>E1 Espato fluor (crudo)</t>
        </is>
      </c>
      <c r="D241" s="9" t="n">
        <v>29324727</v>
      </c>
      <c r="E241" s="9" t="inlineStr">
        <is>
          <t>Canada</t>
        </is>
      </c>
      <c r="F241" s="9" t="n">
        <v>0.2823</v>
      </c>
      <c r="G241" s="9" t="n">
        <v>0</v>
      </c>
      <c r="H241" s="9" t="n">
        <v>0.1944</v>
      </c>
      <c r="I241" s="9" t="n">
        <v>17</v>
      </c>
    </row>
    <row r="242">
      <c r="A242" s="6" t="n">
        <v>2000</v>
      </c>
      <c r="B242" s="6" t="inlineStr">
        <is>
          <t>fluorita</t>
        </is>
      </c>
      <c r="C242" s="6" t="inlineStr">
        <is>
          <t>E2 Fluoroquimica</t>
        </is>
      </c>
      <c r="D242" s="6" t="n">
        <v>112474431</v>
      </c>
      <c r="E242" s="6" t="inlineStr">
        <is>
          <t>Estados Unidos</t>
        </is>
      </c>
      <c r="F242" s="6" t="n">
        <v>0.8225</v>
      </c>
      <c r="G242" s="6" t="n">
        <v>0</v>
      </c>
      <c r="H242" s="6" t="n">
        <v>0.8225</v>
      </c>
      <c r="I242" s="6" t="n">
        <v>15</v>
      </c>
    </row>
    <row r="243">
      <c r="A243" s="9" t="n">
        <v>2000</v>
      </c>
      <c r="B243" s="9" t="inlineStr">
        <is>
          <t>grafito</t>
        </is>
      </c>
      <c r="C243" s="9" t="inlineStr">
        <is>
          <t>E1 Grafito natural</t>
        </is>
      </c>
      <c r="D243" s="9" t="n">
        <v>2392258</v>
      </c>
      <c r="E243" s="9" t="inlineStr">
        <is>
          <t>Estados Unidos</t>
        </is>
      </c>
      <c r="F243" s="9" t="n">
        <v>0.8682</v>
      </c>
      <c r="G243" s="9" t="n">
        <v>0.0058</v>
      </c>
      <c r="H243" s="9" t="n">
        <v>0.8682</v>
      </c>
      <c r="I243" s="9" t="n">
        <v>5</v>
      </c>
    </row>
    <row r="244">
      <c r="A244" s="6" t="n">
        <v>2000</v>
      </c>
      <c r="B244" s="6" t="inlineStr">
        <is>
          <t>grafito</t>
        </is>
      </c>
      <c r="C244" s="6" t="inlineStr">
        <is>
          <t>E2 Grafito artificial/prep.</t>
        </is>
      </c>
      <c r="D244" s="6" t="n">
        <v>12771199</v>
      </c>
      <c r="E244" s="6" t="inlineStr">
        <is>
          <t>Estados Unidos</t>
        </is>
      </c>
      <c r="F244" s="6" t="n">
        <v>0.6637999999999999</v>
      </c>
      <c r="G244" s="6" t="n">
        <v>0</v>
      </c>
      <c r="H244" s="6" t="n">
        <v>0.6637999999999999</v>
      </c>
      <c r="I244" s="6" t="n">
        <v>10</v>
      </c>
    </row>
    <row r="245">
      <c r="A245" s="9" t="n">
        <v>2000</v>
      </c>
      <c r="B245" s="9" t="inlineStr">
        <is>
          <t>grafito</t>
        </is>
      </c>
      <c r="C245" s="9" t="inlineStr">
        <is>
          <t>E3 Electrodos/articulos de carbono</t>
        </is>
      </c>
      <c r="D245" s="9" t="n">
        <v>53957736</v>
      </c>
      <c r="E245" s="9" t="inlineStr">
        <is>
          <t>Estados Unidos</t>
        </is>
      </c>
      <c r="F245" s="9" t="n">
        <v>0.7846</v>
      </c>
      <c r="G245" s="9" t="n">
        <v>0</v>
      </c>
      <c r="H245" s="9" t="n">
        <v>0.7846</v>
      </c>
      <c r="I245" s="9" t="n">
        <v>26</v>
      </c>
    </row>
    <row r="246">
      <c r="A246" s="6" t="n">
        <v>2000</v>
      </c>
      <c r="B246" s="6" t="inlineStr">
        <is>
          <t>manganeso</t>
        </is>
      </c>
      <c r="C246" s="6" t="inlineStr">
        <is>
          <t>E1 Mena/concentrado</t>
        </is>
      </c>
      <c r="D246" s="6" t="n">
        <v>3726255</v>
      </c>
      <c r="E246" s="6" t="inlineStr">
        <is>
          <t>Estados Unidos</t>
        </is>
      </c>
      <c r="F246" s="6" t="n">
        <v>0.352</v>
      </c>
      <c r="G246" s="6" t="n">
        <v>0</v>
      </c>
      <c r="H246" s="6" t="n">
        <v>0.352</v>
      </c>
      <c r="I246" s="6" t="n">
        <v>20</v>
      </c>
    </row>
    <row r="247">
      <c r="A247" s="9" t="n">
        <v>2000</v>
      </c>
      <c r="B247" s="9" t="inlineStr">
        <is>
          <t>manganeso</t>
        </is>
      </c>
      <c r="C247" s="9" t="inlineStr">
        <is>
          <t>E2 Ferroaleaciones</t>
        </is>
      </c>
      <c r="D247" s="9" t="n">
        <v>47135944</v>
      </c>
      <c r="E247" s="9" t="inlineStr">
        <is>
          <t>Estados Unidos</t>
        </is>
      </c>
      <c r="F247" s="9" t="n">
        <v>0.7845</v>
      </c>
      <c r="G247" s="9" t="n">
        <v>0</v>
      </c>
      <c r="H247" s="9" t="n">
        <v>0.7845</v>
      </c>
      <c r="I247" s="9" t="n">
        <v>18</v>
      </c>
    </row>
    <row r="248">
      <c r="A248" s="6" t="n">
        <v>2000</v>
      </c>
      <c r="B248" s="6" t="inlineStr">
        <is>
          <t>manganeso</t>
        </is>
      </c>
      <c r="C248" s="6" t="inlineStr">
        <is>
          <t>E3 Quimicos/metal</t>
        </is>
      </c>
      <c r="D248" s="6" t="n">
        <v>1953211</v>
      </c>
      <c r="E248" s="6" t="inlineStr">
        <is>
          <t>Espana</t>
        </is>
      </c>
      <c r="F248" s="6" t="n">
        <v>0.4427</v>
      </c>
      <c r="G248" s="6" t="n">
        <v>0</v>
      </c>
      <c r="H248" s="6" t="n">
        <v>0.2645</v>
      </c>
      <c r="I248" s="6" t="n">
        <v>12</v>
      </c>
    </row>
    <row r="249">
      <c r="A249" s="9" t="n">
        <v>2000</v>
      </c>
      <c r="B249" s="9" t="inlineStr">
        <is>
          <t>oro</t>
        </is>
      </c>
      <c r="C249" s="9" t="inlineStr">
        <is>
          <t>E1 Mena/concentrado</t>
        </is>
      </c>
      <c r="D249" s="9" t="n">
        <v>5583174</v>
      </c>
      <c r="E249" s="9" t="inlineStr">
        <is>
          <t>Canada</t>
        </is>
      </c>
      <c r="F249" s="9" t="n">
        <v>0.3807</v>
      </c>
      <c r="G249" s="9" t="n">
        <v>0</v>
      </c>
      <c r="H249" s="9" t="n">
        <v>0.3447</v>
      </c>
      <c r="I249" s="9" t="n">
        <v>4</v>
      </c>
    </row>
    <row r="250">
      <c r="A250" s="6" t="n">
        <v>2000</v>
      </c>
      <c r="B250" s="6" t="inlineStr">
        <is>
          <t>oro</t>
        </is>
      </c>
      <c r="C250" s="6" t="inlineStr">
        <is>
          <t>E2 Bruto/semilabrado</t>
        </is>
      </c>
      <c r="D250" s="6" t="n">
        <v>77883164</v>
      </c>
      <c r="E250" s="6" t="inlineStr">
        <is>
          <t>Estados Unidos</t>
        </is>
      </c>
      <c r="F250" s="6" t="n">
        <v>0.4565</v>
      </c>
      <c r="G250" s="6" t="n">
        <v>0</v>
      </c>
      <c r="H250" s="6" t="n">
        <v>0.4565</v>
      </c>
      <c r="I250" s="6" t="n">
        <v>6</v>
      </c>
    </row>
    <row r="251">
      <c r="A251" s="9" t="n">
        <v>2000</v>
      </c>
      <c r="B251" s="9" t="inlineStr">
        <is>
          <t>oro-plata (manufacturas)</t>
        </is>
      </c>
      <c r="C251" s="9" t="inlineStr">
        <is>
          <t>E4 Joyeria/orfebreria</t>
        </is>
      </c>
      <c r="D251" s="9" t="n">
        <v>354905469</v>
      </c>
      <c r="E251" s="9" t="inlineStr">
        <is>
          <t>Estados Unidos</t>
        </is>
      </c>
      <c r="F251" s="9" t="n">
        <v>0.9626</v>
      </c>
      <c r="G251" s="9" t="n">
        <v>0</v>
      </c>
      <c r="H251" s="9" t="n">
        <v>0.9626</v>
      </c>
      <c r="I251" s="9" t="n">
        <v>62</v>
      </c>
    </row>
    <row r="252">
      <c r="A252" s="6" t="n">
        <v>2000</v>
      </c>
      <c r="B252" s="6" t="inlineStr">
        <is>
          <t>plata</t>
        </is>
      </c>
      <c r="C252" s="6" t="inlineStr">
        <is>
          <t>E1 Mena/concentrado</t>
        </is>
      </c>
      <c r="D252" s="6" t="n">
        <v>108222</v>
      </c>
      <c r="E252" s="6" t="inlineStr">
        <is>
          <t>Estados Unidos</t>
        </is>
      </c>
      <c r="F252" s="6" t="n">
        <v>1</v>
      </c>
      <c r="G252" s="6" t="n">
        <v>0</v>
      </c>
      <c r="H252" s="6" t="n">
        <v>1</v>
      </c>
      <c r="I252" s="6" t="n">
        <v>1</v>
      </c>
    </row>
    <row r="253">
      <c r="A253" s="9" t="n">
        <v>2000</v>
      </c>
      <c r="B253" s="9" t="inlineStr">
        <is>
          <t>plata</t>
        </is>
      </c>
      <c r="C253" s="9" t="inlineStr">
        <is>
          <t>E2 Bruto/semilabrado</t>
        </is>
      </c>
      <c r="D253" s="9" t="n">
        <v>431696439</v>
      </c>
      <c r="E253" s="9" t="inlineStr">
        <is>
          <t>Estados Unidos</t>
        </is>
      </c>
      <c r="F253" s="9" t="n">
        <v>0.5782</v>
      </c>
      <c r="G253" s="9" t="n">
        <v>0</v>
      </c>
      <c r="H253" s="9" t="n">
        <v>0.5782</v>
      </c>
      <c r="I253" s="9" t="n">
        <v>16</v>
      </c>
    </row>
    <row r="254">
      <c r="A254" s="6" t="n">
        <v>2000</v>
      </c>
      <c r="B254" s="6" t="inlineStr">
        <is>
          <t>plomo</t>
        </is>
      </c>
      <c r="C254" s="6" t="inlineStr">
        <is>
          <t>E1 Mena/concentrado</t>
        </is>
      </c>
      <c r="D254" s="6" t="n">
        <v>13009691</v>
      </c>
      <c r="E254" s="6" t="inlineStr">
        <is>
          <t>Canada</t>
        </is>
      </c>
      <c r="F254" s="6" t="n">
        <v>0.406</v>
      </c>
      <c r="G254" s="6" t="n">
        <v>0.2695</v>
      </c>
      <c r="H254" s="6" t="n">
        <v>0.1814</v>
      </c>
      <c r="I254" s="6" t="n">
        <v>4</v>
      </c>
    </row>
    <row r="255">
      <c r="A255" s="9" t="n">
        <v>2000</v>
      </c>
      <c r="B255" s="9" t="inlineStr">
        <is>
          <t>plomo</t>
        </is>
      </c>
      <c r="C255" s="9" t="inlineStr">
        <is>
          <t>E2 Metal en bruto/refinado</t>
        </is>
      </c>
      <c r="D255" s="9" t="n">
        <v>10457702</v>
      </c>
      <c r="E255" s="9" t="inlineStr">
        <is>
          <t>Estados Unidos</t>
        </is>
      </c>
      <c r="F255" s="9" t="n">
        <v>0.9147999999999999</v>
      </c>
      <c r="G255" s="9" t="n">
        <v>0</v>
      </c>
      <c r="H255" s="9" t="n">
        <v>0.9147999999999999</v>
      </c>
      <c r="I255" s="9" t="n">
        <v>11</v>
      </c>
    </row>
    <row r="256">
      <c r="A256" s="6" t="n">
        <v>2000</v>
      </c>
      <c r="B256" s="6" t="inlineStr">
        <is>
          <t>plomo</t>
        </is>
      </c>
      <c r="C256" s="6" t="inlineStr">
        <is>
          <t>E3 Semimanufacturas</t>
        </is>
      </c>
      <c r="D256" s="6" t="n">
        <v>50281</v>
      </c>
      <c r="E256" s="6" t="inlineStr">
        <is>
          <t>Estados Unidos</t>
        </is>
      </c>
      <c r="F256" s="6" t="n">
        <v>0.8941</v>
      </c>
      <c r="G256" s="6" t="n">
        <v>0</v>
      </c>
      <c r="H256" s="6" t="n">
        <v>0.8941</v>
      </c>
      <c r="I256" s="6" t="n">
        <v>2</v>
      </c>
    </row>
    <row r="257">
      <c r="A257" s="9" t="n">
        <v>2000</v>
      </c>
      <c r="B257" s="9" t="inlineStr">
        <is>
          <t>plomo</t>
        </is>
      </c>
      <c r="C257" s="9" t="inlineStr">
        <is>
          <t>E4 Manufacturas</t>
        </is>
      </c>
      <c r="D257" s="9" t="n">
        <v>1329007</v>
      </c>
      <c r="E257" s="9" t="inlineStr">
        <is>
          <t>Estados Unidos</t>
        </is>
      </c>
      <c r="F257" s="9" t="n">
        <v>0.711</v>
      </c>
      <c r="G257" s="9" t="n">
        <v>0</v>
      </c>
      <c r="H257" s="9" t="n">
        <v>0.711</v>
      </c>
      <c r="I257" s="9" t="n">
        <v>13</v>
      </c>
    </row>
    <row r="258">
      <c r="A258" s="6" t="n">
        <v>2000</v>
      </c>
      <c r="B258" s="6" t="inlineStr">
        <is>
          <t>silice</t>
        </is>
      </c>
      <c r="C258" s="6" t="inlineStr">
        <is>
          <t>E1 Arena silica/cuarzo</t>
        </is>
      </c>
      <c r="D258" s="6" t="n">
        <v>641074</v>
      </c>
      <c r="E258" s="6" t="inlineStr">
        <is>
          <t>Estados Unidos</t>
        </is>
      </c>
      <c r="F258" s="6" t="n">
        <v>0.8069</v>
      </c>
      <c r="G258" s="6" t="n">
        <v>0</v>
      </c>
      <c r="H258" s="6" t="n">
        <v>0.8069</v>
      </c>
      <c r="I258" s="6" t="n">
        <v>9</v>
      </c>
    </row>
    <row r="259">
      <c r="A259" s="9" t="n">
        <v>2000</v>
      </c>
      <c r="B259" s="9" t="inlineStr">
        <is>
          <t>silice</t>
        </is>
      </c>
      <c r="C259" s="9" t="inlineStr">
        <is>
          <t>E2 Silicio/ferrosilicio/SiO2</t>
        </is>
      </c>
      <c r="D259" s="9" t="n">
        <v>7071376</v>
      </c>
      <c r="E259" s="9" t="inlineStr">
        <is>
          <t>Estados Unidos</t>
        </is>
      </c>
      <c r="F259" s="9" t="n">
        <v>0.2332</v>
      </c>
      <c r="G259" s="9" t="n">
        <v>0</v>
      </c>
      <c r="H259" s="9" t="n">
        <v>0.2332</v>
      </c>
      <c r="I259" s="9" t="n">
        <v>18</v>
      </c>
    </row>
    <row r="260">
      <c r="A260" s="6" t="n">
        <v>2000</v>
      </c>
      <c r="B260" s="6" t="inlineStr">
        <is>
          <t>zinc</t>
        </is>
      </c>
      <c r="C260" s="6" t="inlineStr">
        <is>
          <t>E1 Mena/concentrado</t>
        </is>
      </c>
      <c r="D260" s="6" t="n">
        <v>77057234</v>
      </c>
      <c r="E260" s="6" t="inlineStr">
        <is>
          <t>Belgica</t>
        </is>
      </c>
      <c r="F260" s="6" t="n">
        <v>0.2504</v>
      </c>
      <c r="G260" s="6" t="n">
        <v>0.0299</v>
      </c>
      <c r="H260" s="6" t="n">
        <v>0.0726</v>
      </c>
      <c r="I260" s="6" t="n">
        <v>17</v>
      </c>
    </row>
    <row r="261">
      <c r="A261" s="9" t="n">
        <v>2000</v>
      </c>
      <c r="B261" s="9" t="inlineStr">
        <is>
          <t>zinc</t>
        </is>
      </c>
      <c r="C261" s="9" t="inlineStr">
        <is>
          <t>E2 Metal en bruto/refinado</t>
        </is>
      </c>
      <c r="D261" s="9" t="n">
        <v>126606485</v>
      </c>
      <c r="E261" s="9" t="inlineStr">
        <is>
          <t>Estados Unidos</t>
        </is>
      </c>
      <c r="F261" s="9" t="n">
        <v>0.7729</v>
      </c>
      <c r="G261" s="9" t="n">
        <v>0</v>
      </c>
      <c r="H261" s="9" t="n">
        <v>0.7729</v>
      </c>
      <c r="I261" s="9" t="n">
        <v>14</v>
      </c>
    </row>
    <row r="262">
      <c r="A262" s="6" t="n">
        <v>2000</v>
      </c>
      <c r="B262" s="6" t="inlineStr">
        <is>
          <t>zinc</t>
        </is>
      </c>
      <c r="C262" s="6" t="inlineStr">
        <is>
          <t>E3 Semimanufacturas</t>
        </is>
      </c>
      <c r="D262" s="6" t="n">
        <v>14230694</v>
      </c>
      <c r="E262" s="6" t="inlineStr">
        <is>
          <t>Estados Unidos</t>
        </is>
      </c>
      <c r="F262" s="6" t="n">
        <v>0.9883999999999999</v>
      </c>
      <c r="G262" s="6" t="n">
        <v>0</v>
      </c>
      <c r="H262" s="6" t="n">
        <v>0.9883999999999999</v>
      </c>
      <c r="I262" s="6" t="n">
        <v>9</v>
      </c>
    </row>
    <row r="263">
      <c r="A263" s="9" t="n">
        <v>2000</v>
      </c>
      <c r="B263" s="9" t="inlineStr">
        <is>
          <t>zinc</t>
        </is>
      </c>
      <c r="C263" s="9" t="inlineStr">
        <is>
          <t>E4 Manufacturas</t>
        </is>
      </c>
      <c r="D263" s="9" t="n">
        <v>4177312</v>
      </c>
      <c r="E263" s="9" t="inlineStr">
        <is>
          <t>Estados Unidos</t>
        </is>
      </c>
      <c r="F263" s="9" t="n">
        <v>0.9236</v>
      </c>
      <c r="G263" s="9" t="n">
        <v>0</v>
      </c>
      <c r="H263" s="9" t="n">
        <v>0.9236</v>
      </c>
      <c r="I263" s="9" t="n">
        <v>8</v>
      </c>
    </row>
    <row r="264">
      <c r="A264" s="6" t="n">
        <v>2001</v>
      </c>
      <c r="B264" s="6" t="inlineStr">
        <is>
          <t>barita</t>
        </is>
      </c>
      <c r="C264" s="6" t="inlineStr">
        <is>
          <t>E1 Crudo/molido</t>
        </is>
      </c>
      <c r="D264" s="6" t="n">
        <v>560838</v>
      </c>
      <c r="E264" s="6" t="inlineStr">
        <is>
          <t>Panama</t>
        </is>
      </c>
      <c r="F264" s="6" t="n">
        <v>0.8269</v>
      </c>
      <c r="G264" s="6" t="n">
        <v>0</v>
      </c>
      <c r="H264" s="6" t="n">
        <v>0.1252</v>
      </c>
      <c r="I264" s="6" t="n">
        <v>5</v>
      </c>
    </row>
    <row r="265">
      <c r="A265" s="9" t="n">
        <v>2001</v>
      </c>
      <c r="B265" s="9" t="inlineStr">
        <is>
          <t>barita</t>
        </is>
      </c>
      <c r="C265" s="9" t="inlineStr">
        <is>
          <t>E2 Quimicos de bario</t>
        </is>
      </c>
      <c r="D265" s="9" t="n">
        <v>4674324</v>
      </c>
      <c r="E265" s="9" t="inlineStr">
        <is>
          <t>Estados Unidos</t>
        </is>
      </c>
      <c r="F265" s="9" t="n">
        <v>0.9974</v>
      </c>
      <c r="G265" s="9" t="n">
        <v>0</v>
      </c>
      <c r="H265" s="9" t="n">
        <v>0.9974</v>
      </c>
      <c r="I265" s="9" t="n">
        <v>2</v>
      </c>
    </row>
    <row r="266">
      <c r="A266" s="6" t="n">
        <v>2001</v>
      </c>
      <c r="B266" s="6" t="inlineStr">
        <is>
          <t>cobre</t>
        </is>
      </c>
      <c r="C266" s="6" t="inlineStr">
        <is>
          <t>E1 Mena/concentrado</t>
        </is>
      </c>
      <c r="D266" s="6" t="n">
        <v>39768255</v>
      </c>
      <c r="E266" s="6" t="inlineStr">
        <is>
          <t>Peru</t>
        </is>
      </c>
      <c r="F266" s="6" t="n">
        <v>0.3132</v>
      </c>
      <c r="G266" s="6" t="n">
        <v>0.0878</v>
      </c>
      <c r="H266" s="6" t="n">
        <v>0.0674</v>
      </c>
      <c r="I266" s="6" t="n">
        <v>8</v>
      </c>
    </row>
    <row r="267">
      <c r="A267" s="9" t="n">
        <v>2001</v>
      </c>
      <c r="B267" s="9" t="inlineStr">
        <is>
          <t>cobre</t>
        </is>
      </c>
      <c r="C267" s="9" t="inlineStr">
        <is>
          <t>E2 Metal en bruto/refinado</t>
        </is>
      </c>
      <c r="D267" s="9" t="n">
        <v>292886149</v>
      </c>
      <c r="E267" s="9" t="inlineStr">
        <is>
          <t>Estados Unidos</t>
        </is>
      </c>
      <c r="F267" s="9" t="n">
        <v>0.9961</v>
      </c>
      <c r="G267" s="9" t="n">
        <v>0.0015</v>
      </c>
      <c r="H267" s="9" t="n">
        <v>0.9961</v>
      </c>
      <c r="I267" s="9" t="n">
        <v>8</v>
      </c>
    </row>
    <row r="268">
      <c r="A268" s="6" t="n">
        <v>2001</v>
      </c>
      <c r="B268" s="6" t="inlineStr">
        <is>
          <t>cobre</t>
        </is>
      </c>
      <c r="C268" s="6" t="inlineStr">
        <is>
          <t>E3 Semimanufacturas</t>
        </is>
      </c>
      <c r="D268" s="6" t="n">
        <v>324181483</v>
      </c>
      <c r="E268" s="6" t="inlineStr">
        <is>
          <t>Estados Unidos</t>
        </is>
      </c>
      <c r="F268" s="6" t="n">
        <v>0.9105</v>
      </c>
      <c r="G268" s="6" t="n">
        <v>0.0005</v>
      </c>
      <c r="H268" s="6" t="n">
        <v>0.9105</v>
      </c>
      <c r="I268" s="6" t="n">
        <v>51</v>
      </c>
    </row>
    <row r="269">
      <c r="A269" s="9" t="n">
        <v>2001</v>
      </c>
      <c r="B269" s="9" t="inlineStr">
        <is>
          <t>cobre</t>
        </is>
      </c>
      <c r="C269" s="9" t="inlineStr">
        <is>
          <t>E4 Manufacturas</t>
        </is>
      </c>
      <c r="D269" s="9" t="n">
        <v>50060449</v>
      </c>
      <c r="E269" s="9" t="inlineStr">
        <is>
          <t>Estados Unidos</t>
        </is>
      </c>
      <c r="F269" s="9" t="n">
        <v>0.954</v>
      </c>
      <c r="G269" s="9" t="n">
        <v>0.0001</v>
      </c>
      <c r="H269" s="9" t="n">
        <v>0.954</v>
      </c>
      <c r="I269" s="9" t="n">
        <v>36</v>
      </c>
    </row>
    <row r="270">
      <c r="A270" s="6" t="n">
        <v>2001</v>
      </c>
      <c r="B270" s="6" t="inlineStr">
        <is>
          <t>fluorita</t>
        </is>
      </c>
      <c r="C270" s="6" t="inlineStr">
        <is>
          <t>E1 Espato fluor (crudo)</t>
        </is>
      </c>
      <c r="D270" s="6" t="n">
        <v>29491564</v>
      </c>
      <c r="E270" s="6" t="inlineStr">
        <is>
          <t>Canada</t>
        </is>
      </c>
      <c r="F270" s="6" t="n">
        <v>0.254</v>
      </c>
      <c r="G270" s="6" t="n">
        <v>0</v>
      </c>
      <c r="H270" s="6" t="n">
        <v>0.1877</v>
      </c>
      <c r="I270" s="6" t="n">
        <v>19</v>
      </c>
    </row>
    <row r="271">
      <c r="A271" s="9" t="n">
        <v>2001</v>
      </c>
      <c r="B271" s="9" t="inlineStr">
        <is>
          <t>fluorita</t>
        </is>
      </c>
      <c r="C271" s="9" t="inlineStr">
        <is>
          <t>E2 Fluoroquimica</t>
        </is>
      </c>
      <c r="D271" s="9" t="n">
        <v>98878508</v>
      </c>
      <c r="E271" s="9" t="inlineStr">
        <is>
          <t>Estados Unidos</t>
        </is>
      </c>
      <c r="F271" s="9" t="n">
        <v>0.8111</v>
      </c>
      <c r="G271" s="9" t="n">
        <v>0</v>
      </c>
      <c r="H271" s="9" t="n">
        <v>0.8111</v>
      </c>
      <c r="I271" s="9" t="n">
        <v>13</v>
      </c>
    </row>
    <row r="272">
      <c r="A272" s="6" t="n">
        <v>2001</v>
      </c>
      <c r="B272" s="6" t="inlineStr">
        <is>
          <t>grafito</t>
        </is>
      </c>
      <c r="C272" s="6" t="inlineStr">
        <is>
          <t>E1 Grafito natural</t>
        </is>
      </c>
      <c r="D272" s="6" t="n">
        <v>2331722</v>
      </c>
      <c r="E272" s="6" t="inlineStr">
        <is>
          <t>Estados Unidos</t>
        </is>
      </c>
      <c r="F272" s="6" t="n">
        <v>0.8384</v>
      </c>
      <c r="G272" s="6" t="n">
        <v>0</v>
      </c>
      <c r="H272" s="6" t="n">
        <v>0.8384</v>
      </c>
      <c r="I272" s="6" t="n">
        <v>6</v>
      </c>
    </row>
    <row r="273">
      <c r="A273" s="9" t="n">
        <v>2001</v>
      </c>
      <c r="B273" s="9" t="inlineStr">
        <is>
          <t>grafito</t>
        </is>
      </c>
      <c r="C273" s="9" t="inlineStr">
        <is>
          <t>E2 Grafito artificial/prep.</t>
        </is>
      </c>
      <c r="D273" s="9" t="n">
        <v>15626905</v>
      </c>
      <c r="E273" s="9" t="inlineStr">
        <is>
          <t>Estados Unidos</t>
        </is>
      </c>
      <c r="F273" s="9" t="n">
        <v>0.4887</v>
      </c>
      <c r="G273" s="9" t="n">
        <v>0</v>
      </c>
      <c r="H273" s="9" t="n">
        <v>0.4887</v>
      </c>
      <c r="I273" s="9" t="n">
        <v>14</v>
      </c>
    </row>
    <row r="274">
      <c r="A274" s="6" t="n">
        <v>2001</v>
      </c>
      <c r="B274" s="6" t="inlineStr">
        <is>
          <t>grafito</t>
        </is>
      </c>
      <c r="C274" s="6" t="inlineStr">
        <is>
          <t>E3 Electrodos/articulos de carbono</t>
        </is>
      </c>
      <c r="D274" s="6" t="n">
        <v>51324785</v>
      </c>
      <c r="E274" s="6" t="inlineStr">
        <is>
          <t>Estados Unidos</t>
        </is>
      </c>
      <c r="F274" s="6" t="n">
        <v>0.8045</v>
      </c>
      <c r="G274" s="6" t="n">
        <v>0.0021</v>
      </c>
      <c r="H274" s="6" t="n">
        <v>0.8045</v>
      </c>
      <c r="I274" s="6" t="n">
        <v>27</v>
      </c>
    </row>
    <row r="275">
      <c r="A275" s="9" t="n">
        <v>2001</v>
      </c>
      <c r="B275" s="9" t="inlineStr">
        <is>
          <t>manganeso</t>
        </is>
      </c>
      <c r="C275" s="9" t="inlineStr">
        <is>
          <t>E1 Mena/concentrado</t>
        </is>
      </c>
      <c r="D275" s="9" t="n">
        <v>1983995</v>
      </c>
      <c r="E275" s="9" t="inlineStr">
        <is>
          <t>Estados Unidos</t>
        </is>
      </c>
      <c r="F275" s="9" t="n">
        <v>0.34</v>
      </c>
      <c r="G275" s="9" t="n">
        <v>0</v>
      </c>
      <c r="H275" s="9" t="n">
        <v>0.34</v>
      </c>
      <c r="I275" s="9" t="n">
        <v>17</v>
      </c>
    </row>
    <row r="276">
      <c r="A276" s="6" t="n">
        <v>2001</v>
      </c>
      <c r="B276" s="6" t="inlineStr">
        <is>
          <t>manganeso</t>
        </is>
      </c>
      <c r="C276" s="6" t="inlineStr">
        <is>
          <t>E2 Ferroaleaciones</t>
        </is>
      </c>
      <c r="D276" s="6" t="n">
        <v>28958764</v>
      </c>
      <c r="E276" s="6" t="inlineStr">
        <is>
          <t>Estados Unidos</t>
        </is>
      </c>
      <c r="F276" s="6" t="n">
        <v>0.7007</v>
      </c>
      <c r="G276" s="6" t="n">
        <v>0</v>
      </c>
      <c r="H276" s="6" t="n">
        <v>0.7007</v>
      </c>
      <c r="I276" s="6" t="n">
        <v>18</v>
      </c>
    </row>
    <row r="277">
      <c r="A277" s="9" t="n">
        <v>2001</v>
      </c>
      <c r="B277" s="9" t="inlineStr">
        <is>
          <t>manganeso</t>
        </is>
      </c>
      <c r="C277" s="9" t="inlineStr">
        <is>
          <t>E3 Quimicos/metal</t>
        </is>
      </c>
      <c r="D277" s="9" t="n">
        <v>2827867</v>
      </c>
      <c r="E277" s="9" t="inlineStr">
        <is>
          <t>Paises Bajos</t>
        </is>
      </c>
      <c r="F277" s="9" t="n">
        <v>0.2805</v>
      </c>
      <c r="G277" s="9" t="n">
        <v>0</v>
      </c>
      <c r="H277" s="9" t="n">
        <v>0.2755</v>
      </c>
      <c r="I277" s="9" t="n">
        <v>13</v>
      </c>
    </row>
    <row r="278">
      <c r="A278" s="6" t="n">
        <v>2001</v>
      </c>
      <c r="B278" s="6" t="inlineStr">
        <is>
          <t>oro</t>
        </is>
      </c>
      <c r="C278" s="6" t="inlineStr">
        <is>
          <t>E2 Bruto/semilabrado</t>
        </is>
      </c>
      <c r="D278" s="6" t="n">
        <v>54645214</v>
      </c>
      <c r="E278" s="6" t="inlineStr">
        <is>
          <t>Estados Unidos</t>
        </is>
      </c>
      <c r="F278" s="6" t="n">
        <v>0.7042</v>
      </c>
      <c r="G278" s="6" t="n">
        <v>0</v>
      </c>
      <c r="H278" s="6" t="n">
        <v>0.7042</v>
      </c>
      <c r="I278" s="6" t="n">
        <v>4</v>
      </c>
    </row>
    <row r="279">
      <c r="A279" s="9" t="n">
        <v>2001</v>
      </c>
      <c r="B279" s="9" t="inlineStr">
        <is>
          <t>oro-plata (manufacturas)</t>
        </is>
      </c>
      <c r="C279" s="9" t="inlineStr">
        <is>
          <t>E4 Joyeria/orfebreria</t>
        </is>
      </c>
      <c r="D279" s="9" t="n">
        <v>324190068</v>
      </c>
      <c r="E279" s="9" t="inlineStr">
        <is>
          <t>Estados Unidos</t>
        </is>
      </c>
      <c r="F279" s="9" t="n">
        <v>0.9529</v>
      </c>
      <c r="G279" s="9" t="n">
        <v>0.0001</v>
      </c>
      <c r="H279" s="9" t="n">
        <v>0.9529</v>
      </c>
      <c r="I279" s="9" t="n">
        <v>63</v>
      </c>
    </row>
    <row r="280">
      <c r="A280" s="6" t="n">
        <v>2001</v>
      </c>
      <c r="B280" s="6" t="inlineStr">
        <is>
          <t>plata</t>
        </is>
      </c>
      <c r="C280" s="6" t="inlineStr">
        <is>
          <t>E2 Bruto/semilabrado</t>
        </is>
      </c>
      <c r="D280" s="6" t="n">
        <v>357431843</v>
      </c>
      <c r="E280" s="6" t="inlineStr">
        <is>
          <t>Estados Unidos</t>
        </is>
      </c>
      <c r="F280" s="6" t="n">
        <v>0.6153</v>
      </c>
      <c r="G280" s="6" t="n">
        <v>0</v>
      </c>
      <c r="H280" s="6" t="n">
        <v>0.6153</v>
      </c>
      <c r="I280" s="6" t="n">
        <v>18</v>
      </c>
    </row>
    <row r="281">
      <c r="A281" s="9" t="n">
        <v>2001</v>
      </c>
      <c r="B281" s="9" t="inlineStr">
        <is>
          <t>plomo</t>
        </is>
      </c>
      <c r="C281" s="9" t="inlineStr">
        <is>
          <t>E1 Mena/concentrado</t>
        </is>
      </c>
      <c r="D281" s="9" t="n">
        <v>3044231</v>
      </c>
      <c r="E281" s="9" t="inlineStr">
        <is>
          <t>Belgica</t>
        </is>
      </c>
      <c r="F281" s="9" t="n">
        <v>0.533</v>
      </c>
      <c r="G281" s="9" t="n">
        <v>0.4651</v>
      </c>
      <c r="H281" s="9" t="n">
        <v>0.0019</v>
      </c>
      <c r="I281" s="9" t="n">
        <v>3</v>
      </c>
    </row>
    <row r="282">
      <c r="A282" s="6" t="n">
        <v>2001</v>
      </c>
      <c r="B282" s="6" t="inlineStr">
        <is>
          <t>plomo</t>
        </is>
      </c>
      <c r="C282" s="6" t="inlineStr">
        <is>
          <t>E2 Metal en bruto/refinado</t>
        </is>
      </c>
      <c r="D282" s="6" t="n">
        <v>9841842</v>
      </c>
      <c r="E282" s="6" t="inlineStr">
        <is>
          <t>Estados Unidos</t>
        </is>
      </c>
      <c r="F282" s="6" t="n">
        <v>0.5999</v>
      </c>
      <c r="G282" s="6" t="n">
        <v>0.1229</v>
      </c>
      <c r="H282" s="6" t="n">
        <v>0.5999</v>
      </c>
      <c r="I282" s="6" t="n">
        <v>7</v>
      </c>
    </row>
    <row r="283">
      <c r="A283" s="9" t="n">
        <v>2001</v>
      </c>
      <c r="B283" s="9" t="inlineStr">
        <is>
          <t>plomo</t>
        </is>
      </c>
      <c r="C283" s="9" t="inlineStr">
        <is>
          <t>E3 Semimanufacturas</t>
        </is>
      </c>
      <c r="D283" s="9" t="n">
        <v>59948</v>
      </c>
      <c r="E283" s="9" t="inlineStr">
        <is>
          <t>Estados Unidos</t>
        </is>
      </c>
      <c r="F283" s="9" t="n">
        <v>0.9409</v>
      </c>
      <c r="G283" s="9" t="n">
        <v>0</v>
      </c>
      <c r="H283" s="9" t="n">
        <v>0.9409</v>
      </c>
      <c r="I283" s="9" t="n">
        <v>3</v>
      </c>
    </row>
    <row r="284">
      <c r="A284" s="6" t="n">
        <v>2001</v>
      </c>
      <c r="B284" s="6" t="inlineStr">
        <is>
          <t>plomo</t>
        </is>
      </c>
      <c r="C284" s="6" t="inlineStr">
        <is>
          <t>E4 Manufacturas</t>
        </is>
      </c>
      <c r="D284" s="6" t="n">
        <v>769632</v>
      </c>
      <c r="E284" s="6" t="inlineStr">
        <is>
          <t>Estados Unidos</t>
        </is>
      </c>
      <c r="F284" s="6" t="n">
        <v>0.749</v>
      </c>
      <c r="G284" s="6" t="n">
        <v>0</v>
      </c>
      <c r="H284" s="6" t="n">
        <v>0.749</v>
      </c>
      <c r="I284" s="6" t="n">
        <v>10</v>
      </c>
    </row>
    <row r="285">
      <c r="A285" s="9" t="n">
        <v>2001</v>
      </c>
      <c r="B285" s="9" t="inlineStr">
        <is>
          <t>silice</t>
        </is>
      </c>
      <c r="C285" s="9" t="inlineStr">
        <is>
          <t>E1 Arena silica/cuarzo</t>
        </is>
      </c>
      <c r="D285" s="9" t="n">
        <v>625211</v>
      </c>
      <c r="E285" s="9" t="inlineStr">
        <is>
          <t>Estados Unidos</t>
        </is>
      </c>
      <c r="F285" s="9" t="n">
        <v>0.6788999999999999</v>
      </c>
      <c r="G285" s="9" t="n">
        <v>0</v>
      </c>
      <c r="H285" s="9" t="n">
        <v>0.6788999999999999</v>
      </c>
      <c r="I285" s="9" t="n">
        <v>11</v>
      </c>
    </row>
    <row r="286">
      <c r="A286" s="6" t="n">
        <v>2001</v>
      </c>
      <c r="B286" s="6" t="inlineStr">
        <is>
          <t>silice</t>
        </is>
      </c>
      <c r="C286" s="6" t="inlineStr">
        <is>
          <t>E2 Silicio/ferrosilicio/SiO2</t>
        </is>
      </c>
      <c r="D286" s="6" t="n">
        <v>7518561</v>
      </c>
      <c r="E286" s="6" t="inlineStr">
        <is>
          <t>Canada</t>
        </is>
      </c>
      <c r="F286" s="6" t="n">
        <v>0.3287</v>
      </c>
      <c r="G286" s="6" t="n">
        <v>0</v>
      </c>
      <c r="H286" s="6" t="n">
        <v>0.1299</v>
      </c>
      <c r="I286" s="6" t="n">
        <v>20</v>
      </c>
    </row>
    <row r="287">
      <c r="A287" s="9" t="n">
        <v>2001</v>
      </c>
      <c r="B287" s="9" t="inlineStr">
        <is>
          <t>zinc</t>
        </is>
      </c>
      <c r="C287" s="9" t="inlineStr">
        <is>
          <t>E1 Mena/concentrado</t>
        </is>
      </c>
      <c r="D287" s="9" t="n">
        <v>57019713</v>
      </c>
      <c r="E287" s="9" t="inlineStr">
        <is>
          <t>Japon</t>
        </is>
      </c>
      <c r="F287" s="9" t="n">
        <v>0.3862</v>
      </c>
      <c r="G287" s="9" t="n">
        <v>0.1431</v>
      </c>
      <c r="H287" s="9" t="n">
        <v>0.0697</v>
      </c>
      <c r="I287" s="9" t="n">
        <v>9</v>
      </c>
    </row>
    <row r="288">
      <c r="A288" s="6" t="n">
        <v>2001</v>
      </c>
      <c r="B288" s="6" t="inlineStr">
        <is>
          <t>zinc</t>
        </is>
      </c>
      <c r="C288" s="6" t="inlineStr">
        <is>
          <t>E2 Metal en bruto/refinado</t>
        </is>
      </c>
      <c r="D288" s="6" t="n">
        <v>146840871</v>
      </c>
      <c r="E288" s="6" t="inlineStr">
        <is>
          <t>Estados Unidos</t>
        </is>
      </c>
      <c r="F288" s="6" t="n">
        <v>0.8216</v>
      </c>
      <c r="G288" s="6" t="n">
        <v>0</v>
      </c>
      <c r="H288" s="6" t="n">
        <v>0.8216</v>
      </c>
      <c r="I288" s="6" t="n">
        <v>16</v>
      </c>
    </row>
    <row r="289">
      <c r="A289" s="9" t="n">
        <v>2001</v>
      </c>
      <c r="B289" s="9" t="inlineStr">
        <is>
          <t>zinc</t>
        </is>
      </c>
      <c r="C289" s="9" t="inlineStr">
        <is>
          <t>E3 Semimanufacturas</t>
        </is>
      </c>
      <c r="D289" s="9" t="n">
        <v>16308435</v>
      </c>
      <c r="E289" s="9" t="inlineStr">
        <is>
          <t>Estados Unidos</t>
        </is>
      </c>
      <c r="F289" s="9" t="n">
        <v>0.9797</v>
      </c>
      <c r="G289" s="9" t="n">
        <v>0</v>
      </c>
      <c r="H289" s="9" t="n">
        <v>0.9797</v>
      </c>
      <c r="I289" s="9" t="n">
        <v>7</v>
      </c>
    </row>
    <row r="290">
      <c r="A290" s="6" t="n">
        <v>2001</v>
      </c>
      <c r="B290" s="6" t="inlineStr">
        <is>
          <t>zinc</t>
        </is>
      </c>
      <c r="C290" s="6" t="inlineStr">
        <is>
          <t>E4 Manufacturas</t>
        </is>
      </c>
      <c r="D290" s="6" t="n">
        <v>5068460</v>
      </c>
      <c r="E290" s="6" t="inlineStr">
        <is>
          <t>Estados Unidos</t>
        </is>
      </c>
      <c r="F290" s="6" t="n">
        <v>0.9616</v>
      </c>
      <c r="G290" s="6" t="n">
        <v>0</v>
      </c>
      <c r="H290" s="6" t="n">
        <v>0.9616</v>
      </c>
      <c r="I290" s="6" t="n">
        <v>9</v>
      </c>
    </row>
    <row r="291">
      <c r="A291" s="9" t="n">
        <v>2002</v>
      </c>
      <c r="B291" s="9" t="inlineStr">
        <is>
          <t>barita</t>
        </is>
      </c>
      <c r="C291" s="9" t="inlineStr">
        <is>
          <t>E1 Crudo/molido</t>
        </is>
      </c>
      <c r="D291" s="9" t="n">
        <v>295067</v>
      </c>
      <c r="E291" s="9" t="inlineStr">
        <is>
          <t>Cuba</t>
        </is>
      </c>
      <c r="F291" s="9" t="n">
        <v>0.7158</v>
      </c>
      <c r="G291" s="9" t="n">
        <v>0</v>
      </c>
      <c r="H291" s="9" t="n">
        <v>0.0284</v>
      </c>
      <c r="I291" s="9" t="n">
        <v>6</v>
      </c>
    </row>
    <row r="292">
      <c r="A292" s="6" t="n">
        <v>2002</v>
      </c>
      <c r="B292" s="6" t="inlineStr">
        <is>
          <t>barita</t>
        </is>
      </c>
      <c r="C292" s="6" t="inlineStr">
        <is>
          <t>E2 Quimicos de bario</t>
        </is>
      </c>
      <c r="D292" s="6" t="n">
        <v>1102191</v>
      </c>
      <c r="E292" s="6" t="inlineStr">
        <is>
          <t>Estados Unidos</t>
        </is>
      </c>
      <c r="F292" s="6" t="n">
        <v>0.9964</v>
      </c>
      <c r="G292" s="6" t="n">
        <v>0</v>
      </c>
      <c r="H292" s="6" t="n">
        <v>0.9964</v>
      </c>
      <c r="I292" s="6" t="n">
        <v>2</v>
      </c>
    </row>
    <row r="293">
      <c r="A293" s="9" t="n">
        <v>2002</v>
      </c>
      <c r="B293" s="9" t="inlineStr">
        <is>
          <t>cobre</t>
        </is>
      </c>
      <c r="C293" s="9" t="inlineStr">
        <is>
          <t>E1 Mena/concentrado</t>
        </is>
      </c>
      <c r="D293" s="9" t="n">
        <v>48017012</v>
      </c>
      <c r="E293" s="9" t="inlineStr">
        <is>
          <t>Peru</t>
        </is>
      </c>
      <c r="F293" s="9" t="n">
        <v>0.4224</v>
      </c>
      <c r="G293" s="9" t="n">
        <v>0.2836</v>
      </c>
      <c r="H293" s="9" t="n">
        <v>0</v>
      </c>
      <c r="I293" s="9" t="n">
        <v>9</v>
      </c>
    </row>
    <row r="294">
      <c r="A294" s="6" t="n">
        <v>2002</v>
      </c>
      <c r="B294" s="6" t="inlineStr">
        <is>
          <t>cobre</t>
        </is>
      </c>
      <c r="C294" s="6" t="inlineStr">
        <is>
          <t>E2 Metal en bruto/refinado</t>
        </is>
      </c>
      <c r="D294" s="6" t="n">
        <v>149454604</v>
      </c>
      <c r="E294" s="6" t="inlineStr">
        <is>
          <t>Estados Unidos</t>
        </is>
      </c>
      <c r="F294" s="6" t="n">
        <v>0.8989</v>
      </c>
      <c r="G294" s="6" t="n">
        <v>0.0039</v>
      </c>
      <c r="H294" s="6" t="n">
        <v>0.8989</v>
      </c>
      <c r="I294" s="6" t="n">
        <v>10</v>
      </c>
    </row>
    <row r="295">
      <c r="A295" s="9" t="n">
        <v>2002</v>
      </c>
      <c r="B295" s="9" t="inlineStr">
        <is>
          <t>cobre</t>
        </is>
      </c>
      <c r="C295" s="9" t="inlineStr">
        <is>
          <t>E3 Semimanufacturas</t>
        </is>
      </c>
      <c r="D295" s="9" t="n">
        <v>231802524</v>
      </c>
      <c r="E295" s="9" t="inlineStr">
        <is>
          <t>Estados Unidos</t>
        </is>
      </c>
      <c r="F295" s="9" t="n">
        <v>0.8919</v>
      </c>
      <c r="G295" s="9" t="n">
        <v>0.0013</v>
      </c>
      <c r="H295" s="9" t="n">
        <v>0.8919</v>
      </c>
      <c r="I295" s="9" t="n">
        <v>48</v>
      </c>
    </row>
    <row r="296">
      <c r="A296" s="6" t="n">
        <v>2002</v>
      </c>
      <c r="B296" s="6" t="inlineStr">
        <is>
          <t>cobre</t>
        </is>
      </c>
      <c r="C296" s="6" t="inlineStr">
        <is>
          <t>E4 Manufacturas</t>
        </is>
      </c>
      <c r="D296" s="6" t="n">
        <v>45013842</v>
      </c>
      <c r="E296" s="6" t="inlineStr">
        <is>
          <t>Estados Unidos</t>
        </is>
      </c>
      <c r="F296" s="6" t="n">
        <v>0.876</v>
      </c>
      <c r="G296" s="6" t="n">
        <v>0</v>
      </c>
      <c r="H296" s="6" t="n">
        <v>0.876</v>
      </c>
      <c r="I296" s="6" t="n">
        <v>32</v>
      </c>
    </row>
    <row r="297">
      <c r="A297" s="9" t="n">
        <v>2002</v>
      </c>
      <c r="B297" s="9" t="inlineStr">
        <is>
          <t>fluorita</t>
        </is>
      </c>
      <c r="C297" s="9" t="inlineStr">
        <is>
          <t>E1 Espato fluor (crudo)</t>
        </is>
      </c>
      <c r="D297" s="9" t="n">
        <v>29185599</v>
      </c>
      <c r="E297" s="9" t="inlineStr">
        <is>
          <t>Canada</t>
        </is>
      </c>
      <c r="F297" s="9" t="n">
        <v>0.2894</v>
      </c>
      <c r="G297" s="9" t="n">
        <v>0</v>
      </c>
      <c r="H297" s="9" t="n">
        <v>0.2114</v>
      </c>
      <c r="I297" s="9" t="n">
        <v>15</v>
      </c>
    </row>
    <row r="298">
      <c r="A298" s="6" t="n">
        <v>2002</v>
      </c>
      <c r="B298" s="6" t="inlineStr">
        <is>
          <t>fluorita</t>
        </is>
      </c>
      <c r="C298" s="6" t="inlineStr">
        <is>
          <t>E2 Fluoroquimica</t>
        </is>
      </c>
      <c r="D298" s="6" t="n">
        <v>100848531</v>
      </c>
      <c r="E298" s="6" t="inlineStr">
        <is>
          <t>Estados Unidos</t>
        </is>
      </c>
      <c r="F298" s="6" t="n">
        <v>0.8285</v>
      </c>
      <c r="G298" s="6" t="n">
        <v>0</v>
      </c>
      <c r="H298" s="6" t="n">
        <v>0.8285</v>
      </c>
      <c r="I298" s="6" t="n">
        <v>12</v>
      </c>
    </row>
    <row r="299">
      <c r="A299" s="9" t="n">
        <v>2002</v>
      </c>
      <c r="B299" s="9" t="inlineStr">
        <is>
          <t>grafito</t>
        </is>
      </c>
      <c r="C299" s="9" t="inlineStr">
        <is>
          <t>E1 Grafito natural</t>
        </is>
      </c>
      <c r="D299" s="9" t="n">
        <v>1540744</v>
      </c>
      <c r="E299" s="9" t="inlineStr">
        <is>
          <t>Estados Unidos</t>
        </is>
      </c>
      <c r="F299" s="9" t="n">
        <v>0.7353</v>
      </c>
      <c r="G299" s="9" t="n">
        <v>0</v>
      </c>
      <c r="H299" s="9" t="n">
        <v>0.7353</v>
      </c>
      <c r="I299" s="9" t="n">
        <v>8</v>
      </c>
    </row>
    <row r="300">
      <c r="A300" s="6" t="n">
        <v>2002</v>
      </c>
      <c r="B300" s="6" t="inlineStr">
        <is>
          <t>grafito</t>
        </is>
      </c>
      <c r="C300" s="6" t="inlineStr">
        <is>
          <t>E2 Grafito artificial/prep.</t>
        </is>
      </c>
      <c r="D300" s="6" t="n">
        <v>14493558</v>
      </c>
      <c r="E300" s="6" t="inlineStr">
        <is>
          <t>Estados Unidos</t>
        </is>
      </c>
      <c r="F300" s="6" t="n">
        <v>0.5491</v>
      </c>
      <c r="G300" s="6" t="n">
        <v>0</v>
      </c>
      <c r="H300" s="6" t="n">
        <v>0.5491</v>
      </c>
      <c r="I300" s="6" t="n">
        <v>9</v>
      </c>
    </row>
    <row r="301">
      <c r="A301" s="9" t="n">
        <v>2002</v>
      </c>
      <c r="B301" s="9" t="inlineStr">
        <is>
          <t>grafito</t>
        </is>
      </c>
      <c r="C301" s="9" t="inlineStr">
        <is>
          <t>E3 Electrodos/articulos de carbono</t>
        </is>
      </c>
      <c r="D301" s="9" t="n">
        <v>73026697</v>
      </c>
      <c r="E301" s="9" t="inlineStr">
        <is>
          <t>Estados Unidos</t>
        </is>
      </c>
      <c r="F301" s="9" t="n">
        <v>0.8898</v>
      </c>
      <c r="G301" s="9" t="n">
        <v>0</v>
      </c>
      <c r="H301" s="9" t="n">
        <v>0.8898</v>
      </c>
      <c r="I301" s="9" t="n">
        <v>31</v>
      </c>
    </row>
    <row r="302">
      <c r="A302" s="6" t="n">
        <v>2002</v>
      </c>
      <c r="B302" s="6" t="inlineStr">
        <is>
          <t>manganeso</t>
        </is>
      </c>
      <c r="C302" s="6" t="inlineStr">
        <is>
          <t>E1 Mena/concentrado</t>
        </is>
      </c>
      <c r="D302" s="6" t="n">
        <v>2499186</v>
      </c>
      <c r="E302" s="6" t="inlineStr">
        <is>
          <t>Indonesia</t>
        </is>
      </c>
      <c r="F302" s="6" t="n">
        <v>0.2677</v>
      </c>
      <c r="G302" s="6" t="n">
        <v>0</v>
      </c>
      <c r="H302" s="6" t="n">
        <v>0.189</v>
      </c>
      <c r="I302" s="6" t="n">
        <v>18</v>
      </c>
    </row>
    <row r="303">
      <c r="A303" s="9" t="n">
        <v>2002</v>
      </c>
      <c r="B303" s="9" t="inlineStr">
        <is>
          <t>manganeso</t>
        </is>
      </c>
      <c r="C303" s="9" t="inlineStr">
        <is>
          <t>E2 Ferroaleaciones</t>
        </is>
      </c>
      <c r="D303" s="9" t="n">
        <v>14871798</v>
      </c>
      <c r="E303" s="9" t="inlineStr">
        <is>
          <t>Estados Unidos</t>
        </is>
      </c>
      <c r="F303" s="9" t="n">
        <v>0.6717</v>
      </c>
      <c r="G303" s="9" t="n">
        <v>0</v>
      </c>
      <c r="H303" s="9" t="n">
        <v>0.6717</v>
      </c>
      <c r="I303" s="9" t="n">
        <v>18</v>
      </c>
    </row>
    <row r="304">
      <c r="A304" s="6" t="n">
        <v>2002</v>
      </c>
      <c r="B304" s="6" t="inlineStr">
        <is>
          <t>manganeso</t>
        </is>
      </c>
      <c r="C304" s="6" t="inlineStr">
        <is>
          <t>E3 Quimicos/metal</t>
        </is>
      </c>
      <c r="D304" s="6" t="n">
        <v>1654855</v>
      </c>
      <c r="E304" s="6" t="inlineStr">
        <is>
          <t>Paises Bajos</t>
        </is>
      </c>
      <c r="F304" s="6" t="n">
        <v>0.2543</v>
      </c>
      <c r="G304" s="6" t="n">
        <v>0</v>
      </c>
      <c r="H304" s="6" t="n">
        <v>0.0397</v>
      </c>
      <c r="I304" s="6" t="n">
        <v>14</v>
      </c>
    </row>
    <row r="305">
      <c r="A305" s="9" t="n">
        <v>2002</v>
      </c>
      <c r="B305" s="9" t="inlineStr">
        <is>
          <t>oro</t>
        </is>
      </c>
      <c r="C305" s="9" t="inlineStr">
        <is>
          <t>E2 Bruto/semilabrado</t>
        </is>
      </c>
      <c r="D305" s="9" t="n">
        <v>80204403</v>
      </c>
      <c r="E305" s="9" t="inlineStr">
        <is>
          <t>Estados Unidos</t>
        </is>
      </c>
      <c r="F305" s="9" t="n">
        <v>0.8779</v>
      </c>
      <c r="G305" s="9" t="n">
        <v>0</v>
      </c>
      <c r="H305" s="9" t="n">
        <v>0.8779</v>
      </c>
      <c r="I305" s="9" t="n">
        <v>5</v>
      </c>
    </row>
    <row r="306">
      <c r="A306" s="6" t="n">
        <v>2002</v>
      </c>
      <c r="B306" s="6" t="inlineStr">
        <is>
          <t>oro-plata (manufacturas)</t>
        </is>
      </c>
      <c r="C306" s="6" t="inlineStr">
        <is>
          <t>E4 Joyeria/orfebreria</t>
        </is>
      </c>
      <c r="D306" s="6" t="n">
        <v>337614943</v>
      </c>
      <c r="E306" s="6" t="inlineStr">
        <is>
          <t>Estados Unidos</t>
        </is>
      </c>
      <c r="F306" s="6" t="n">
        <v>0.9586</v>
      </c>
      <c r="G306" s="6" t="n">
        <v>0.0002</v>
      </c>
      <c r="H306" s="6" t="n">
        <v>0.9586</v>
      </c>
      <c r="I306" s="6" t="n">
        <v>56</v>
      </c>
    </row>
    <row r="307">
      <c r="A307" s="9" t="n">
        <v>2002</v>
      </c>
      <c r="B307" s="9" t="inlineStr">
        <is>
          <t>plata</t>
        </is>
      </c>
      <c r="C307" s="9" t="inlineStr">
        <is>
          <t>E1 Mena/concentrado</t>
        </is>
      </c>
      <c r="D307" s="9" t="n">
        <v>628644</v>
      </c>
      <c r="E307" s="9" t="inlineStr">
        <is>
          <t>Suiza</t>
        </is>
      </c>
      <c r="F307" s="9" t="n">
        <v>0.9833</v>
      </c>
      <c r="G307" s="9" t="n">
        <v>0</v>
      </c>
      <c r="H307" s="9" t="n">
        <v>0.0167</v>
      </c>
      <c r="I307" s="9" t="n">
        <v>2</v>
      </c>
    </row>
    <row r="308">
      <c r="A308" s="6" t="n">
        <v>2002</v>
      </c>
      <c r="B308" s="6" t="inlineStr">
        <is>
          <t>plata</t>
        </is>
      </c>
      <c r="C308" s="6" t="inlineStr">
        <is>
          <t>E2 Bruto/semilabrado</t>
        </is>
      </c>
      <c r="D308" s="6" t="n">
        <v>531368930</v>
      </c>
      <c r="E308" s="6" t="inlineStr">
        <is>
          <t>Estados Unidos</t>
        </is>
      </c>
      <c r="F308" s="6" t="n">
        <v>0.8905999999999999</v>
      </c>
      <c r="G308" s="6" t="n">
        <v>0</v>
      </c>
      <c r="H308" s="6" t="n">
        <v>0.8905999999999999</v>
      </c>
      <c r="I308" s="6" t="n">
        <v>14</v>
      </c>
    </row>
    <row r="309">
      <c r="A309" s="9" t="n">
        <v>2002</v>
      </c>
      <c r="B309" s="9" t="inlineStr">
        <is>
          <t>plomo</t>
        </is>
      </c>
      <c r="C309" s="9" t="inlineStr">
        <is>
          <t>E1 Mena/concentrado</t>
        </is>
      </c>
      <c r="D309" s="9" t="n">
        <v>690361</v>
      </c>
      <c r="E309" s="9" t="inlineStr">
        <is>
          <t>China</t>
        </is>
      </c>
      <c r="F309" s="9" t="n">
        <v>0.6408</v>
      </c>
      <c r="G309" s="9" t="n">
        <v>0.6408</v>
      </c>
      <c r="H309" s="9" t="n">
        <v>0</v>
      </c>
      <c r="I309" s="9" t="n">
        <v>2</v>
      </c>
    </row>
    <row r="310">
      <c r="A310" s="6" t="n">
        <v>2002</v>
      </c>
      <c r="B310" s="6" t="inlineStr">
        <is>
          <t>plomo</t>
        </is>
      </c>
      <c r="C310" s="6" t="inlineStr">
        <is>
          <t>E2 Metal en bruto/refinado</t>
        </is>
      </c>
      <c r="D310" s="6" t="n">
        <v>5307047</v>
      </c>
      <c r="E310" s="6" t="inlineStr">
        <is>
          <t>Estados Unidos</t>
        </is>
      </c>
      <c r="F310" s="6" t="n">
        <v>0.7693</v>
      </c>
      <c r="G310" s="6" t="n">
        <v>0</v>
      </c>
      <c r="H310" s="6" t="n">
        <v>0.7693</v>
      </c>
      <c r="I310" s="6" t="n">
        <v>8</v>
      </c>
    </row>
    <row r="311">
      <c r="A311" s="9" t="n">
        <v>2002</v>
      </c>
      <c r="B311" s="9" t="inlineStr">
        <is>
          <t>plomo</t>
        </is>
      </c>
      <c r="C311" s="9" t="inlineStr">
        <is>
          <t>E3 Semimanufacturas</t>
        </is>
      </c>
      <c r="D311" s="9" t="n">
        <v>167820</v>
      </c>
      <c r="E311" s="9" t="inlineStr">
        <is>
          <t>Cuba</t>
        </is>
      </c>
      <c r="F311" s="9" t="n">
        <v>0.8889</v>
      </c>
      <c r="G311" s="9" t="n">
        <v>0</v>
      </c>
      <c r="H311" s="9" t="n">
        <v>0.09810000000000001</v>
      </c>
      <c r="I311" s="9" t="n">
        <v>4</v>
      </c>
    </row>
    <row r="312">
      <c r="A312" s="6" t="n">
        <v>2002</v>
      </c>
      <c r="B312" s="6" t="inlineStr">
        <is>
          <t>plomo</t>
        </is>
      </c>
      <c r="C312" s="6" t="inlineStr">
        <is>
          <t>E4 Manufacturas</t>
        </is>
      </c>
      <c r="D312" s="6" t="n">
        <v>669643</v>
      </c>
      <c r="E312" s="6" t="inlineStr">
        <is>
          <t>Estados Unidos</t>
        </is>
      </c>
      <c r="F312" s="6" t="n">
        <v>0.7101</v>
      </c>
      <c r="G312" s="6" t="n">
        <v>0</v>
      </c>
      <c r="H312" s="6" t="n">
        <v>0.7101</v>
      </c>
      <c r="I312" s="6" t="n">
        <v>11</v>
      </c>
    </row>
    <row r="313">
      <c r="A313" s="9" t="n">
        <v>2002</v>
      </c>
      <c r="B313" s="9" t="inlineStr">
        <is>
          <t>silice</t>
        </is>
      </c>
      <c r="C313" s="9" t="inlineStr">
        <is>
          <t>E1 Arena silica/cuarzo</t>
        </is>
      </c>
      <c r="D313" s="9" t="n">
        <v>339074</v>
      </c>
      <c r="E313" s="9" t="inlineStr">
        <is>
          <t>Estados Unidos</t>
        </is>
      </c>
      <c r="F313" s="9" t="n">
        <v>0.4596</v>
      </c>
      <c r="G313" s="9" t="n">
        <v>0</v>
      </c>
      <c r="H313" s="9" t="n">
        <v>0.4596</v>
      </c>
      <c r="I313" s="9" t="n">
        <v>9</v>
      </c>
    </row>
    <row r="314">
      <c r="A314" s="6" t="n">
        <v>2002</v>
      </c>
      <c r="B314" s="6" t="inlineStr">
        <is>
          <t>silice</t>
        </is>
      </c>
      <c r="C314" s="6" t="inlineStr">
        <is>
          <t>E2 Silicio/ferrosilicio/SiO2</t>
        </is>
      </c>
      <c r="D314" s="6" t="n">
        <v>5684154</v>
      </c>
      <c r="E314" s="6" t="inlineStr">
        <is>
          <t>Estados Unidos</t>
        </is>
      </c>
      <c r="F314" s="6" t="n">
        <v>0.5790999999999999</v>
      </c>
      <c r="G314" s="6" t="n">
        <v>0</v>
      </c>
      <c r="H314" s="6" t="n">
        <v>0.5790999999999999</v>
      </c>
      <c r="I314" s="6" t="n">
        <v>17</v>
      </c>
    </row>
    <row r="315">
      <c r="A315" s="9" t="n">
        <v>2002</v>
      </c>
      <c r="B315" s="9" t="inlineStr">
        <is>
          <t>zinc</t>
        </is>
      </c>
      <c r="C315" s="9" t="inlineStr">
        <is>
          <t>E1 Mena/concentrado</t>
        </is>
      </c>
      <c r="D315" s="9" t="n">
        <v>54149930</v>
      </c>
      <c r="E315" s="9" t="inlineStr">
        <is>
          <t>Canada</t>
        </is>
      </c>
      <c r="F315" s="9" t="n">
        <v>0.2796</v>
      </c>
      <c r="G315" s="9" t="n">
        <v>0.1744</v>
      </c>
      <c r="H315" s="9" t="n">
        <v>0.0788</v>
      </c>
      <c r="I315" s="9" t="n">
        <v>12</v>
      </c>
    </row>
    <row r="316">
      <c r="A316" s="6" t="n">
        <v>2002</v>
      </c>
      <c r="B316" s="6" t="inlineStr">
        <is>
          <t>zinc</t>
        </is>
      </c>
      <c r="C316" s="6" t="inlineStr">
        <is>
          <t>E2 Metal en bruto/refinado</t>
        </is>
      </c>
      <c r="D316" s="6" t="n">
        <v>140721783</v>
      </c>
      <c r="E316" s="6" t="inlineStr">
        <is>
          <t>Estados Unidos</t>
        </is>
      </c>
      <c r="F316" s="6" t="n">
        <v>0.845</v>
      </c>
      <c r="G316" s="6" t="n">
        <v>0</v>
      </c>
      <c r="H316" s="6" t="n">
        <v>0.845</v>
      </c>
      <c r="I316" s="6" t="n">
        <v>15</v>
      </c>
    </row>
    <row r="317">
      <c r="A317" s="9" t="n">
        <v>2002</v>
      </c>
      <c r="B317" s="9" t="inlineStr">
        <is>
          <t>zinc</t>
        </is>
      </c>
      <c r="C317" s="9" t="inlineStr">
        <is>
          <t>E3 Semimanufacturas</t>
        </is>
      </c>
      <c r="D317" s="9" t="n">
        <v>497806</v>
      </c>
      <c r="E317" s="9" t="inlineStr">
        <is>
          <t>Estados Unidos</t>
        </is>
      </c>
      <c r="F317" s="9" t="n">
        <v>0.5042</v>
      </c>
      <c r="G317" s="9" t="n">
        <v>0</v>
      </c>
      <c r="H317" s="9" t="n">
        <v>0.5042</v>
      </c>
      <c r="I317" s="9" t="n">
        <v>6</v>
      </c>
    </row>
    <row r="318">
      <c r="A318" s="6" t="n">
        <v>2002</v>
      </c>
      <c r="B318" s="6" t="inlineStr">
        <is>
          <t>zinc</t>
        </is>
      </c>
      <c r="C318" s="6" t="inlineStr">
        <is>
          <t>E4 Manufacturas</t>
        </is>
      </c>
      <c r="D318" s="6" t="n">
        <v>20310677</v>
      </c>
      <c r="E318" s="6" t="inlineStr">
        <is>
          <t>Estados Unidos</t>
        </is>
      </c>
      <c r="F318" s="6" t="n">
        <v>0.9614</v>
      </c>
      <c r="G318" s="6" t="n">
        <v>0</v>
      </c>
      <c r="H318" s="6" t="n">
        <v>0.9614</v>
      </c>
      <c r="I318" s="6" t="n">
        <v>13</v>
      </c>
    </row>
    <row r="319">
      <c r="A319" s="9" t="n">
        <v>2003</v>
      </c>
      <c r="B319" s="9" t="inlineStr">
        <is>
          <t>barita</t>
        </is>
      </c>
      <c r="C319" s="9" t="inlineStr">
        <is>
          <t>E1 Crudo/molido</t>
        </is>
      </c>
      <c r="D319" s="9" t="n">
        <v>158568</v>
      </c>
      <c r="E319" s="9" t="inlineStr">
        <is>
          <t>Estados Unidos</t>
        </is>
      </c>
      <c r="F319" s="9" t="n">
        <v>0.5836</v>
      </c>
      <c r="G319" s="9" t="n">
        <v>0</v>
      </c>
      <c r="H319" s="9" t="n">
        <v>0.5836</v>
      </c>
      <c r="I319" s="9" t="n">
        <v>2</v>
      </c>
    </row>
    <row r="320">
      <c r="A320" s="6" t="n">
        <v>2003</v>
      </c>
      <c r="B320" s="6" t="inlineStr">
        <is>
          <t>barita</t>
        </is>
      </c>
      <c r="C320" s="6" t="inlineStr">
        <is>
          <t>E2 Quimicos de bario</t>
        </is>
      </c>
      <c r="D320" s="6" t="n">
        <v>2856761</v>
      </c>
      <c r="E320" s="6" t="inlineStr">
        <is>
          <t>Estados Unidos</t>
        </is>
      </c>
      <c r="F320" s="6" t="n">
        <v>0.9994</v>
      </c>
      <c r="G320" s="6" t="n">
        <v>0</v>
      </c>
      <c r="H320" s="6" t="n">
        <v>0.9994</v>
      </c>
      <c r="I320" s="6" t="n">
        <v>2</v>
      </c>
    </row>
    <row r="321">
      <c r="A321" s="9" t="n">
        <v>2003</v>
      </c>
      <c r="B321" s="9" t="inlineStr">
        <is>
          <t>cobre</t>
        </is>
      </c>
      <c r="C321" s="9" t="inlineStr">
        <is>
          <t>E1 Mena/concentrado</t>
        </is>
      </c>
      <c r="D321" s="9" t="n">
        <v>55865611</v>
      </c>
      <c r="E321" s="9" t="inlineStr">
        <is>
          <t>China</t>
        </is>
      </c>
      <c r="F321" s="9" t="n">
        <v>0.4544</v>
      </c>
      <c r="G321" s="9" t="n">
        <v>0.4544</v>
      </c>
      <c r="H321" s="9" t="n">
        <v>0.1368</v>
      </c>
      <c r="I321" s="9" t="n">
        <v>8</v>
      </c>
    </row>
    <row r="322">
      <c r="A322" s="6" t="n">
        <v>2003</v>
      </c>
      <c r="B322" s="6" t="inlineStr">
        <is>
          <t>cobre</t>
        </is>
      </c>
      <c r="C322" s="6" t="inlineStr">
        <is>
          <t>E2 Metal en bruto/refinado</t>
        </is>
      </c>
      <c r="D322" s="6" t="n">
        <v>95820988</v>
      </c>
      <c r="E322" s="6" t="inlineStr">
        <is>
          <t>Estados Unidos</t>
        </is>
      </c>
      <c r="F322" s="6" t="n">
        <v>0.9111</v>
      </c>
      <c r="G322" s="6" t="n">
        <v>0.0805</v>
      </c>
      <c r="H322" s="6" t="n">
        <v>0.9111</v>
      </c>
      <c r="I322" s="6" t="n">
        <v>7</v>
      </c>
    </row>
    <row r="323">
      <c r="A323" s="9" t="n">
        <v>2003</v>
      </c>
      <c r="B323" s="9" t="inlineStr">
        <is>
          <t>cobre</t>
        </is>
      </c>
      <c r="C323" s="9" t="inlineStr">
        <is>
          <t>E3 Semimanufacturas</t>
        </is>
      </c>
      <c r="D323" s="9" t="n">
        <v>231848154</v>
      </c>
      <c r="E323" s="9" t="inlineStr">
        <is>
          <t>Estados Unidos</t>
        </is>
      </c>
      <c r="F323" s="9" t="n">
        <v>0.8106</v>
      </c>
      <c r="G323" s="9" t="n">
        <v>0.0272</v>
      </c>
      <c r="H323" s="9" t="n">
        <v>0.8106</v>
      </c>
      <c r="I323" s="9" t="n">
        <v>48</v>
      </c>
    </row>
    <row r="324">
      <c r="A324" s="6" t="n">
        <v>2003</v>
      </c>
      <c r="B324" s="6" t="inlineStr">
        <is>
          <t>cobre</t>
        </is>
      </c>
      <c r="C324" s="6" t="inlineStr">
        <is>
          <t>E4 Manufacturas</t>
        </is>
      </c>
      <c r="D324" s="6" t="n">
        <v>36465117</v>
      </c>
      <c r="E324" s="6" t="inlineStr">
        <is>
          <t>Estados Unidos</t>
        </is>
      </c>
      <c r="F324" s="6" t="n">
        <v>0.9647</v>
      </c>
      <c r="G324" s="6" t="n">
        <v>0.0005</v>
      </c>
      <c r="H324" s="6" t="n">
        <v>0.9647</v>
      </c>
      <c r="I324" s="6" t="n">
        <v>32</v>
      </c>
    </row>
    <row r="325">
      <c r="A325" s="9" t="n">
        <v>2003</v>
      </c>
      <c r="B325" s="9" t="inlineStr">
        <is>
          <t>fluorita</t>
        </is>
      </c>
      <c r="C325" s="9" t="inlineStr">
        <is>
          <t>E1 Espato fluor (crudo)</t>
        </is>
      </c>
      <c r="D325" s="9" t="n">
        <v>39306023</v>
      </c>
      <c r="E325" s="9" t="inlineStr">
        <is>
          <t>Canada</t>
        </is>
      </c>
      <c r="F325" s="9" t="n">
        <v>0.2615</v>
      </c>
      <c r="G325" s="9" t="n">
        <v>0</v>
      </c>
      <c r="H325" s="9" t="n">
        <v>0.2338</v>
      </c>
      <c r="I325" s="9" t="n">
        <v>22</v>
      </c>
    </row>
    <row r="326">
      <c r="A326" s="6" t="n">
        <v>2003</v>
      </c>
      <c r="B326" s="6" t="inlineStr">
        <is>
          <t>fluorita</t>
        </is>
      </c>
      <c r="C326" s="6" t="inlineStr">
        <is>
          <t>E2 Fluoroquimica</t>
        </is>
      </c>
      <c r="D326" s="6" t="n">
        <v>94480357</v>
      </c>
      <c r="E326" s="6" t="inlineStr">
        <is>
          <t>Estados Unidos</t>
        </is>
      </c>
      <c r="F326" s="6" t="n">
        <v>0.7879</v>
      </c>
      <c r="G326" s="6" t="n">
        <v>0.0004</v>
      </c>
      <c r="H326" s="6" t="n">
        <v>0.7879</v>
      </c>
      <c r="I326" s="6" t="n">
        <v>15</v>
      </c>
    </row>
    <row r="327">
      <c r="A327" s="9" t="n">
        <v>2003</v>
      </c>
      <c r="B327" s="9" t="inlineStr">
        <is>
          <t>grafito</t>
        </is>
      </c>
      <c r="C327" s="9" t="inlineStr">
        <is>
          <t>E1 Grafito natural</t>
        </is>
      </c>
      <c r="D327" s="9" t="n">
        <v>1493698</v>
      </c>
      <c r="E327" s="9" t="inlineStr">
        <is>
          <t>Estados Unidos</t>
        </is>
      </c>
      <c r="F327" s="9" t="n">
        <v>0.8208</v>
      </c>
      <c r="G327" s="9" t="n">
        <v>0</v>
      </c>
      <c r="H327" s="9" t="n">
        <v>0.8208</v>
      </c>
      <c r="I327" s="9" t="n">
        <v>3</v>
      </c>
    </row>
    <row r="328">
      <c r="A328" s="6" t="n">
        <v>2003</v>
      </c>
      <c r="B328" s="6" t="inlineStr">
        <is>
          <t>grafito</t>
        </is>
      </c>
      <c r="C328" s="6" t="inlineStr">
        <is>
          <t>E2 Grafito artificial/prep.</t>
        </is>
      </c>
      <c r="D328" s="6" t="n">
        <v>10553422</v>
      </c>
      <c r="E328" s="6" t="inlineStr">
        <is>
          <t>Belgica</t>
        </is>
      </c>
      <c r="F328" s="6" t="n">
        <v>0.5596</v>
      </c>
      <c r="G328" s="6" t="n">
        <v>0.0009</v>
      </c>
      <c r="H328" s="6" t="n">
        <v>0.1149</v>
      </c>
      <c r="I328" s="6" t="n">
        <v>13</v>
      </c>
    </row>
    <row r="329">
      <c r="A329" s="9" t="n">
        <v>2003</v>
      </c>
      <c r="B329" s="9" t="inlineStr">
        <is>
          <t>grafito</t>
        </is>
      </c>
      <c r="C329" s="9" t="inlineStr">
        <is>
          <t>E3 Electrodos/articulos de carbono</t>
        </is>
      </c>
      <c r="D329" s="9" t="n">
        <v>108394185</v>
      </c>
      <c r="E329" s="9" t="inlineStr">
        <is>
          <t>Estados Unidos</t>
        </is>
      </c>
      <c r="F329" s="9" t="n">
        <v>0.8939</v>
      </c>
      <c r="G329" s="9" t="n">
        <v>0</v>
      </c>
      <c r="H329" s="9" t="n">
        <v>0.8939</v>
      </c>
      <c r="I329" s="9" t="n">
        <v>24</v>
      </c>
    </row>
    <row r="330">
      <c r="A330" s="6" t="n">
        <v>2003</v>
      </c>
      <c r="B330" s="6" t="inlineStr">
        <is>
          <t>manganeso</t>
        </is>
      </c>
      <c r="C330" s="6" t="inlineStr">
        <is>
          <t>E1 Mena/concentrado</t>
        </is>
      </c>
      <c r="D330" s="6" t="n">
        <v>2311065</v>
      </c>
      <c r="E330" s="6" t="inlineStr">
        <is>
          <t>Guatemala</t>
        </is>
      </c>
      <c r="F330" s="6" t="n">
        <v>0.1788</v>
      </c>
      <c r="G330" s="6" t="n">
        <v>0</v>
      </c>
      <c r="H330" s="6" t="n">
        <v>0.1373</v>
      </c>
      <c r="I330" s="6" t="n">
        <v>13</v>
      </c>
    </row>
    <row r="331">
      <c r="A331" s="9" t="n">
        <v>2003</v>
      </c>
      <c r="B331" s="9" t="inlineStr">
        <is>
          <t>manganeso</t>
        </is>
      </c>
      <c r="C331" s="9" t="inlineStr">
        <is>
          <t>E2 Ferroaleaciones</t>
        </is>
      </c>
      <c r="D331" s="9" t="n">
        <v>23184846</v>
      </c>
      <c r="E331" s="9" t="inlineStr">
        <is>
          <t>Estados Unidos</t>
        </is>
      </c>
      <c r="F331" s="9" t="n">
        <v>0.7436</v>
      </c>
      <c r="G331" s="9" t="n">
        <v>0</v>
      </c>
      <c r="H331" s="9" t="n">
        <v>0.7436</v>
      </c>
      <c r="I331" s="9" t="n">
        <v>19</v>
      </c>
    </row>
    <row r="332">
      <c r="A332" s="6" t="n">
        <v>2003</v>
      </c>
      <c r="B332" s="6" t="inlineStr">
        <is>
          <t>manganeso</t>
        </is>
      </c>
      <c r="C332" s="6" t="inlineStr">
        <is>
          <t>E3 Quimicos/metal</t>
        </is>
      </c>
      <c r="D332" s="6" t="n">
        <v>973944</v>
      </c>
      <c r="E332" s="6" t="inlineStr">
        <is>
          <t>Paises Bajos</t>
        </is>
      </c>
      <c r="F332" s="6" t="n">
        <v>0.3358</v>
      </c>
      <c r="G332" s="6" t="n">
        <v>0</v>
      </c>
      <c r="H332" s="6" t="n">
        <v>0.1279</v>
      </c>
      <c r="I332" s="6" t="n">
        <v>7</v>
      </c>
    </row>
    <row r="333">
      <c r="A333" s="9" t="n">
        <v>2003</v>
      </c>
      <c r="B333" s="9" t="inlineStr">
        <is>
          <t>oro</t>
        </is>
      </c>
      <c r="C333" s="9" t="inlineStr">
        <is>
          <t>E2 Bruto/semilabrado</t>
        </is>
      </c>
      <c r="D333" s="9" t="n">
        <v>156753172</v>
      </c>
      <c r="E333" s="9" t="inlineStr">
        <is>
          <t>Estados Unidos</t>
        </is>
      </c>
      <c r="F333" s="9" t="n">
        <v>0.733</v>
      </c>
      <c r="G333" s="9" t="n">
        <v>0</v>
      </c>
      <c r="H333" s="9" t="n">
        <v>0.733</v>
      </c>
      <c r="I333" s="9" t="n">
        <v>7</v>
      </c>
    </row>
    <row r="334">
      <c r="A334" s="6" t="n">
        <v>2003</v>
      </c>
      <c r="B334" s="6" t="inlineStr">
        <is>
          <t>oro-plata (manufacturas)</t>
        </is>
      </c>
      <c r="C334" s="6" t="inlineStr">
        <is>
          <t>E4 Joyeria/orfebreria</t>
        </is>
      </c>
      <c r="D334" s="6" t="n">
        <v>363424846</v>
      </c>
      <c r="E334" s="6" t="inlineStr">
        <is>
          <t>Estados Unidos</t>
        </is>
      </c>
      <c r="F334" s="6" t="n">
        <v>0.9543</v>
      </c>
      <c r="G334" s="6" t="n">
        <v>0.0001</v>
      </c>
      <c r="H334" s="6" t="n">
        <v>0.9543</v>
      </c>
      <c r="I334" s="6" t="n">
        <v>60</v>
      </c>
    </row>
    <row r="335">
      <c r="A335" s="9" t="n">
        <v>2003</v>
      </c>
      <c r="B335" s="9" t="inlineStr">
        <is>
          <t>plata</t>
        </is>
      </c>
      <c r="C335" s="9" t="inlineStr">
        <is>
          <t>E1 Mena/concentrado</t>
        </is>
      </c>
      <c r="D335" s="9" t="n">
        <v>879148</v>
      </c>
      <c r="E335" s="9" t="inlineStr">
        <is>
          <t>Suiza</t>
        </is>
      </c>
      <c r="F335" s="9" t="n">
        <v>0.9722</v>
      </c>
      <c r="G335" s="9" t="n">
        <v>0</v>
      </c>
      <c r="H335" s="9" t="n">
        <v>0.0278</v>
      </c>
      <c r="I335" s="9" t="n">
        <v>2</v>
      </c>
    </row>
    <row r="336">
      <c r="A336" s="6" t="n">
        <v>2003</v>
      </c>
      <c r="B336" s="6" t="inlineStr">
        <is>
          <t>plata</t>
        </is>
      </c>
      <c r="C336" s="6" t="inlineStr">
        <is>
          <t>E2 Bruto/semilabrado</t>
        </is>
      </c>
      <c r="D336" s="6" t="n">
        <v>511538513</v>
      </c>
      <c r="E336" s="6" t="inlineStr">
        <is>
          <t>Estados Unidos</t>
        </is>
      </c>
      <c r="F336" s="6" t="n">
        <v>0.867</v>
      </c>
      <c r="G336" s="6" t="n">
        <v>0</v>
      </c>
      <c r="H336" s="6" t="n">
        <v>0.867</v>
      </c>
      <c r="I336" s="6" t="n">
        <v>13</v>
      </c>
    </row>
    <row r="337">
      <c r="A337" s="9" t="n">
        <v>2003</v>
      </c>
      <c r="B337" s="9" t="inlineStr">
        <is>
          <t>plomo</t>
        </is>
      </c>
      <c r="C337" s="9" t="inlineStr">
        <is>
          <t>E1 Mena/concentrado</t>
        </is>
      </c>
      <c r="D337" s="9" t="n">
        <v>11557733</v>
      </c>
      <c r="E337" s="9" t="inlineStr">
        <is>
          <t>Japon</t>
        </is>
      </c>
      <c r="F337" s="9" t="n">
        <v>0.6644</v>
      </c>
      <c r="G337" s="9" t="n">
        <v>0.0059</v>
      </c>
      <c r="H337" s="9" t="n">
        <v>0</v>
      </c>
      <c r="I337" s="9" t="n">
        <v>3</v>
      </c>
    </row>
    <row r="338">
      <c r="A338" s="6" t="n">
        <v>2003</v>
      </c>
      <c r="B338" s="6" t="inlineStr">
        <is>
          <t>plomo</t>
        </is>
      </c>
      <c r="C338" s="6" t="inlineStr">
        <is>
          <t>E2 Metal en bruto/refinado</t>
        </is>
      </c>
      <c r="D338" s="6" t="n">
        <v>6707125</v>
      </c>
      <c r="E338" s="6" t="inlineStr">
        <is>
          <t>Estados Unidos</t>
        </is>
      </c>
      <c r="F338" s="6" t="n">
        <v>0.5953000000000001</v>
      </c>
      <c r="G338" s="6" t="n">
        <v>0</v>
      </c>
      <c r="H338" s="6" t="n">
        <v>0.5953000000000001</v>
      </c>
      <c r="I338" s="6" t="n">
        <v>8</v>
      </c>
    </row>
    <row r="339">
      <c r="A339" s="9" t="n">
        <v>2003</v>
      </c>
      <c r="B339" s="9" t="inlineStr">
        <is>
          <t>plomo</t>
        </is>
      </c>
      <c r="C339" s="9" t="inlineStr">
        <is>
          <t>E3 Semimanufacturas</t>
        </is>
      </c>
      <c r="D339" s="9" t="n">
        <v>110449</v>
      </c>
      <c r="E339" s="9" t="inlineStr">
        <is>
          <t>Cuba</t>
        </is>
      </c>
      <c r="F339" s="9" t="n">
        <v>0.9116</v>
      </c>
      <c r="G339" s="9" t="n">
        <v>0</v>
      </c>
      <c r="H339" s="9" t="n">
        <v>0</v>
      </c>
      <c r="I339" s="9" t="n">
        <v>3</v>
      </c>
    </row>
    <row r="340">
      <c r="A340" s="6" t="n">
        <v>2003</v>
      </c>
      <c r="B340" s="6" t="inlineStr">
        <is>
          <t>plomo</t>
        </is>
      </c>
      <c r="C340" s="6" t="inlineStr">
        <is>
          <t>E4 Manufacturas</t>
        </is>
      </c>
      <c r="D340" s="6" t="n">
        <v>721839</v>
      </c>
      <c r="E340" s="6" t="inlineStr">
        <is>
          <t>Estados Unidos</t>
        </is>
      </c>
      <c r="F340" s="6" t="n">
        <v>0.6855</v>
      </c>
      <c r="G340" s="6" t="n">
        <v>0</v>
      </c>
      <c r="H340" s="6" t="n">
        <v>0.6855</v>
      </c>
      <c r="I340" s="6" t="n">
        <v>14</v>
      </c>
    </row>
    <row r="341">
      <c r="A341" s="9" t="n">
        <v>2003</v>
      </c>
      <c r="B341" s="9" t="inlineStr">
        <is>
          <t>silice</t>
        </is>
      </c>
      <c r="C341" s="9" t="inlineStr">
        <is>
          <t>E1 Arena silica/cuarzo</t>
        </is>
      </c>
      <c r="D341" s="9" t="n">
        <v>339166</v>
      </c>
      <c r="E341" s="9" t="inlineStr">
        <is>
          <t>Guatemala</t>
        </is>
      </c>
      <c r="F341" s="9" t="n">
        <v>0.5021</v>
      </c>
      <c r="G341" s="9" t="n">
        <v>0</v>
      </c>
      <c r="H341" s="9" t="n">
        <v>0.3673</v>
      </c>
      <c r="I341" s="9" t="n">
        <v>8</v>
      </c>
    </row>
    <row r="342">
      <c r="A342" s="6" t="n">
        <v>2003</v>
      </c>
      <c r="B342" s="6" t="inlineStr">
        <is>
          <t>silice</t>
        </is>
      </c>
      <c r="C342" s="6" t="inlineStr">
        <is>
          <t>E2 Silicio/ferrosilicio/SiO2</t>
        </is>
      </c>
      <c r="D342" s="6" t="n">
        <v>5099616</v>
      </c>
      <c r="E342" s="6" t="inlineStr">
        <is>
          <t>Estados Unidos</t>
        </is>
      </c>
      <c r="F342" s="6" t="n">
        <v>0.7233000000000001</v>
      </c>
      <c r="G342" s="6" t="n">
        <v>0</v>
      </c>
      <c r="H342" s="6" t="n">
        <v>0.7233000000000001</v>
      </c>
      <c r="I342" s="6" t="n">
        <v>17</v>
      </c>
    </row>
    <row r="343">
      <c r="A343" s="9" t="n">
        <v>2003</v>
      </c>
      <c r="B343" s="9" t="inlineStr">
        <is>
          <t>zinc</t>
        </is>
      </c>
      <c r="C343" s="9" t="inlineStr">
        <is>
          <t>E1 Mena/concentrado</t>
        </is>
      </c>
      <c r="D343" s="9" t="n">
        <v>54195655</v>
      </c>
      <c r="E343" s="9" t="inlineStr">
        <is>
          <t>Canada</t>
        </is>
      </c>
      <c r="F343" s="9" t="n">
        <v>0.337</v>
      </c>
      <c r="G343" s="9" t="n">
        <v>0.0813</v>
      </c>
      <c r="H343" s="9" t="n">
        <v>0.1016</v>
      </c>
      <c r="I343" s="9" t="n">
        <v>12</v>
      </c>
    </row>
    <row r="344">
      <c r="A344" s="6" t="n">
        <v>2003</v>
      </c>
      <c r="B344" s="6" t="inlineStr">
        <is>
          <t>zinc</t>
        </is>
      </c>
      <c r="C344" s="6" t="inlineStr">
        <is>
          <t>E2 Metal en bruto/refinado</t>
        </is>
      </c>
      <c r="D344" s="6" t="n">
        <v>164691470</v>
      </c>
      <c r="E344" s="6" t="inlineStr">
        <is>
          <t>Estados Unidos</t>
        </is>
      </c>
      <c r="F344" s="6" t="n">
        <v>0.8255</v>
      </c>
      <c r="G344" s="6" t="n">
        <v>0</v>
      </c>
      <c r="H344" s="6" t="n">
        <v>0.8255</v>
      </c>
      <c r="I344" s="6" t="n">
        <v>13</v>
      </c>
    </row>
    <row r="345">
      <c r="A345" s="9" t="n">
        <v>2003</v>
      </c>
      <c r="B345" s="9" t="inlineStr">
        <is>
          <t>zinc</t>
        </is>
      </c>
      <c r="C345" s="9" t="inlineStr">
        <is>
          <t>E3 Semimanufacturas</t>
        </is>
      </c>
      <c r="D345" s="9" t="n">
        <v>490938</v>
      </c>
      <c r="E345" s="9" t="inlineStr">
        <is>
          <t>Estados Unidos</t>
        </is>
      </c>
      <c r="F345" s="9" t="n">
        <v>0.6488</v>
      </c>
      <c r="G345" s="9" t="n">
        <v>0</v>
      </c>
      <c r="H345" s="9" t="n">
        <v>0.6488</v>
      </c>
      <c r="I345" s="9" t="n">
        <v>3</v>
      </c>
    </row>
    <row r="346">
      <c r="A346" s="6" t="n">
        <v>2003</v>
      </c>
      <c r="B346" s="6" t="inlineStr">
        <is>
          <t>zinc</t>
        </is>
      </c>
      <c r="C346" s="6" t="inlineStr">
        <is>
          <t>E4 Manufacturas</t>
        </is>
      </c>
      <c r="D346" s="6" t="n">
        <v>15257973</v>
      </c>
      <c r="E346" s="6" t="inlineStr">
        <is>
          <t>Estados Unidos</t>
        </is>
      </c>
      <c r="F346" s="6" t="n">
        <v>0.9794</v>
      </c>
      <c r="G346" s="6" t="n">
        <v>0</v>
      </c>
      <c r="H346" s="6" t="n">
        <v>0.9794</v>
      </c>
      <c r="I346" s="6" t="n">
        <v>9</v>
      </c>
    </row>
    <row r="347">
      <c r="A347" s="9" t="n">
        <v>2004</v>
      </c>
      <c r="B347" s="9" t="inlineStr">
        <is>
          <t>barita</t>
        </is>
      </c>
      <c r="C347" s="9" t="inlineStr">
        <is>
          <t>E1 Crudo/molido</t>
        </is>
      </c>
      <c r="D347" s="9" t="n">
        <v>329427</v>
      </c>
      <c r="E347" s="9" t="inlineStr">
        <is>
          <t>Uruguay</t>
        </is>
      </c>
      <c r="F347" s="9" t="n">
        <v>0.5637</v>
      </c>
      <c r="G347" s="9" t="n">
        <v>0</v>
      </c>
      <c r="H347" s="9" t="n">
        <v>0.1274</v>
      </c>
      <c r="I347" s="9" t="n">
        <v>3</v>
      </c>
    </row>
    <row r="348">
      <c r="A348" s="6" t="n">
        <v>2004</v>
      </c>
      <c r="B348" s="6" t="inlineStr">
        <is>
          <t>barita</t>
        </is>
      </c>
      <c r="C348" s="6" t="inlineStr">
        <is>
          <t>E2 Quimicos de bario</t>
        </is>
      </c>
      <c r="D348" s="6" t="n">
        <v>1923072</v>
      </c>
      <c r="E348" s="6" t="inlineStr">
        <is>
          <t>Estados Unidos</t>
        </is>
      </c>
      <c r="F348" s="6" t="n">
        <v>0.9977</v>
      </c>
      <c r="G348" s="6" t="n">
        <v>0</v>
      </c>
      <c r="H348" s="6" t="n">
        <v>0.9977</v>
      </c>
      <c r="I348" s="6" t="n">
        <v>2</v>
      </c>
    </row>
    <row r="349">
      <c r="A349" s="9" t="n">
        <v>2004</v>
      </c>
      <c r="B349" s="9" t="inlineStr">
        <is>
          <t>cobre</t>
        </is>
      </c>
      <c r="C349" s="9" t="inlineStr">
        <is>
          <t>E1 Mena/concentrado</t>
        </is>
      </c>
      <c r="D349" s="9" t="n">
        <v>142696018</v>
      </c>
      <c r="E349" s="9" t="inlineStr">
        <is>
          <t>Suiza</t>
        </is>
      </c>
      <c r="F349" s="9" t="n">
        <v>0.383</v>
      </c>
      <c r="G349" s="9" t="n">
        <v>0.3414</v>
      </c>
      <c r="H349" s="9" t="n">
        <v>0.2223</v>
      </c>
      <c r="I349" s="9" t="n">
        <v>9</v>
      </c>
    </row>
    <row r="350">
      <c r="A350" s="6" t="n">
        <v>2004</v>
      </c>
      <c r="B350" s="6" t="inlineStr">
        <is>
          <t>cobre</t>
        </is>
      </c>
      <c r="C350" s="6" t="inlineStr">
        <is>
          <t>E2 Metal en bruto/refinado</t>
        </is>
      </c>
      <c r="D350" s="6" t="n">
        <v>180404616</v>
      </c>
      <c r="E350" s="6" t="inlineStr">
        <is>
          <t>Estados Unidos</t>
        </is>
      </c>
      <c r="F350" s="6" t="n">
        <v>0.8615</v>
      </c>
      <c r="G350" s="6" t="n">
        <v>0.078</v>
      </c>
      <c r="H350" s="6" t="n">
        <v>0.8615</v>
      </c>
      <c r="I350" s="6" t="n">
        <v>14</v>
      </c>
    </row>
    <row r="351">
      <c r="A351" s="9" t="n">
        <v>2004</v>
      </c>
      <c r="B351" s="9" t="inlineStr">
        <is>
          <t>cobre</t>
        </is>
      </c>
      <c r="C351" s="9" t="inlineStr">
        <is>
          <t>E3 Semimanufacturas</t>
        </is>
      </c>
      <c r="D351" s="9" t="n">
        <v>386745985</v>
      </c>
      <c r="E351" s="9" t="inlineStr">
        <is>
          <t>Estados Unidos</t>
        </is>
      </c>
      <c r="F351" s="9" t="n">
        <v>0.8588</v>
      </c>
      <c r="G351" s="9" t="n">
        <v>0.0004</v>
      </c>
      <c r="H351" s="9" t="n">
        <v>0.8588</v>
      </c>
      <c r="I351" s="9" t="n">
        <v>40</v>
      </c>
    </row>
    <row r="352">
      <c r="A352" s="6" t="n">
        <v>2004</v>
      </c>
      <c r="B352" s="6" t="inlineStr">
        <is>
          <t>cobre</t>
        </is>
      </c>
      <c r="C352" s="6" t="inlineStr">
        <is>
          <t>E4 Manufacturas</t>
        </is>
      </c>
      <c r="D352" s="6" t="n">
        <v>19801435</v>
      </c>
      <c r="E352" s="6" t="inlineStr">
        <is>
          <t>Estados Unidos</t>
        </is>
      </c>
      <c r="F352" s="6" t="n">
        <v>0.9441000000000001</v>
      </c>
      <c r="G352" s="6" t="n">
        <v>0.0022</v>
      </c>
      <c r="H352" s="6" t="n">
        <v>0.9441000000000001</v>
      </c>
      <c r="I352" s="6" t="n">
        <v>30</v>
      </c>
    </row>
    <row r="353">
      <c r="A353" s="9" t="n">
        <v>2004</v>
      </c>
      <c r="B353" s="9" t="inlineStr">
        <is>
          <t>fluorita</t>
        </is>
      </c>
      <c r="C353" s="9" t="inlineStr">
        <is>
          <t>E1 Espato fluor (crudo)</t>
        </is>
      </c>
      <c r="D353" s="9" t="n">
        <v>49277614</v>
      </c>
      <c r="E353" s="9" t="inlineStr">
        <is>
          <t>Estados Unidos</t>
        </is>
      </c>
      <c r="F353" s="9" t="n">
        <v>0.4091</v>
      </c>
      <c r="G353" s="9" t="n">
        <v>0</v>
      </c>
      <c r="H353" s="9" t="n">
        <v>0.4091</v>
      </c>
      <c r="I353" s="9" t="n">
        <v>16</v>
      </c>
    </row>
    <row r="354">
      <c r="A354" s="6" t="n">
        <v>2004</v>
      </c>
      <c r="B354" s="6" t="inlineStr">
        <is>
          <t>fluorita</t>
        </is>
      </c>
      <c r="C354" s="6" t="inlineStr">
        <is>
          <t>E2 Fluoroquimica</t>
        </is>
      </c>
      <c r="D354" s="6" t="n">
        <v>87079015</v>
      </c>
      <c r="E354" s="6" t="inlineStr">
        <is>
          <t>Estados Unidos</t>
        </is>
      </c>
      <c r="F354" s="6" t="n">
        <v>0.8635</v>
      </c>
      <c r="G354" s="6" t="n">
        <v>0</v>
      </c>
      <c r="H354" s="6" t="n">
        <v>0.8635</v>
      </c>
      <c r="I354" s="6" t="n">
        <v>9</v>
      </c>
    </row>
    <row r="355">
      <c r="A355" s="9" t="n">
        <v>2004</v>
      </c>
      <c r="B355" s="9" t="inlineStr">
        <is>
          <t>grafito</t>
        </is>
      </c>
      <c r="C355" s="9" t="inlineStr">
        <is>
          <t>E1 Grafito natural</t>
        </is>
      </c>
      <c r="D355" s="9" t="n">
        <v>2862457</v>
      </c>
      <c r="E355" s="9" t="inlineStr">
        <is>
          <t>Estados Unidos</t>
        </is>
      </c>
      <c r="F355" s="9" t="n">
        <v>0.897</v>
      </c>
      <c r="G355" s="9" t="n">
        <v>0</v>
      </c>
      <c r="H355" s="9" t="n">
        <v>0.897</v>
      </c>
      <c r="I355" s="9" t="n">
        <v>8</v>
      </c>
    </row>
    <row r="356">
      <c r="A356" s="6" t="n">
        <v>2004</v>
      </c>
      <c r="B356" s="6" t="inlineStr">
        <is>
          <t>grafito</t>
        </is>
      </c>
      <c r="C356" s="6" t="inlineStr">
        <is>
          <t>E2 Grafito artificial/prep.</t>
        </is>
      </c>
      <c r="D356" s="6" t="n">
        <v>11097371</v>
      </c>
      <c r="E356" s="6" t="inlineStr">
        <is>
          <t>Suiza</t>
        </is>
      </c>
      <c r="F356" s="6" t="n">
        <v>0.8128</v>
      </c>
      <c r="G356" s="6" t="n">
        <v>0</v>
      </c>
      <c r="H356" s="6" t="n">
        <v>0.1393</v>
      </c>
      <c r="I356" s="6" t="n">
        <v>10</v>
      </c>
    </row>
    <row r="357">
      <c r="A357" s="9" t="n">
        <v>2004</v>
      </c>
      <c r="B357" s="9" t="inlineStr">
        <is>
          <t>grafito</t>
        </is>
      </c>
      <c r="C357" s="9" t="inlineStr">
        <is>
          <t>E3 Electrodos/articulos de carbono</t>
        </is>
      </c>
      <c r="D357" s="9" t="n">
        <v>82879316</v>
      </c>
      <c r="E357" s="9" t="inlineStr">
        <is>
          <t>Suiza</t>
        </is>
      </c>
      <c r="F357" s="9" t="n">
        <v>0.8091</v>
      </c>
      <c r="G357" s="9" t="n">
        <v>0</v>
      </c>
      <c r="H357" s="9" t="n">
        <v>0.1666</v>
      </c>
      <c r="I357" s="9" t="n">
        <v>22</v>
      </c>
    </row>
    <row r="358">
      <c r="A358" s="6" t="n">
        <v>2004</v>
      </c>
      <c r="B358" s="6" t="inlineStr">
        <is>
          <t>manganeso</t>
        </is>
      </c>
      <c r="C358" s="6" t="inlineStr">
        <is>
          <t>E1 Mena/concentrado</t>
        </is>
      </c>
      <c r="D358" s="6" t="n">
        <v>2135077</v>
      </c>
      <c r="E358" s="6" t="inlineStr">
        <is>
          <t>Estados Unidos</t>
        </is>
      </c>
      <c r="F358" s="6" t="n">
        <v>0.4492</v>
      </c>
      <c r="G358" s="6" t="n">
        <v>0</v>
      </c>
      <c r="H358" s="6" t="n">
        <v>0.4492</v>
      </c>
      <c r="I358" s="6" t="n">
        <v>14</v>
      </c>
    </row>
    <row r="359">
      <c r="A359" s="9" t="n">
        <v>2004</v>
      </c>
      <c r="B359" s="9" t="inlineStr">
        <is>
          <t>manganeso</t>
        </is>
      </c>
      <c r="C359" s="9" t="inlineStr">
        <is>
          <t>E2 Ferroaleaciones</t>
        </is>
      </c>
      <c r="D359" s="9" t="n">
        <v>30747282</v>
      </c>
      <c r="E359" s="9" t="inlineStr">
        <is>
          <t>Estados Unidos</t>
        </is>
      </c>
      <c r="F359" s="9" t="n">
        <v>0.8758</v>
      </c>
      <c r="G359" s="9" t="n">
        <v>0</v>
      </c>
      <c r="H359" s="9" t="n">
        <v>0.8758</v>
      </c>
      <c r="I359" s="9" t="n">
        <v>13</v>
      </c>
    </row>
    <row r="360">
      <c r="A360" s="6" t="n">
        <v>2004</v>
      </c>
      <c r="B360" s="6" t="inlineStr">
        <is>
          <t>manganeso</t>
        </is>
      </c>
      <c r="C360" s="6" t="inlineStr">
        <is>
          <t>E3 Quimicos/metal</t>
        </is>
      </c>
      <c r="D360" s="6" t="n">
        <v>1903742</v>
      </c>
      <c r="E360" s="6" t="inlineStr">
        <is>
          <t>Hong Kong</t>
        </is>
      </c>
      <c r="F360" s="6" t="n">
        <v>0.6657</v>
      </c>
      <c r="G360" s="6" t="n">
        <v>0</v>
      </c>
      <c r="H360" s="6" t="n">
        <v>0.128</v>
      </c>
      <c r="I360" s="6" t="n">
        <v>6</v>
      </c>
    </row>
    <row r="361">
      <c r="A361" s="9" t="n">
        <v>2004</v>
      </c>
      <c r="B361" s="9" t="inlineStr">
        <is>
          <t>oro</t>
        </is>
      </c>
      <c r="C361" s="9" t="inlineStr">
        <is>
          <t>E1 Mena/concentrado</t>
        </is>
      </c>
      <c r="D361" s="9" t="n">
        <v>18333</v>
      </c>
      <c r="E361" s="9" t="inlineStr">
        <is>
          <t>Estados Unidos</t>
        </is>
      </c>
      <c r="F361" s="9" t="n">
        <v>1</v>
      </c>
      <c r="G361" s="9" t="n">
        <v>0</v>
      </c>
      <c r="H361" s="9" t="n">
        <v>1</v>
      </c>
      <c r="I361" s="9" t="n">
        <v>1</v>
      </c>
    </row>
    <row r="362">
      <c r="A362" s="6" t="n">
        <v>2004</v>
      </c>
      <c r="B362" s="6" t="inlineStr">
        <is>
          <t>oro</t>
        </is>
      </c>
      <c r="C362" s="6" t="inlineStr">
        <is>
          <t>E2 Bruto/semilabrado</t>
        </is>
      </c>
      <c r="D362" s="6" t="n">
        <v>154192536</v>
      </c>
      <c r="E362" s="6" t="inlineStr">
        <is>
          <t>Estados Unidos</t>
        </is>
      </c>
      <c r="F362" s="6" t="n">
        <v>0.7619</v>
      </c>
      <c r="G362" s="6" t="n">
        <v>0</v>
      </c>
      <c r="H362" s="6" t="n">
        <v>0.7619</v>
      </c>
      <c r="I362" s="6" t="n">
        <v>6</v>
      </c>
    </row>
    <row r="363">
      <c r="A363" s="9" t="n">
        <v>2004</v>
      </c>
      <c r="B363" s="9" t="inlineStr">
        <is>
          <t>oro-plata (manufacturas)</t>
        </is>
      </c>
      <c r="C363" s="9" t="inlineStr">
        <is>
          <t>E4 Joyeria/orfebreria</t>
        </is>
      </c>
      <c r="D363" s="9" t="n">
        <v>545999372</v>
      </c>
      <c r="E363" s="9" t="inlineStr">
        <is>
          <t>Estados Unidos</t>
        </is>
      </c>
      <c r="F363" s="9" t="n">
        <v>0.95</v>
      </c>
      <c r="G363" s="9" t="n">
        <v>0.0001</v>
      </c>
      <c r="H363" s="9" t="n">
        <v>0.95</v>
      </c>
      <c r="I363" s="9" t="n">
        <v>62</v>
      </c>
    </row>
    <row r="364">
      <c r="A364" s="6" t="n">
        <v>2004</v>
      </c>
      <c r="B364" s="6" t="inlineStr">
        <is>
          <t>plata</t>
        </is>
      </c>
      <c r="C364" s="6" t="inlineStr">
        <is>
          <t>E1 Mena/concentrado</t>
        </is>
      </c>
      <c r="D364" s="6" t="n">
        <v>858138</v>
      </c>
      <c r="E364" s="6" t="inlineStr">
        <is>
          <t>Suiza</t>
        </is>
      </c>
      <c r="F364" s="6" t="n">
        <v>0.9436</v>
      </c>
      <c r="G364" s="6" t="n">
        <v>0</v>
      </c>
      <c r="H364" s="6" t="n">
        <v>0.0564</v>
      </c>
      <c r="I364" s="6" t="n">
        <v>2</v>
      </c>
    </row>
    <row r="365">
      <c r="A365" s="9" t="n">
        <v>2004</v>
      </c>
      <c r="B365" s="9" t="inlineStr">
        <is>
          <t>plata</t>
        </is>
      </c>
      <c r="C365" s="9" t="inlineStr">
        <is>
          <t>E2 Bruto/semilabrado</t>
        </is>
      </c>
      <c r="D365" s="9" t="n">
        <v>680423986</v>
      </c>
      <c r="E365" s="9" t="inlineStr">
        <is>
          <t>Estados Unidos</t>
        </is>
      </c>
      <c r="F365" s="9" t="n">
        <v>0.8871</v>
      </c>
      <c r="G365" s="9" t="n">
        <v>0</v>
      </c>
      <c r="H365" s="9" t="n">
        <v>0.8871</v>
      </c>
      <c r="I365" s="9" t="n">
        <v>16</v>
      </c>
    </row>
    <row r="366">
      <c r="A366" s="6" t="n">
        <v>2004</v>
      </c>
      <c r="B366" s="6" t="inlineStr">
        <is>
          <t>plomo</t>
        </is>
      </c>
      <c r="C366" s="6" t="inlineStr">
        <is>
          <t>E1 Mena/concentrado</t>
        </is>
      </c>
      <c r="D366" s="6" t="n">
        <v>15726602</v>
      </c>
      <c r="E366" s="6" t="inlineStr">
        <is>
          <t>Suiza</t>
        </is>
      </c>
      <c r="F366" s="6" t="n">
        <v>0.6705</v>
      </c>
      <c r="G366" s="6" t="n">
        <v>0</v>
      </c>
      <c r="H366" s="6" t="n">
        <v>0</v>
      </c>
      <c r="I366" s="6" t="n">
        <v>7</v>
      </c>
    </row>
    <row r="367">
      <c r="A367" s="9" t="n">
        <v>2004</v>
      </c>
      <c r="B367" s="9" t="inlineStr">
        <is>
          <t>plomo</t>
        </is>
      </c>
      <c r="C367" s="9" t="inlineStr">
        <is>
          <t>E2 Metal en bruto/refinado</t>
        </is>
      </c>
      <c r="D367" s="9" t="n">
        <v>7375338</v>
      </c>
      <c r="E367" s="9" t="inlineStr">
        <is>
          <t>Estados Unidos</t>
        </is>
      </c>
      <c r="F367" s="9" t="n">
        <v>0.7060999999999999</v>
      </c>
      <c r="G367" s="9" t="n">
        <v>0</v>
      </c>
      <c r="H367" s="9" t="n">
        <v>0.7060999999999999</v>
      </c>
      <c r="I367" s="9" t="n">
        <v>8</v>
      </c>
    </row>
    <row r="368">
      <c r="A368" s="6" t="n">
        <v>2004</v>
      </c>
      <c r="B368" s="6" t="inlineStr">
        <is>
          <t>plomo</t>
        </is>
      </c>
      <c r="C368" s="6" t="inlineStr">
        <is>
          <t>E3 Semimanufacturas</t>
        </is>
      </c>
      <c r="D368" s="6" t="n">
        <v>107554</v>
      </c>
      <c r="E368" s="6" t="inlineStr">
        <is>
          <t>Cuba</t>
        </is>
      </c>
      <c r="F368" s="6" t="n">
        <v>0.7894</v>
      </c>
      <c r="G368" s="6" t="n">
        <v>0</v>
      </c>
      <c r="H368" s="6" t="n">
        <v>0.1852</v>
      </c>
      <c r="I368" s="6" t="n">
        <v>3</v>
      </c>
    </row>
    <row r="369">
      <c r="A369" s="9" t="n">
        <v>2004</v>
      </c>
      <c r="B369" s="9" t="inlineStr">
        <is>
          <t>plomo</t>
        </is>
      </c>
      <c r="C369" s="9" t="inlineStr">
        <is>
          <t>E4 Manufacturas</t>
        </is>
      </c>
      <c r="D369" s="9" t="n">
        <v>653049</v>
      </c>
      <c r="E369" s="9" t="inlineStr">
        <is>
          <t>Estados Unidos</t>
        </is>
      </c>
      <c r="F369" s="9" t="n">
        <v>0.6183</v>
      </c>
      <c r="G369" s="9" t="n">
        <v>0</v>
      </c>
      <c r="H369" s="9" t="n">
        <v>0.6183</v>
      </c>
      <c r="I369" s="9" t="n">
        <v>10</v>
      </c>
    </row>
    <row r="370">
      <c r="A370" s="6" t="n">
        <v>2004</v>
      </c>
      <c r="B370" s="6" t="inlineStr">
        <is>
          <t>silice</t>
        </is>
      </c>
      <c r="C370" s="6" t="inlineStr">
        <is>
          <t>E1 Arena silica/cuarzo</t>
        </is>
      </c>
      <c r="D370" s="6" t="n">
        <v>1346939</v>
      </c>
      <c r="E370" s="6" t="inlineStr">
        <is>
          <t>Estados Unidos</t>
        </is>
      </c>
      <c r="F370" s="6" t="n">
        <v>0.8779</v>
      </c>
      <c r="G370" s="6" t="n">
        <v>0</v>
      </c>
      <c r="H370" s="6" t="n">
        <v>0.8779</v>
      </c>
      <c r="I370" s="6" t="n">
        <v>7</v>
      </c>
    </row>
    <row r="371">
      <c r="A371" s="9" t="n">
        <v>2004</v>
      </c>
      <c r="B371" s="9" t="inlineStr">
        <is>
          <t>silice</t>
        </is>
      </c>
      <c r="C371" s="9" t="inlineStr">
        <is>
          <t>E2 Silicio/ferrosilicio/SiO2</t>
        </is>
      </c>
      <c r="D371" s="9" t="n">
        <v>8423942</v>
      </c>
      <c r="E371" s="9" t="inlineStr">
        <is>
          <t>Estados Unidos</t>
        </is>
      </c>
      <c r="F371" s="9" t="n">
        <v>0.6336000000000001</v>
      </c>
      <c r="G371" s="9" t="n">
        <v>0</v>
      </c>
      <c r="H371" s="9" t="n">
        <v>0.6336000000000001</v>
      </c>
      <c r="I371" s="9" t="n">
        <v>17</v>
      </c>
    </row>
    <row r="372">
      <c r="A372" s="6" t="n">
        <v>2004</v>
      </c>
      <c r="B372" s="6" t="inlineStr">
        <is>
          <t>zinc</t>
        </is>
      </c>
      <c r="C372" s="6" t="inlineStr">
        <is>
          <t>E1 Mena/concentrado</t>
        </is>
      </c>
      <c r="D372" s="6" t="n">
        <v>53150900</v>
      </c>
      <c r="E372" s="6" t="inlineStr">
        <is>
          <t>Francia</t>
        </is>
      </c>
      <c r="F372" s="6" t="n">
        <v>0.379</v>
      </c>
      <c r="G372" s="6" t="n">
        <v>0.0002</v>
      </c>
      <c r="H372" s="6" t="n">
        <v>0.0487</v>
      </c>
      <c r="I372" s="6" t="n">
        <v>13</v>
      </c>
    </row>
    <row r="373">
      <c r="A373" s="9" t="n">
        <v>2004</v>
      </c>
      <c r="B373" s="9" t="inlineStr">
        <is>
          <t>zinc</t>
        </is>
      </c>
      <c r="C373" s="9" t="inlineStr">
        <is>
          <t>E2 Metal en bruto/refinado</t>
        </is>
      </c>
      <c r="D373" s="9" t="n">
        <v>215091995</v>
      </c>
      <c r="E373" s="9" t="inlineStr">
        <is>
          <t>Estados Unidos</t>
        </is>
      </c>
      <c r="F373" s="9" t="n">
        <v>0.7692</v>
      </c>
      <c r="G373" s="9" t="n">
        <v>0</v>
      </c>
      <c r="H373" s="9" t="n">
        <v>0.7692</v>
      </c>
      <c r="I373" s="9" t="n">
        <v>20</v>
      </c>
    </row>
    <row r="374">
      <c r="A374" s="6" t="n">
        <v>2004</v>
      </c>
      <c r="B374" s="6" t="inlineStr">
        <is>
          <t>zinc</t>
        </is>
      </c>
      <c r="C374" s="6" t="inlineStr">
        <is>
          <t>E3 Semimanufacturas</t>
        </is>
      </c>
      <c r="D374" s="6" t="n">
        <v>274762</v>
      </c>
      <c r="E374" s="6" t="inlineStr">
        <is>
          <t>Cuba</t>
        </is>
      </c>
      <c r="F374" s="6" t="n">
        <v>0.3396</v>
      </c>
      <c r="G374" s="6" t="n">
        <v>0</v>
      </c>
      <c r="H374" s="6" t="n">
        <v>0.3385</v>
      </c>
      <c r="I374" s="6" t="n">
        <v>4</v>
      </c>
    </row>
    <row r="375">
      <c r="A375" s="9" t="n">
        <v>2004</v>
      </c>
      <c r="B375" s="9" t="inlineStr">
        <is>
          <t>zinc</t>
        </is>
      </c>
      <c r="C375" s="9" t="inlineStr">
        <is>
          <t>E4 Manufacturas</t>
        </is>
      </c>
      <c r="D375" s="9" t="n">
        <v>12609814</v>
      </c>
      <c r="E375" s="9" t="inlineStr">
        <is>
          <t>Estados Unidos</t>
        </is>
      </c>
      <c r="F375" s="9" t="n">
        <v>0.995</v>
      </c>
      <c r="G375" s="9" t="n">
        <v>0</v>
      </c>
      <c r="H375" s="9" t="n">
        <v>0.995</v>
      </c>
      <c r="I375" s="9" t="n">
        <v>12</v>
      </c>
    </row>
    <row r="376">
      <c r="A376" s="6" t="n">
        <v>2005</v>
      </c>
      <c r="B376" s="6" t="inlineStr">
        <is>
          <t>barita</t>
        </is>
      </c>
      <c r="C376" s="6" t="inlineStr">
        <is>
          <t>E1 Crudo/molido</t>
        </is>
      </c>
      <c r="D376" s="6" t="n">
        <v>1260125</v>
      </c>
      <c r="E376" s="6" t="inlineStr">
        <is>
          <t>Venezuela</t>
        </is>
      </c>
      <c r="F376" s="6" t="n">
        <v>0.5185</v>
      </c>
      <c r="G376" s="6" t="n">
        <v>0</v>
      </c>
      <c r="H376" s="6" t="n">
        <v>0.07049999999999999</v>
      </c>
      <c r="I376" s="6" t="n">
        <v>4</v>
      </c>
    </row>
    <row r="377">
      <c r="A377" s="9" t="n">
        <v>2005</v>
      </c>
      <c r="B377" s="9" t="inlineStr">
        <is>
          <t>barita</t>
        </is>
      </c>
      <c r="C377" s="9" t="inlineStr">
        <is>
          <t>E2 Quimicos de bario</t>
        </is>
      </c>
      <c r="D377" s="9" t="n">
        <v>340427</v>
      </c>
      <c r="E377" s="9" t="inlineStr">
        <is>
          <t>Estados Unidos</t>
        </is>
      </c>
      <c r="F377" s="9" t="n">
        <v>0.992</v>
      </c>
      <c r="G377" s="9" t="n">
        <v>0</v>
      </c>
      <c r="H377" s="9" t="n">
        <v>0.992</v>
      </c>
      <c r="I377" s="9" t="n">
        <v>3</v>
      </c>
    </row>
    <row r="378">
      <c r="A378" s="6" t="n">
        <v>2005</v>
      </c>
      <c r="B378" s="6" t="inlineStr">
        <is>
          <t>cobre</t>
        </is>
      </c>
      <c r="C378" s="6" t="inlineStr">
        <is>
          <t>E1 Mena/concentrado</t>
        </is>
      </c>
      <c r="D378" s="6" t="n">
        <v>89827731</v>
      </c>
      <c r="E378" s="6" t="inlineStr">
        <is>
          <t>China</t>
        </is>
      </c>
      <c r="F378" s="6" t="n">
        <v>0.4585</v>
      </c>
      <c r="G378" s="6" t="n">
        <v>0.4585</v>
      </c>
      <c r="H378" s="6" t="n">
        <v>0.0051</v>
      </c>
      <c r="I378" s="6" t="n">
        <v>9</v>
      </c>
    </row>
    <row r="379">
      <c r="A379" s="9" t="n">
        <v>2005</v>
      </c>
      <c r="B379" s="9" t="inlineStr">
        <is>
          <t>cobre</t>
        </is>
      </c>
      <c r="C379" s="9" t="inlineStr">
        <is>
          <t>E2 Metal en bruto/refinado</t>
        </is>
      </c>
      <c r="D379" s="9" t="n">
        <v>279220725</v>
      </c>
      <c r="E379" s="9" t="inlineStr">
        <is>
          <t>Estados Unidos</t>
        </is>
      </c>
      <c r="F379" s="9" t="n">
        <v>0.4023</v>
      </c>
      <c r="G379" s="9" t="n">
        <v>0.1864</v>
      </c>
      <c r="H379" s="9" t="n">
        <v>0.4023</v>
      </c>
      <c r="I379" s="9" t="n">
        <v>20</v>
      </c>
    </row>
    <row r="380">
      <c r="A380" s="6" t="n">
        <v>2005</v>
      </c>
      <c r="B380" s="6" t="inlineStr">
        <is>
          <t>cobre</t>
        </is>
      </c>
      <c r="C380" s="6" t="inlineStr">
        <is>
          <t>E3 Semimanufacturas</t>
        </is>
      </c>
      <c r="D380" s="6" t="n">
        <v>596649067</v>
      </c>
      <c r="E380" s="6" t="inlineStr">
        <is>
          <t>Estados Unidos</t>
        </is>
      </c>
      <c r="F380" s="6" t="n">
        <v>0.8607</v>
      </c>
      <c r="G380" s="6" t="n">
        <v>0.0002</v>
      </c>
      <c r="H380" s="6" t="n">
        <v>0.8607</v>
      </c>
      <c r="I380" s="6" t="n">
        <v>62</v>
      </c>
    </row>
    <row r="381">
      <c r="A381" s="9" t="n">
        <v>2005</v>
      </c>
      <c r="B381" s="9" t="inlineStr">
        <is>
          <t>cobre</t>
        </is>
      </c>
      <c r="C381" s="9" t="inlineStr">
        <is>
          <t>E4 Manufacturas</t>
        </is>
      </c>
      <c r="D381" s="9" t="n">
        <v>23245383</v>
      </c>
      <c r="E381" s="9" t="inlineStr">
        <is>
          <t>Estados Unidos</t>
        </is>
      </c>
      <c r="F381" s="9" t="n">
        <v>0.9343</v>
      </c>
      <c r="G381" s="9" t="n">
        <v>0.0021</v>
      </c>
      <c r="H381" s="9" t="n">
        <v>0.9343</v>
      </c>
      <c r="I381" s="9" t="n">
        <v>56</v>
      </c>
    </row>
    <row r="382">
      <c r="A382" s="6" t="n">
        <v>2005</v>
      </c>
      <c r="B382" s="6" t="inlineStr">
        <is>
          <t>fluorita</t>
        </is>
      </c>
      <c r="C382" s="6" t="inlineStr">
        <is>
          <t>E1 Espato fluor (crudo)</t>
        </is>
      </c>
      <c r="D382" s="6" t="n">
        <v>54291105</v>
      </c>
      <c r="E382" s="6" t="inlineStr">
        <is>
          <t>Canada</t>
        </is>
      </c>
      <c r="F382" s="6" t="n">
        <v>0.2286</v>
      </c>
      <c r="G382" s="6" t="n">
        <v>0</v>
      </c>
      <c r="H382" s="6" t="n">
        <v>0.2154</v>
      </c>
      <c r="I382" s="6" t="n">
        <v>23</v>
      </c>
    </row>
    <row r="383">
      <c r="A383" s="9" t="n">
        <v>2005</v>
      </c>
      <c r="B383" s="9" t="inlineStr">
        <is>
          <t>fluorita</t>
        </is>
      </c>
      <c r="C383" s="9" t="inlineStr">
        <is>
          <t>E2 Fluoroquimica</t>
        </is>
      </c>
      <c r="D383" s="9" t="n">
        <v>102742390</v>
      </c>
      <c r="E383" s="9" t="inlineStr">
        <is>
          <t>Estados Unidos</t>
        </is>
      </c>
      <c r="F383" s="9" t="n">
        <v>0.8335</v>
      </c>
      <c r="G383" s="9" t="n">
        <v>0</v>
      </c>
      <c r="H383" s="9" t="n">
        <v>0.8335</v>
      </c>
      <c r="I383" s="9" t="n">
        <v>19</v>
      </c>
    </row>
    <row r="384">
      <c r="A384" s="6" t="n">
        <v>2005</v>
      </c>
      <c r="B384" s="6" t="inlineStr">
        <is>
          <t>grafito</t>
        </is>
      </c>
      <c r="C384" s="6" t="inlineStr">
        <is>
          <t>E1 Grafito natural</t>
        </is>
      </c>
      <c r="D384" s="6" t="n">
        <v>2735828</v>
      </c>
      <c r="E384" s="6" t="inlineStr">
        <is>
          <t>Estados Unidos</t>
        </is>
      </c>
      <c r="F384" s="6" t="n">
        <v>0.8387</v>
      </c>
      <c r="G384" s="6" t="n">
        <v>0</v>
      </c>
      <c r="H384" s="6" t="n">
        <v>0.8387</v>
      </c>
      <c r="I384" s="6" t="n">
        <v>6</v>
      </c>
    </row>
    <row r="385">
      <c r="A385" s="9" t="n">
        <v>2005</v>
      </c>
      <c r="B385" s="9" t="inlineStr">
        <is>
          <t>grafito</t>
        </is>
      </c>
      <c r="C385" s="9" t="inlineStr">
        <is>
          <t>E2 Grafito artificial/prep.</t>
        </is>
      </c>
      <c r="D385" s="9" t="n">
        <v>8875480</v>
      </c>
      <c r="E385" s="9" t="inlineStr">
        <is>
          <t>Francia</t>
        </is>
      </c>
      <c r="F385" s="9" t="n">
        <v>0.4618</v>
      </c>
      <c r="G385" s="9" t="n">
        <v>0</v>
      </c>
      <c r="H385" s="9" t="n">
        <v>0.2415</v>
      </c>
      <c r="I385" s="9" t="n">
        <v>20</v>
      </c>
    </row>
    <row r="386">
      <c r="A386" s="6" t="n">
        <v>2005</v>
      </c>
      <c r="B386" s="6" t="inlineStr">
        <is>
          <t>grafito</t>
        </is>
      </c>
      <c r="C386" s="6" t="inlineStr">
        <is>
          <t>E3 Electrodos/articulos de carbono</t>
        </is>
      </c>
      <c r="D386" s="6" t="n">
        <v>73886119</v>
      </c>
      <c r="E386" s="6" t="inlineStr">
        <is>
          <t>Estados Unidos</t>
        </is>
      </c>
      <c r="F386" s="6" t="n">
        <v>0.8669</v>
      </c>
      <c r="G386" s="6" t="n">
        <v>0.0053</v>
      </c>
      <c r="H386" s="6" t="n">
        <v>0.8669</v>
      </c>
      <c r="I386" s="6" t="n">
        <v>38</v>
      </c>
    </row>
    <row r="387">
      <c r="A387" s="9" t="n">
        <v>2005</v>
      </c>
      <c r="B387" s="9" t="inlineStr">
        <is>
          <t>manganeso</t>
        </is>
      </c>
      <c r="C387" s="9" t="inlineStr">
        <is>
          <t>E1 Mena/concentrado</t>
        </is>
      </c>
      <c r="D387" s="9" t="n">
        <v>2686754</v>
      </c>
      <c r="E387" s="9" t="inlineStr">
        <is>
          <t>Estados Unidos</t>
        </is>
      </c>
      <c r="F387" s="9" t="n">
        <v>0.3829</v>
      </c>
      <c r="G387" s="9" t="n">
        <v>0</v>
      </c>
      <c r="H387" s="9" t="n">
        <v>0.3829</v>
      </c>
      <c r="I387" s="9" t="n">
        <v>15</v>
      </c>
    </row>
    <row r="388">
      <c r="A388" s="6" t="n">
        <v>2005</v>
      </c>
      <c r="B388" s="6" t="inlineStr">
        <is>
          <t>manganeso</t>
        </is>
      </c>
      <c r="C388" s="6" t="inlineStr">
        <is>
          <t>E2 Ferroaleaciones</t>
        </is>
      </c>
      <c r="D388" s="6" t="n">
        <v>54497075</v>
      </c>
      <c r="E388" s="6" t="inlineStr">
        <is>
          <t>Estados Unidos</t>
        </is>
      </c>
      <c r="F388" s="6" t="n">
        <v>0.7844</v>
      </c>
      <c r="G388" s="6" t="n">
        <v>0</v>
      </c>
      <c r="H388" s="6" t="n">
        <v>0.7844</v>
      </c>
      <c r="I388" s="6" t="n">
        <v>25</v>
      </c>
    </row>
    <row r="389">
      <c r="A389" s="9" t="n">
        <v>2005</v>
      </c>
      <c r="B389" s="9" t="inlineStr">
        <is>
          <t>manganeso</t>
        </is>
      </c>
      <c r="C389" s="9" t="inlineStr">
        <is>
          <t>E3 Quimicos/metal</t>
        </is>
      </c>
      <c r="D389" s="9" t="n">
        <v>2652669</v>
      </c>
      <c r="E389" s="9" t="inlineStr">
        <is>
          <t>Paises Bajos</t>
        </is>
      </c>
      <c r="F389" s="9" t="n">
        <v>0.4415</v>
      </c>
      <c r="G389" s="9" t="n">
        <v>0</v>
      </c>
      <c r="H389" s="9" t="n">
        <v>0.1367</v>
      </c>
      <c r="I389" s="9" t="n">
        <v>12</v>
      </c>
    </row>
    <row r="390">
      <c r="A390" s="6" t="n">
        <v>2005</v>
      </c>
      <c r="B390" s="6" t="inlineStr">
        <is>
          <t>oro</t>
        </is>
      </c>
      <c r="C390" s="6" t="inlineStr">
        <is>
          <t>E1 Mena/concentrado</t>
        </is>
      </c>
      <c r="D390" s="6" t="n">
        <v>9872</v>
      </c>
      <c r="E390" s="6" t="inlineStr">
        <is>
          <t>Estados Unidos</t>
        </is>
      </c>
      <c r="F390" s="6" t="n">
        <v>0.9994</v>
      </c>
      <c r="G390" s="6" t="n">
        <v>0</v>
      </c>
      <c r="H390" s="6" t="n">
        <v>0.9994</v>
      </c>
      <c r="I390" s="6" t="n">
        <v>2</v>
      </c>
    </row>
    <row r="391">
      <c r="A391" s="9" t="n">
        <v>2005</v>
      </c>
      <c r="B391" s="9" t="inlineStr">
        <is>
          <t>oro</t>
        </is>
      </c>
      <c r="C391" s="9" t="inlineStr">
        <is>
          <t>E2 Bruto/semilabrado</t>
        </is>
      </c>
      <c r="D391" s="9" t="n">
        <v>305410948</v>
      </c>
      <c r="E391" s="9" t="inlineStr">
        <is>
          <t>Estados Unidos</t>
        </is>
      </c>
      <c r="F391" s="9" t="n">
        <v>0.8959</v>
      </c>
      <c r="G391" s="9" t="n">
        <v>0</v>
      </c>
      <c r="H391" s="9" t="n">
        <v>0.8959</v>
      </c>
      <c r="I391" s="9" t="n">
        <v>10</v>
      </c>
    </row>
    <row r="392">
      <c r="A392" s="6" t="n">
        <v>2005</v>
      </c>
      <c r="B392" s="6" t="inlineStr">
        <is>
          <t>oro-plata (manufacturas)</t>
        </is>
      </c>
      <c r="C392" s="6" t="inlineStr">
        <is>
          <t>E4 Joyeria/orfebreria</t>
        </is>
      </c>
      <c r="D392" s="6" t="n">
        <v>588220322</v>
      </c>
      <c r="E392" s="6" t="inlineStr">
        <is>
          <t>Estados Unidos</t>
        </is>
      </c>
      <c r="F392" s="6" t="n">
        <v>0.9495</v>
      </c>
      <c r="G392" s="6" t="n">
        <v>0</v>
      </c>
      <c r="H392" s="6" t="n">
        <v>0.9495</v>
      </c>
      <c r="I392" s="6" t="n">
        <v>76</v>
      </c>
    </row>
    <row r="393">
      <c r="A393" s="9" t="n">
        <v>2005</v>
      </c>
      <c r="B393" s="9" t="inlineStr">
        <is>
          <t>plata</t>
        </is>
      </c>
      <c r="C393" s="9" t="inlineStr">
        <is>
          <t>E1 Mena/concentrado</t>
        </is>
      </c>
      <c r="D393" s="9" t="n">
        <v>651918</v>
      </c>
      <c r="E393" s="9" t="inlineStr">
        <is>
          <t>Suiza</t>
        </is>
      </c>
      <c r="F393" s="9" t="n">
        <v>0.962</v>
      </c>
      <c r="G393" s="9" t="n">
        <v>0</v>
      </c>
      <c r="H393" s="9" t="n">
        <v>0.0002</v>
      </c>
      <c r="I393" s="9" t="n">
        <v>4</v>
      </c>
    </row>
    <row r="394">
      <c r="A394" s="6" t="n">
        <v>2005</v>
      </c>
      <c r="B394" s="6" t="inlineStr">
        <is>
          <t>plata</t>
        </is>
      </c>
      <c r="C394" s="6" t="inlineStr">
        <is>
          <t>E2 Bruto/semilabrado</t>
        </is>
      </c>
      <c r="D394" s="6" t="n">
        <v>711743512</v>
      </c>
      <c r="E394" s="6" t="inlineStr">
        <is>
          <t>Estados Unidos</t>
        </is>
      </c>
      <c r="F394" s="6" t="n">
        <v>0.8300999999999999</v>
      </c>
      <c r="G394" s="6" t="n">
        <v>0.0139</v>
      </c>
      <c r="H394" s="6" t="n">
        <v>0.8300999999999999</v>
      </c>
      <c r="I394" s="6" t="n">
        <v>23</v>
      </c>
    </row>
    <row r="395">
      <c r="A395" s="9" t="n">
        <v>2005</v>
      </c>
      <c r="B395" s="9" t="inlineStr">
        <is>
          <t>plomo</t>
        </is>
      </c>
      <c r="C395" s="9" t="inlineStr">
        <is>
          <t>E1 Mena/concentrado</t>
        </is>
      </c>
      <c r="D395" s="9" t="n">
        <v>2012224</v>
      </c>
      <c r="E395" s="9" t="inlineStr">
        <is>
          <t>Peru</t>
        </is>
      </c>
      <c r="F395" s="9" t="n">
        <v>0.7173</v>
      </c>
      <c r="G395" s="9" t="n">
        <v>0.2145</v>
      </c>
      <c r="H395" s="9" t="n">
        <v>0</v>
      </c>
      <c r="I395" s="9" t="n">
        <v>4</v>
      </c>
    </row>
    <row r="396">
      <c r="A396" s="6" t="n">
        <v>2005</v>
      </c>
      <c r="B396" s="6" t="inlineStr">
        <is>
          <t>plomo</t>
        </is>
      </c>
      <c r="C396" s="6" t="inlineStr">
        <is>
          <t>E2 Metal en bruto/refinado</t>
        </is>
      </c>
      <c r="D396" s="6" t="n">
        <v>17596753</v>
      </c>
      <c r="E396" s="6" t="inlineStr">
        <is>
          <t>Estados Unidos</t>
        </is>
      </c>
      <c r="F396" s="6" t="n">
        <v>0.6898</v>
      </c>
      <c r="G396" s="6" t="n">
        <v>0.0035</v>
      </c>
      <c r="H396" s="6" t="n">
        <v>0.6898</v>
      </c>
      <c r="I396" s="6" t="n">
        <v>12</v>
      </c>
    </row>
    <row r="397">
      <c r="A397" s="9" t="n">
        <v>2005</v>
      </c>
      <c r="B397" s="9" t="inlineStr">
        <is>
          <t>plomo</t>
        </is>
      </c>
      <c r="C397" s="9" t="inlineStr">
        <is>
          <t>E3 Semimanufacturas</t>
        </is>
      </c>
      <c r="D397" s="9" t="n">
        <v>248339</v>
      </c>
      <c r="E397" s="9" t="inlineStr">
        <is>
          <t>Estados Unidos</t>
        </is>
      </c>
      <c r="F397" s="9" t="n">
        <v>0.8959</v>
      </c>
      <c r="G397" s="9" t="n">
        <v>0</v>
      </c>
      <c r="H397" s="9" t="n">
        <v>0.8959</v>
      </c>
      <c r="I397" s="9" t="n">
        <v>4</v>
      </c>
    </row>
    <row r="398">
      <c r="A398" s="6" t="n">
        <v>2005</v>
      </c>
      <c r="B398" s="6" t="inlineStr">
        <is>
          <t>plomo</t>
        </is>
      </c>
      <c r="C398" s="6" t="inlineStr">
        <is>
          <t>E4 Manufacturas</t>
        </is>
      </c>
      <c r="D398" s="6" t="n">
        <v>920368</v>
      </c>
      <c r="E398" s="6" t="inlineStr">
        <is>
          <t>Estados Unidos</t>
        </is>
      </c>
      <c r="F398" s="6" t="n">
        <v>0.5266</v>
      </c>
      <c r="G398" s="6" t="n">
        <v>0</v>
      </c>
      <c r="H398" s="6" t="n">
        <v>0.5266</v>
      </c>
      <c r="I398" s="6" t="n">
        <v>14</v>
      </c>
    </row>
    <row r="399">
      <c r="A399" s="9" t="n">
        <v>2005</v>
      </c>
      <c r="B399" s="9" t="inlineStr">
        <is>
          <t>silice</t>
        </is>
      </c>
      <c r="C399" s="9" t="inlineStr">
        <is>
          <t>E1 Arena silica/cuarzo</t>
        </is>
      </c>
      <c r="D399" s="9" t="n">
        <v>1273196</v>
      </c>
      <c r="E399" s="9" t="inlineStr">
        <is>
          <t>Estados Unidos</t>
        </is>
      </c>
      <c r="F399" s="9" t="n">
        <v>0.8973</v>
      </c>
      <c r="G399" s="9" t="n">
        <v>0.0001</v>
      </c>
      <c r="H399" s="9" t="n">
        <v>0.8973</v>
      </c>
      <c r="I399" s="9" t="n">
        <v>18</v>
      </c>
    </row>
    <row r="400">
      <c r="A400" s="6" t="n">
        <v>2005</v>
      </c>
      <c r="B400" s="6" t="inlineStr">
        <is>
          <t>silice</t>
        </is>
      </c>
      <c r="C400" s="6" t="inlineStr">
        <is>
          <t>E2 Silicio/ferrosilicio/SiO2</t>
        </is>
      </c>
      <c r="D400" s="6" t="n">
        <v>8490176</v>
      </c>
      <c r="E400" s="6" t="inlineStr">
        <is>
          <t>Estados Unidos</t>
        </is>
      </c>
      <c r="F400" s="6" t="n">
        <v>0.7181999999999999</v>
      </c>
      <c r="G400" s="6" t="n">
        <v>0.0032</v>
      </c>
      <c r="H400" s="6" t="n">
        <v>0.7181999999999999</v>
      </c>
      <c r="I400" s="6" t="n">
        <v>24</v>
      </c>
    </row>
    <row r="401">
      <c r="A401" s="9" t="n">
        <v>2005</v>
      </c>
      <c r="B401" s="9" t="inlineStr">
        <is>
          <t>zinc</t>
        </is>
      </c>
      <c r="C401" s="9" t="inlineStr">
        <is>
          <t>E1 Mena/concentrado</t>
        </is>
      </c>
      <c r="D401" s="9" t="n">
        <v>104375797</v>
      </c>
      <c r="E401" s="9" t="inlineStr">
        <is>
          <t>Japon</t>
        </is>
      </c>
      <c r="F401" s="9" t="n">
        <v>0.2477</v>
      </c>
      <c r="G401" s="9" t="n">
        <v>0.0449</v>
      </c>
      <c r="H401" s="9" t="n">
        <v>0.1585</v>
      </c>
      <c r="I401" s="9" t="n">
        <v>18</v>
      </c>
    </row>
    <row r="402">
      <c r="A402" s="6" t="n">
        <v>2005</v>
      </c>
      <c r="B402" s="6" t="inlineStr">
        <is>
          <t>zinc</t>
        </is>
      </c>
      <c r="C402" s="6" t="inlineStr">
        <is>
          <t>E2 Metal en bruto/refinado</t>
        </is>
      </c>
      <c r="D402" s="6" t="n">
        <v>285217586</v>
      </c>
      <c r="E402" s="6" t="inlineStr">
        <is>
          <t>Estados Unidos</t>
        </is>
      </c>
      <c r="F402" s="6" t="n">
        <v>0.8262</v>
      </c>
      <c r="G402" s="6" t="n">
        <v>0</v>
      </c>
      <c r="H402" s="6" t="n">
        <v>0.8262</v>
      </c>
      <c r="I402" s="6" t="n">
        <v>18</v>
      </c>
    </row>
    <row r="403">
      <c r="A403" s="9" t="n">
        <v>2005</v>
      </c>
      <c r="B403" s="9" t="inlineStr">
        <is>
          <t>zinc</t>
        </is>
      </c>
      <c r="C403" s="9" t="inlineStr">
        <is>
          <t>E3 Semimanufacturas</t>
        </is>
      </c>
      <c r="D403" s="9" t="n">
        <v>1217878</v>
      </c>
      <c r="E403" s="9" t="inlineStr">
        <is>
          <t>Estados Unidos</t>
        </is>
      </c>
      <c r="F403" s="9" t="n">
        <v>0.5770999999999999</v>
      </c>
      <c r="G403" s="9" t="n">
        <v>0.0347</v>
      </c>
      <c r="H403" s="9" t="n">
        <v>0.5770999999999999</v>
      </c>
      <c r="I403" s="9" t="n">
        <v>12</v>
      </c>
    </row>
    <row r="404">
      <c r="A404" s="6" t="n">
        <v>2005</v>
      </c>
      <c r="B404" s="6" t="inlineStr">
        <is>
          <t>zinc</t>
        </is>
      </c>
      <c r="C404" s="6" t="inlineStr">
        <is>
          <t>E4 Manufacturas</t>
        </is>
      </c>
      <c r="D404" s="6" t="n">
        <v>15185875</v>
      </c>
      <c r="E404" s="6" t="inlineStr">
        <is>
          <t>Estados Unidos</t>
        </is>
      </c>
      <c r="F404" s="6" t="n">
        <v>0.8061</v>
      </c>
      <c r="G404" s="6" t="n">
        <v>0.1724</v>
      </c>
      <c r="H404" s="6" t="n">
        <v>0.8061</v>
      </c>
      <c r="I404" s="6" t="n">
        <v>27</v>
      </c>
    </row>
    <row r="405">
      <c r="A405" s="9" t="n">
        <v>2006</v>
      </c>
      <c r="B405" s="9" t="inlineStr">
        <is>
          <t>barita</t>
        </is>
      </c>
      <c r="C405" s="9" t="inlineStr">
        <is>
          <t>E1 Crudo/molido</t>
        </is>
      </c>
      <c r="D405" s="9" t="n">
        <v>1879184</v>
      </c>
      <c r="E405" s="9" t="inlineStr">
        <is>
          <t>Cuba</t>
        </is>
      </c>
      <c r="F405" s="9" t="n">
        <v>0.7711</v>
      </c>
      <c r="G405" s="9" t="n">
        <v>0</v>
      </c>
      <c r="H405" s="9" t="n">
        <v>0.1091</v>
      </c>
      <c r="I405" s="9" t="n">
        <v>5</v>
      </c>
    </row>
    <row r="406">
      <c r="A406" s="6" t="n">
        <v>2006</v>
      </c>
      <c r="B406" s="6" t="inlineStr">
        <is>
          <t>barita</t>
        </is>
      </c>
      <c r="C406" s="6" t="inlineStr">
        <is>
          <t>E2 Quimicos de bario</t>
        </is>
      </c>
      <c r="D406" s="6" t="n">
        <v>459</v>
      </c>
      <c r="E406" s="6" t="inlineStr">
        <is>
          <t>Cuba</t>
        </is>
      </c>
      <c r="F406" s="6" t="n">
        <v>0.8606</v>
      </c>
      <c r="G406" s="6" t="n">
        <v>0</v>
      </c>
      <c r="H406" s="6" t="n">
        <v>0.0305</v>
      </c>
      <c r="I406" s="6" t="n">
        <v>3</v>
      </c>
    </row>
    <row r="407">
      <c r="A407" s="9" t="n">
        <v>2006</v>
      </c>
      <c r="B407" s="9" t="inlineStr">
        <is>
          <t>cobre</t>
        </is>
      </c>
      <c r="C407" s="9" t="inlineStr">
        <is>
          <t>E1 Mena/concentrado</t>
        </is>
      </c>
      <c r="D407" s="9" t="n">
        <v>146021267</v>
      </c>
      <c r="E407" s="9" t="inlineStr">
        <is>
          <t>China</t>
        </is>
      </c>
      <c r="F407" s="9" t="n">
        <v>0.4394</v>
      </c>
      <c r="G407" s="9" t="n">
        <v>0.4394</v>
      </c>
      <c r="H407" s="9" t="n">
        <v>0</v>
      </c>
      <c r="I407" s="9" t="n">
        <v>8</v>
      </c>
    </row>
    <row r="408">
      <c r="A408" s="6" t="n">
        <v>2006</v>
      </c>
      <c r="B408" s="6" t="inlineStr">
        <is>
          <t>cobre</t>
        </is>
      </c>
      <c r="C408" s="6" t="inlineStr">
        <is>
          <t>E2 Metal en bruto/refinado</t>
        </is>
      </c>
      <c r="D408" s="6" t="n">
        <v>597853304</v>
      </c>
      <c r="E408" s="6" t="inlineStr">
        <is>
          <t>Estados Unidos</t>
        </is>
      </c>
      <c r="F408" s="6" t="n">
        <v>0.2884</v>
      </c>
      <c r="G408" s="6" t="n">
        <v>0.2385</v>
      </c>
      <c r="H408" s="6" t="n">
        <v>0.2884</v>
      </c>
      <c r="I408" s="6" t="n">
        <v>22</v>
      </c>
    </row>
    <row r="409">
      <c r="A409" s="9" t="n">
        <v>2006</v>
      </c>
      <c r="B409" s="9" t="inlineStr">
        <is>
          <t>cobre</t>
        </is>
      </c>
      <c r="C409" s="9" t="inlineStr">
        <is>
          <t>E3 Semimanufacturas</t>
        </is>
      </c>
      <c r="D409" s="9" t="n">
        <v>812347435</v>
      </c>
      <c r="E409" s="9" t="inlineStr">
        <is>
          <t>Estados Unidos</t>
        </is>
      </c>
      <c r="F409" s="9" t="n">
        <v>0.864</v>
      </c>
      <c r="G409" s="9" t="n">
        <v>0.0001</v>
      </c>
      <c r="H409" s="9" t="n">
        <v>0.864</v>
      </c>
      <c r="I409" s="9" t="n">
        <v>61</v>
      </c>
    </row>
    <row r="410">
      <c r="A410" s="6" t="n">
        <v>2006</v>
      </c>
      <c r="B410" s="6" t="inlineStr">
        <is>
          <t>cobre</t>
        </is>
      </c>
      <c r="C410" s="6" t="inlineStr">
        <is>
          <t>E4 Manufacturas</t>
        </is>
      </c>
      <c r="D410" s="6" t="n">
        <v>31650642</v>
      </c>
      <c r="E410" s="6" t="inlineStr">
        <is>
          <t>Estados Unidos</t>
        </is>
      </c>
      <c r="F410" s="6" t="n">
        <v>0.9519</v>
      </c>
      <c r="G410" s="6" t="n">
        <v>0.0005999999999999999</v>
      </c>
      <c r="H410" s="6" t="n">
        <v>0.9519</v>
      </c>
      <c r="I410" s="6" t="n">
        <v>56</v>
      </c>
    </row>
    <row r="411">
      <c r="A411" s="9" t="n">
        <v>2006</v>
      </c>
      <c r="B411" s="9" t="inlineStr">
        <is>
          <t>fluorita</t>
        </is>
      </c>
      <c r="C411" s="9" t="inlineStr">
        <is>
          <t>E1 Espato fluor (crudo)</t>
        </is>
      </c>
      <c r="D411" s="9" t="n">
        <v>58580333</v>
      </c>
      <c r="E411" s="9" t="inlineStr">
        <is>
          <t>Estados Unidos</t>
        </is>
      </c>
      <c r="F411" s="9" t="n">
        <v>0.2591</v>
      </c>
      <c r="G411" s="9" t="n">
        <v>0</v>
      </c>
      <c r="H411" s="9" t="n">
        <v>0.2591</v>
      </c>
      <c r="I411" s="9" t="n">
        <v>23</v>
      </c>
    </row>
    <row r="412">
      <c r="A412" s="6" t="n">
        <v>2006</v>
      </c>
      <c r="B412" s="6" t="inlineStr">
        <is>
          <t>fluorita</t>
        </is>
      </c>
      <c r="C412" s="6" t="inlineStr">
        <is>
          <t>E2 Fluoroquimica</t>
        </is>
      </c>
      <c r="D412" s="6" t="n">
        <v>120974203</v>
      </c>
      <c r="E412" s="6" t="inlineStr">
        <is>
          <t>Estados Unidos</t>
        </is>
      </c>
      <c r="F412" s="6" t="n">
        <v>0.9</v>
      </c>
      <c r="G412" s="6" t="n">
        <v>0</v>
      </c>
      <c r="H412" s="6" t="n">
        <v>0.9</v>
      </c>
      <c r="I412" s="6" t="n">
        <v>15</v>
      </c>
    </row>
    <row r="413">
      <c r="A413" s="9" t="n">
        <v>2006</v>
      </c>
      <c r="B413" s="9" t="inlineStr">
        <is>
          <t>grafito</t>
        </is>
      </c>
      <c r="C413" s="9" t="inlineStr">
        <is>
          <t>E1 Grafito natural</t>
        </is>
      </c>
      <c r="D413" s="9" t="n">
        <v>4131235</v>
      </c>
      <c r="E413" s="9" t="inlineStr">
        <is>
          <t>Estados Unidos</t>
        </is>
      </c>
      <c r="F413" s="9" t="n">
        <v>0.576</v>
      </c>
      <c r="G413" s="9" t="n">
        <v>0</v>
      </c>
      <c r="H413" s="9" t="n">
        <v>0.576</v>
      </c>
      <c r="I413" s="9" t="n">
        <v>5</v>
      </c>
    </row>
    <row r="414">
      <c r="A414" s="6" t="n">
        <v>2006</v>
      </c>
      <c r="B414" s="6" t="inlineStr">
        <is>
          <t>grafito</t>
        </is>
      </c>
      <c r="C414" s="6" t="inlineStr">
        <is>
          <t>E2 Grafito artificial/prep.</t>
        </is>
      </c>
      <c r="D414" s="6" t="n">
        <v>6787108</v>
      </c>
      <c r="E414" s="6" t="inlineStr">
        <is>
          <t>Brasil</t>
        </is>
      </c>
      <c r="F414" s="6" t="n">
        <v>0.4157</v>
      </c>
      <c r="G414" s="6" t="n">
        <v>0</v>
      </c>
      <c r="H414" s="6" t="n">
        <v>0.3751</v>
      </c>
      <c r="I414" s="6" t="n">
        <v>23</v>
      </c>
    </row>
    <row r="415">
      <c r="A415" s="9" t="n">
        <v>2006</v>
      </c>
      <c r="B415" s="9" t="inlineStr">
        <is>
          <t>grafito</t>
        </is>
      </c>
      <c r="C415" s="9" t="inlineStr">
        <is>
          <t>E3 Electrodos/articulos de carbono</t>
        </is>
      </c>
      <c r="D415" s="9" t="n">
        <v>102220223</v>
      </c>
      <c r="E415" s="9" t="inlineStr">
        <is>
          <t>Estados Unidos</t>
        </is>
      </c>
      <c r="F415" s="9" t="n">
        <v>0.7255</v>
      </c>
      <c r="G415" s="9" t="n">
        <v>0.0059</v>
      </c>
      <c r="H415" s="9" t="n">
        <v>0.7255</v>
      </c>
      <c r="I415" s="9" t="n">
        <v>48</v>
      </c>
    </row>
    <row r="416">
      <c r="A416" s="6" t="n">
        <v>2006</v>
      </c>
      <c r="B416" s="6" t="inlineStr">
        <is>
          <t>manganeso</t>
        </is>
      </c>
      <c r="C416" s="6" t="inlineStr">
        <is>
          <t>E1 Mena/concentrado</t>
        </is>
      </c>
      <c r="D416" s="6" t="n">
        <v>2469130</v>
      </c>
      <c r="E416" s="6" t="inlineStr">
        <is>
          <t>Estados Unidos</t>
        </is>
      </c>
      <c r="F416" s="6" t="n">
        <v>0.3607</v>
      </c>
      <c r="G416" s="6" t="n">
        <v>0</v>
      </c>
      <c r="H416" s="6" t="n">
        <v>0.3607</v>
      </c>
      <c r="I416" s="6" t="n">
        <v>13</v>
      </c>
    </row>
    <row r="417">
      <c r="A417" s="9" t="n">
        <v>2006</v>
      </c>
      <c r="B417" s="9" t="inlineStr">
        <is>
          <t>manganeso</t>
        </is>
      </c>
      <c r="C417" s="9" t="inlineStr">
        <is>
          <t>E2 Ferroaleaciones</t>
        </is>
      </c>
      <c r="D417" s="9" t="n">
        <v>38766932</v>
      </c>
      <c r="E417" s="9" t="inlineStr">
        <is>
          <t>Estados Unidos</t>
        </is>
      </c>
      <c r="F417" s="9" t="n">
        <v>0.7244</v>
      </c>
      <c r="G417" s="9" t="n">
        <v>0</v>
      </c>
      <c r="H417" s="9" t="n">
        <v>0.7244</v>
      </c>
      <c r="I417" s="9" t="n">
        <v>23</v>
      </c>
    </row>
    <row r="418">
      <c r="A418" s="6" t="n">
        <v>2006</v>
      </c>
      <c r="B418" s="6" t="inlineStr">
        <is>
          <t>manganeso</t>
        </is>
      </c>
      <c r="C418" s="6" t="inlineStr">
        <is>
          <t>E3 Quimicos/metal</t>
        </is>
      </c>
      <c r="D418" s="6" t="n">
        <v>2820354</v>
      </c>
      <c r="E418" s="6" t="inlineStr">
        <is>
          <t>Paises Bajos</t>
        </is>
      </c>
      <c r="F418" s="6" t="n">
        <v>0.2507</v>
      </c>
      <c r="G418" s="6" t="n">
        <v>0</v>
      </c>
      <c r="H418" s="6" t="n">
        <v>0.2303</v>
      </c>
      <c r="I418" s="6" t="n">
        <v>12</v>
      </c>
    </row>
    <row r="419">
      <c r="A419" s="9" t="n">
        <v>2006</v>
      </c>
      <c r="B419" s="9" t="inlineStr">
        <is>
          <t>oro</t>
        </is>
      </c>
      <c r="C419" s="9" t="inlineStr">
        <is>
          <t>E2 Bruto/semilabrado</t>
        </is>
      </c>
      <c r="D419" s="9" t="n">
        <v>1037584610</v>
      </c>
      <c r="E419" s="9" t="inlineStr">
        <is>
          <t>Estados Unidos</t>
        </is>
      </c>
      <c r="F419" s="9" t="n">
        <v>0.9419999999999999</v>
      </c>
      <c r="G419" s="9" t="n">
        <v>0</v>
      </c>
      <c r="H419" s="9" t="n">
        <v>0.9419999999999999</v>
      </c>
      <c r="I419" s="9" t="n">
        <v>9</v>
      </c>
    </row>
    <row r="420">
      <c r="A420" s="6" t="n">
        <v>2006</v>
      </c>
      <c r="B420" s="6" t="inlineStr">
        <is>
          <t>oro-plata (manufacturas)</t>
        </is>
      </c>
      <c r="C420" s="6" t="inlineStr">
        <is>
          <t>E4 Joyeria/orfebreria</t>
        </is>
      </c>
      <c r="D420" s="6" t="n">
        <v>587666245</v>
      </c>
      <c r="E420" s="6" t="inlineStr">
        <is>
          <t>Estados Unidos</t>
        </is>
      </c>
      <c r="F420" s="6" t="n">
        <v>0.927</v>
      </c>
      <c r="G420" s="6" t="n">
        <v>0</v>
      </c>
      <c r="H420" s="6" t="n">
        <v>0.927</v>
      </c>
      <c r="I420" s="6" t="n">
        <v>73</v>
      </c>
    </row>
    <row r="421">
      <c r="A421" s="9" t="n">
        <v>2006</v>
      </c>
      <c r="B421" s="9" t="inlineStr">
        <is>
          <t>plata</t>
        </is>
      </c>
      <c r="C421" s="9" t="inlineStr">
        <is>
          <t>E1 Mena/concentrado</t>
        </is>
      </c>
      <c r="D421" s="9" t="n">
        <v>1354484</v>
      </c>
      <c r="E421" s="9" t="inlineStr">
        <is>
          <t>Peru</t>
        </is>
      </c>
      <c r="F421" s="9" t="n">
        <v>0.5101</v>
      </c>
      <c r="G421" s="9" t="n">
        <v>0</v>
      </c>
      <c r="H421" s="9" t="n">
        <v>0</v>
      </c>
      <c r="I421" s="9" t="n">
        <v>2</v>
      </c>
    </row>
    <row r="422">
      <c r="A422" s="6" t="n">
        <v>2006</v>
      </c>
      <c r="B422" s="6" t="inlineStr">
        <is>
          <t>plata</t>
        </is>
      </c>
      <c r="C422" s="6" t="inlineStr">
        <is>
          <t>E2 Bruto/semilabrado</t>
        </is>
      </c>
      <c r="D422" s="6" t="n">
        <v>1223635743</v>
      </c>
      <c r="E422" s="6" t="inlineStr">
        <is>
          <t>Estados Unidos</t>
        </is>
      </c>
      <c r="F422" s="6" t="n">
        <v>0.8475</v>
      </c>
      <c r="G422" s="6" t="n">
        <v>0</v>
      </c>
      <c r="H422" s="6" t="n">
        <v>0.8475</v>
      </c>
      <c r="I422" s="6" t="n">
        <v>20</v>
      </c>
    </row>
    <row r="423">
      <c r="A423" s="9" t="n">
        <v>2006</v>
      </c>
      <c r="B423" s="9" t="inlineStr">
        <is>
          <t>plomo</t>
        </is>
      </c>
      <c r="C423" s="9" t="inlineStr">
        <is>
          <t>E1 Mena/concentrado</t>
        </is>
      </c>
      <c r="D423" s="9" t="n">
        <v>10780188</v>
      </c>
      <c r="E423" s="9" t="inlineStr">
        <is>
          <t>China</t>
        </is>
      </c>
      <c r="F423" s="9" t="n">
        <v>0.8458</v>
      </c>
      <c r="G423" s="9" t="n">
        <v>0.8458</v>
      </c>
      <c r="H423" s="9" t="n">
        <v>0</v>
      </c>
      <c r="I423" s="9" t="n">
        <v>5</v>
      </c>
    </row>
    <row r="424">
      <c r="A424" s="6" t="n">
        <v>2006</v>
      </c>
      <c r="B424" s="6" t="inlineStr">
        <is>
          <t>plomo</t>
        </is>
      </c>
      <c r="C424" s="6" t="inlineStr">
        <is>
          <t>E2 Metal en bruto/refinado</t>
        </is>
      </c>
      <c r="D424" s="6" t="n">
        <v>24505218</v>
      </c>
      <c r="E424" s="6" t="inlineStr">
        <is>
          <t>Estados Unidos</t>
        </is>
      </c>
      <c r="F424" s="6" t="n">
        <v>0.5682</v>
      </c>
      <c r="G424" s="6" t="n">
        <v>0</v>
      </c>
      <c r="H424" s="6" t="n">
        <v>0.5682</v>
      </c>
      <c r="I424" s="6" t="n">
        <v>11</v>
      </c>
    </row>
    <row r="425">
      <c r="A425" s="9" t="n">
        <v>2006</v>
      </c>
      <c r="B425" s="9" t="inlineStr">
        <is>
          <t>plomo</t>
        </is>
      </c>
      <c r="C425" s="9" t="inlineStr">
        <is>
          <t>E3 Semimanufacturas</t>
        </is>
      </c>
      <c r="D425" s="9" t="n">
        <v>2446445</v>
      </c>
      <c r="E425" s="9" t="inlineStr">
        <is>
          <t>Estados Unidos</t>
        </is>
      </c>
      <c r="F425" s="9" t="n">
        <v>0.9784</v>
      </c>
      <c r="G425" s="9" t="n">
        <v>0</v>
      </c>
      <c r="H425" s="9" t="n">
        <v>0.9784</v>
      </c>
      <c r="I425" s="9" t="n">
        <v>4</v>
      </c>
    </row>
    <row r="426">
      <c r="A426" s="6" t="n">
        <v>2006</v>
      </c>
      <c r="B426" s="6" t="inlineStr">
        <is>
          <t>plomo</t>
        </is>
      </c>
      <c r="C426" s="6" t="inlineStr">
        <is>
          <t>E4 Manufacturas</t>
        </is>
      </c>
      <c r="D426" s="6" t="n">
        <v>1140310</v>
      </c>
      <c r="E426" s="6" t="inlineStr">
        <is>
          <t>Estados Unidos</t>
        </is>
      </c>
      <c r="F426" s="6" t="n">
        <v>0.3909</v>
      </c>
      <c r="G426" s="6" t="n">
        <v>0</v>
      </c>
      <c r="H426" s="6" t="n">
        <v>0.3909</v>
      </c>
      <c r="I426" s="6" t="n">
        <v>15</v>
      </c>
    </row>
    <row r="427">
      <c r="A427" s="9" t="n">
        <v>2006</v>
      </c>
      <c r="B427" s="9" t="inlineStr">
        <is>
          <t>silice</t>
        </is>
      </c>
      <c r="C427" s="9" t="inlineStr">
        <is>
          <t>E1 Arena silica/cuarzo</t>
        </is>
      </c>
      <c r="D427" s="9" t="n">
        <v>7263670</v>
      </c>
      <c r="E427" s="9" t="inlineStr">
        <is>
          <t>Rep. Dominicana</t>
        </is>
      </c>
      <c r="F427" s="9" t="n">
        <v>0.767</v>
      </c>
      <c r="G427" s="9" t="n">
        <v>0</v>
      </c>
      <c r="H427" s="9" t="n">
        <v>0.1916</v>
      </c>
      <c r="I427" s="9" t="n">
        <v>20</v>
      </c>
    </row>
    <row r="428">
      <c r="A428" s="6" t="n">
        <v>2006</v>
      </c>
      <c r="B428" s="6" t="inlineStr">
        <is>
          <t>silice</t>
        </is>
      </c>
      <c r="C428" s="6" t="inlineStr">
        <is>
          <t>E2 Silicio/ferrosilicio/SiO2</t>
        </is>
      </c>
      <c r="D428" s="6" t="n">
        <v>11867167</v>
      </c>
      <c r="E428" s="6" t="inlineStr">
        <is>
          <t>Estados Unidos</t>
        </is>
      </c>
      <c r="F428" s="6" t="n">
        <v>0.9006</v>
      </c>
      <c r="G428" s="6" t="n">
        <v>0</v>
      </c>
      <c r="H428" s="6" t="n">
        <v>0.9006</v>
      </c>
      <c r="I428" s="6" t="n">
        <v>19</v>
      </c>
    </row>
    <row r="429">
      <c r="A429" s="9" t="n">
        <v>2006</v>
      </c>
      <c r="B429" s="9" t="inlineStr">
        <is>
          <t>zinc</t>
        </is>
      </c>
      <c r="C429" s="9" t="inlineStr">
        <is>
          <t>E1 Mena/concentrado</t>
        </is>
      </c>
      <c r="D429" s="9" t="n">
        <v>305744554</v>
      </c>
      <c r="E429" s="9" t="inlineStr">
        <is>
          <t>Corea del Sur</t>
        </is>
      </c>
      <c r="F429" s="9" t="n">
        <v>0.2182</v>
      </c>
      <c r="G429" s="9" t="n">
        <v>0.1003</v>
      </c>
      <c r="H429" s="9" t="n">
        <v>0.07000000000000001</v>
      </c>
      <c r="I429" s="9" t="n">
        <v>15</v>
      </c>
    </row>
    <row r="430">
      <c r="A430" s="6" t="n">
        <v>2006</v>
      </c>
      <c r="B430" s="6" t="inlineStr">
        <is>
          <t>zinc</t>
        </is>
      </c>
      <c r="C430" s="6" t="inlineStr">
        <is>
          <t>E2 Metal en bruto/refinado</t>
        </is>
      </c>
      <c r="D430" s="6" t="n">
        <v>538598277</v>
      </c>
      <c r="E430" s="6" t="inlineStr">
        <is>
          <t>Estados Unidos</t>
        </is>
      </c>
      <c r="F430" s="6" t="n">
        <v>0.8015</v>
      </c>
      <c r="G430" s="6" t="n">
        <v>0.0025</v>
      </c>
      <c r="H430" s="6" t="n">
        <v>0.8015</v>
      </c>
      <c r="I430" s="6" t="n">
        <v>15</v>
      </c>
    </row>
    <row r="431">
      <c r="A431" s="9" t="n">
        <v>2006</v>
      </c>
      <c r="B431" s="9" t="inlineStr">
        <is>
          <t>zinc</t>
        </is>
      </c>
      <c r="C431" s="9" t="inlineStr">
        <is>
          <t>E3 Semimanufacturas</t>
        </is>
      </c>
      <c r="D431" s="9" t="n">
        <v>2179434</v>
      </c>
      <c r="E431" s="9" t="inlineStr">
        <is>
          <t>Estados Unidos</t>
        </is>
      </c>
      <c r="F431" s="9" t="n">
        <v>0.6226</v>
      </c>
      <c r="G431" s="9" t="n">
        <v>0.0163</v>
      </c>
      <c r="H431" s="9" t="n">
        <v>0.6226</v>
      </c>
      <c r="I431" s="9" t="n">
        <v>9</v>
      </c>
    </row>
    <row r="432">
      <c r="A432" s="6" t="n">
        <v>2006</v>
      </c>
      <c r="B432" s="6" t="inlineStr">
        <is>
          <t>zinc</t>
        </is>
      </c>
      <c r="C432" s="6" t="inlineStr">
        <is>
          <t>E4 Manufacturas</t>
        </is>
      </c>
      <c r="D432" s="6" t="n">
        <v>12141397</v>
      </c>
      <c r="E432" s="6" t="inlineStr">
        <is>
          <t>Estados Unidos</t>
        </is>
      </c>
      <c r="F432" s="6" t="n">
        <v>0.9912</v>
      </c>
      <c r="G432" s="6" t="n">
        <v>0.0002</v>
      </c>
      <c r="H432" s="6" t="n">
        <v>0.9912</v>
      </c>
      <c r="I432" s="6" t="n">
        <v>29</v>
      </c>
    </row>
    <row r="433">
      <c r="A433" s="9" t="n">
        <v>2007</v>
      </c>
      <c r="B433" s="9" t="inlineStr">
        <is>
          <t>barita</t>
        </is>
      </c>
      <c r="C433" s="9" t="inlineStr">
        <is>
          <t>E1 Crudo/molido</t>
        </is>
      </c>
      <c r="D433" s="9" t="n">
        <v>1316217</v>
      </c>
      <c r="E433" s="9" t="inlineStr">
        <is>
          <t>Cuba</t>
        </is>
      </c>
      <c r="F433" s="9" t="n">
        <v>0.8476</v>
      </c>
      <c r="G433" s="9" t="n">
        <v>0</v>
      </c>
      <c r="H433" s="9" t="n">
        <v>0.0827</v>
      </c>
      <c r="I433" s="9" t="n">
        <v>5</v>
      </c>
    </row>
    <row r="434">
      <c r="A434" s="6" t="n">
        <v>2007</v>
      </c>
      <c r="B434" s="6" t="inlineStr">
        <is>
          <t>barita</t>
        </is>
      </c>
      <c r="C434" s="6" t="inlineStr">
        <is>
          <t>E2 Quimicos de bario</t>
        </is>
      </c>
      <c r="D434" s="6" t="n">
        <v>34122</v>
      </c>
      <c r="E434" s="6" t="inlineStr">
        <is>
          <t>El Salvador</t>
        </is>
      </c>
      <c r="F434" s="6" t="n">
        <v>0.8341</v>
      </c>
      <c r="G434" s="6" t="n">
        <v>0</v>
      </c>
      <c r="H434" s="6" t="n">
        <v>0.1407</v>
      </c>
      <c r="I434" s="6" t="n">
        <v>4</v>
      </c>
    </row>
    <row r="435">
      <c r="A435" s="9" t="n">
        <v>2007</v>
      </c>
      <c r="B435" s="9" t="inlineStr">
        <is>
          <t>cobre</t>
        </is>
      </c>
      <c r="C435" s="9" t="inlineStr">
        <is>
          <t>E1 Mena/concentrado</t>
        </is>
      </c>
      <c r="D435" s="9" t="n">
        <v>267223083</v>
      </c>
      <c r="E435" s="9" t="inlineStr">
        <is>
          <t>China</t>
        </is>
      </c>
      <c r="F435" s="9" t="n">
        <v>0.5806</v>
      </c>
      <c r="G435" s="9" t="n">
        <v>0.5806</v>
      </c>
      <c r="H435" s="9" t="n">
        <v>0</v>
      </c>
      <c r="I435" s="9" t="n">
        <v>9</v>
      </c>
    </row>
    <row r="436">
      <c r="A436" s="6" t="n">
        <v>2007</v>
      </c>
      <c r="B436" s="6" t="inlineStr">
        <is>
          <t>cobre</t>
        </is>
      </c>
      <c r="C436" s="6" t="inlineStr">
        <is>
          <t>E2 Metal en bruto/refinado</t>
        </is>
      </c>
      <c r="D436" s="6" t="n">
        <v>774963219</v>
      </c>
      <c r="E436" s="6" t="inlineStr">
        <is>
          <t>Estados Unidos</t>
        </is>
      </c>
      <c r="F436" s="6" t="n">
        <v>0.6289</v>
      </c>
      <c r="G436" s="6" t="n">
        <v>0.0892</v>
      </c>
      <c r="H436" s="6" t="n">
        <v>0.6289</v>
      </c>
      <c r="I436" s="6" t="n">
        <v>18</v>
      </c>
    </row>
    <row r="437">
      <c r="A437" s="9" t="n">
        <v>2007</v>
      </c>
      <c r="B437" s="9" t="inlineStr">
        <is>
          <t>cobre</t>
        </is>
      </c>
      <c r="C437" s="9" t="inlineStr">
        <is>
          <t>E3 Semimanufacturas</t>
        </is>
      </c>
      <c r="D437" s="9" t="n">
        <v>900602289</v>
      </c>
      <c r="E437" s="9" t="inlineStr">
        <is>
          <t>Estados Unidos</t>
        </is>
      </c>
      <c r="F437" s="9" t="n">
        <v>0.8443000000000001</v>
      </c>
      <c r="G437" s="9" t="n">
        <v>0.0008</v>
      </c>
      <c r="H437" s="9" t="n">
        <v>0.8443000000000001</v>
      </c>
      <c r="I437" s="9" t="n">
        <v>64</v>
      </c>
    </row>
    <row r="438">
      <c r="A438" s="6" t="n">
        <v>2007</v>
      </c>
      <c r="B438" s="6" t="inlineStr">
        <is>
          <t>cobre</t>
        </is>
      </c>
      <c r="C438" s="6" t="inlineStr">
        <is>
          <t>E4 Manufacturas</t>
        </is>
      </c>
      <c r="D438" s="6" t="n">
        <v>30825095</v>
      </c>
      <c r="E438" s="6" t="inlineStr">
        <is>
          <t>Estados Unidos</t>
        </is>
      </c>
      <c r="F438" s="6" t="n">
        <v>0.9181</v>
      </c>
      <c r="G438" s="6" t="n">
        <v>0.001</v>
      </c>
      <c r="H438" s="6" t="n">
        <v>0.9181</v>
      </c>
      <c r="I438" s="6" t="n">
        <v>59</v>
      </c>
    </row>
    <row r="439">
      <c r="A439" s="9" t="n">
        <v>2007</v>
      </c>
      <c r="B439" s="9" t="inlineStr">
        <is>
          <t>fluorita</t>
        </is>
      </c>
      <c r="C439" s="9" t="inlineStr">
        <is>
          <t>E1 Espato fluor (crudo)</t>
        </is>
      </c>
      <c r="D439" s="9" t="n">
        <v>79398700</v>
      </c>
      <c r="E439" s="9" t="inlineStr">
        <is>
          <t>Estados Unidos</t>
        </is>
      </c>
      <c r="F439" s="9" t="n">
        <v>0.4624</v>
      </c>
      <c r="G439" s="9" t="n">
        <v>0</v>
      </c>
      <c r="H439" s="9" t="n">
        <v>0.4624</v>
      </c>
      <c r="I439" s="9" t="n">
        <v>26</v>
      </c>
    </row>
    <row r="440">
      <c r="A440" s="6" t="n">
        <v>2007</v>
      </c>
      <c r="B440" s="6" t="inlineStr">
        <is>
          <t>fluorita</t>
        </is>
      </c>
      <c r="C440" s="6" t="inlineStr">
        <is>
          <t>E2 Fluoroquimica</t>
        </is>
      </c>
      <c r="D440" s="6" t="n">
        <v>127175772</v>
      </c>
      <c r="E440" s="6" t="inlineStr">
        <is>
          <t>Estados Unidos</t>
        </is>
      </c>
      <c r="F440" s="6" t="n">
        <v>0.9742</v>
      </c>
      <c r="G440" s="6" t="n">
        <v>0</v>
      </c>
      <c r="H440" s="6" t="n">
        <v>0.9742</v>
      </c>
      <c r="I440" s="6" t="n">
        <v>14</v>
      </c>
    </row>
    <row r="441">
      <c r="A441" s="9" t="n">
        <v>2007</v>
      </c>
      <c r="B441" s="9" t="inlineStr">
        <is>
          <t>grafito</t>
        </is>
      </c>
      <c r="C441" s="9" t="inlineStr">
        <is>
          <t>E1 Grafito natural</t>
        </is>
      </c>
      <c r="D441" s="9" t="n">
        <v>3148939</v>
      </c>
      <c r="E441" s="9" t="inlineStr">
        <is>
          <t>Estados Unidos</t>
        </is>
      </c>
      <c r="F441" s="9" t="n">
        <v>0.5438</v>
      </c>
      <c r="G441" s="9" t="n">
        <v>0</v>
      </c>
      <c r="H441" s="9" t="n">
        <v>0.5438</v>
      </c>
      <c r="I441" s="9" t="n">
        <v>5</v>
      </c>
    </row>
    <row r="442">
      <c r="A442" s="6" t="n">
        <v>2007</v>
      </c>
      <c r="B442" s="6" t="inlineStr">
        <is>
          <t>grafito</t>
        </is>
      </c>
      <c r="C442" s="6" t="inlineStr">
        <is>
          <t>E2 Grafito artificial/prep.</t>
        </is>
      </c>
      <c r="D442" s="6" t="n">
        <v>8689236</v>
      </c>
      <c r="E442" s="6" t="inlineStr">
        <is>
          <t>Estados Unidos</t>
        </is>
      </c>
      <c r="F442" s="6" t="n">
        <v>0.4541</v>
      </c>
      <c r="G442" s="6" t="n">
        <v>0.0016</v>
      </c>
      <c r="H442" s="6" t="n">
        <v>0.4541</v>
      </c>
      <c r="I442" s="6" t="n">
        <v>26</v>
      </c>
    </row>
    <row r="443">
      <c r="A443" s="9" t="n">
        <v>2007</v>
      </c>
      <c r="B443" s="9" t="inlineStr">
        <is>
          <t>grafito</t>
        </is>
      </c>
      <c r="C443" s="9" t="inlineStr">
        <is>
          <t>E3 Electrodos/articulos de carbono</t>
        </is>
      </c>
      <c r="D443" s="9" t="n">
        <v>109728960</v>
      </c>
      <c r="E443" s="9" t="inlineStr">
        <is>
          <t>Estados Unidos</t>
        </is>
      </c>
      <c r="F443" s="9" t="n">
        <v>0.5344</v>
      </c>
      <c r="G443" s="9" t="n">
        <v>0.0199</v>
      </c>
      <c r="H443" s="9" t="n">
        <v>0.5344</v>
      </c>
      <c r="I443" s="9" t="n">
        <v>46</v>
      </c>
    </row>
    <row r="444">
      <c r="A444" s="6" t="n">
        <v>2007</v>
      </c>
      <c r="B444" s="6" t="inlineStr">
        <is>
          <t>manganeso</t>
        </is>
      </c>
      <c r="C444" s="6" t="inlineStr">
        <is>
          <t>E1 Mena/concentrado</t>
        </is>
      </c>
      <c r="D444" s="6" t="n">
        <v>8986533</v>
      </c>
      <c r="E444" s="6" t="inlineStr">
        <is>
          <t>China</t>
        </is>
      </c>
      <c r="F444" s="6" t="n">
        <v>0.4053</v>
      </c>
      <c r="G444" s="6" t="n">
        <v>0.4053</v>
      </c>
      <c r="H444" s="6" t="n">
        <v>0.07920000000000001</v>
      </c>
      <c r="I444" s="6" t="n">
        <v>17</v>
      </c>
    </row>
    <row r="445">
      <c r="A445" s="9" t="n">
        <v>2007</v>
      </c>
      <c r="B445" s="9" t="inlineStr">
        <is>
          <t>manganeso</t>
        </is>
      </c>
      <c r="C445" s="9" t="inlineStr">
        <is>
          <t>E2 Ferroaleaciones</t>
        </is>
      </c>
      <c r="D445" s="9" t="n">
        <v>43187307</v>
      </c>
      <c r="E445" s="9" t="inlineStr">
        <is>
          <t>Estados Unidos</t>
        </is>
      </c>
      <c r="F445" s="9" t="n">
        <v>0.5796</v>
      </c>
      <c r="G445" s="9" t="n">
        <v>0</v>
      </c>
      <c r="H445" s="9" t="n">
        <v>0.5796</v>
      </c>
      <c r="I445" s="9" t="n">
        <v>23</v>
      </c>
    </row>
    <row r="446">
      <c r="A446" s="6" t="n">
        <v>2007</v>
      </c>
      <c r="B446" s="6" t="inlineStr">
        <is>
          <t>manganeso</t>
        </is>
      </c>
      <c r="C446" s="6" t="inlineStr">
        <is>
          <t>E3 Quimicos/metal</t>
        </is>
      </c>
      <c r="D446" s="6" t="n">
        <v>3387359</v>
      </c>
      <c r="E446" s="6" t="inlineStr">
        <is>
          <t>Hong Kong</t>
        </is>
      </c>
      <c r="F446" s="6" t="n">
        <v>0.3898</v>
      </c>
      <c r="G446" s="6" t="n">
        <v>0</v>
      </c>
      <c r="H446" s="6" t="n">
        <v>0.3233</v>
      </c>
      <c r="I446" s="6" t="n">
        <v>13</v>
      </c>
    </row>
    <row r="447">
      <c r="A447" s="9" t="n">
        <v>2007</v>
      </c>
      <c r="B447" s="9" t="inlineStr">
        <is>
          <t>oro</t>
        </is>
      </c>
      <c r="C447" s="9" t="inlineStr">
        <is>
          <t>E1 Mena/concentrado</t>
        </is>
      </c>
      <c r="D447" s="9" t="n">
        <v>13935741</v>
      </c>
      <c r="E447" s="9" t="inlineStr">
        <is>
          <t>China</t>
        </is>
      </c>
      <c r="F447" s="9" t="n">
        <v>1</v>
      </c>
      <c r="G447" s="9" t="n">
        <v>1</v>
      </c>
      <c r="H447" s="9" t="n">
        <v>0</v>
      </c>
      <c r="I447" s="9" t="n">
        <v>1</v>
      </c>
    </row>
    <row r="448">
      <c r="A448" s="6" t="n">
        <v>2007</v>
      </c>
      <c r="B448" s="6" t="inlineStr">
        <is>
          <t>oro</t>
        </is>
      </c>
      <c r="C448" s="6" t="inlineStr">
        <is>
          <t>E2 Bruto/semilabrado</t>
        </is>
      </c>
      <c r="D448" s="6" t="n">
        <v>1567465935</v>
      </c>
      <c r="E448" s="6" t="inlineStr">
        <is>
          <t>Estados Unidos</t>
        </is>
      </c>
      <c r="F448" s="6" t="n">
        <v>0.4898</v>
      </c>
      <c r="G448" s="6" t="n">
        <v>0</v>
      </c>
      <c r="H448" s="6" t="n">
        <v>0.4898</v>
      </c>
      <c r="I448" s="6" t="n">
        <v>15</v>
      </c>
    </row>
    <row r="449">
      <c r="A449" s="9" t="n">
        <v>2007</v>
      </c>
      <c r="B449" s="9" t="inlineStr">
        <is>
          <t>oro-plata (manufacturas)</t>
        </is>
      </c>
      <c r="C449" s="9" t="inlineStr">
        <is>
          <t>E4 Joyeria/orfebreria</t>
        </is>
      </c>
      <c r="D449" s="9" t="n">
        <v>582007725</v>
      </c>
      <c r="E449" s="9" t="inlineStr">
        <is>
          <t>Estados Unidos</t>
        </is>
      </c>
      <c r="F449" s="9" t="n">
        <v>0.8873</v>
      </c>
      <c r="G449" s="9" t="n">
        <v>0</v>
      </c>
      <c r="H449" s="9" t="n">
        <v>0.8873</v>
      </c>
      <c r="I449" s="9" t="n">
        <v>68</v>
      </c>
    </row>
    <row r="450">
      <c r="A450" s="6" t="n">
        <v>2007</v>
      </c>
      <c r="B450" s="6" t="inlineStr">
        <is>
          <t>plata</t>
        </is>
      </c>
      <c r="C450" s="6" t="inlineStr">
        <is>
          <t>E1 Mena/concentrado</t>
        </is>
      </c>
      <c r="D450" s="6" t="n">
        <v>2065035</v>
      </c>
      <c r="E450" s="6" t="inlineStr">
        <is>
          <t>Estados Unidos</t>
        </is>
      </c>
      <c r="F450" s="6" t="n">
        <v>0.5544</v>
      </c>
      <c r="G450" s="6" t="n">
        <v>0</v>
      </c>
      <c r="H450" s="6" t="n">
        <v>0.5544</v>
      </c>
      <c r="I450" s="6" t="n">
        <v>2</v>
      </c>
    </row>
    <row r="451">
      <c r="A451" s="9" t="n">
        <v>2007</v>
      </c>
      <c r="B451" s="9" t="inlineStr">
        <is>
          <t>plata</t>
        </is>
      </c>
      <c r="C451" s="9" t="inlineStr">
        <is>
          <t>E2 Bruto/semilabrado</t>
        </is>
      </c>
      <c r="D451" s="9" t="n">
        <v>1418217799</v>
      </c>
      <c r="E451" s="9" t="inlineStr">
        <is>
          <t>Estados Unidos</t>
        </is>
      </c>
      <c r="F451" s="9" t="n">
        <v>0.8895999999999999</v>
      </c>
      <c r="G451" s="9" t="n">
        <v>0</v>
      </c>
      <c r="H451" s="9" t="n">
        <v>0.8895999999999999</v>
      </c>
      <c r="I451" s="9" t="n">
        <v>21</v>
      </c>
    </row>
    <row r="452">
      <c r="A452" s="6" t="n">
        <v>2007</v>
      </c>
      <c r="B452" s="6" t="inlineStr">
        <is>
          <t>plomo</t>
        </is>
      </c>
      <c r="C452" s="6" t="inlineStr">
        <is>
          <t>E1 Mena/concentrado</t>
        </is>
      </c>
      <c r="D452" s="6" t="n">
        <v>43483993</v>
      </c>
      <c r="E452" s="6" t="inlineStr">
        <is>
          <t>China</t>
        </is>
      </c>
      <c r="F452" s="6" t="n">
        <v>0.7207</v>
      </c>
      <c r="G452" s="6" t="n">
        <v>0.7207</v>
      </c>
      <c r="H452" s="6" t="n">
        <v>0</v>
      </c>
      <c r="I452" s="6" t="n">
        <v>9</v>
      </c>
    </row>
    <row r="453">
      <c r="A453" s="9" t="n">
        <v>2007</v>
      </c>
      <c r="B453" s="9" t="inlineStr">
        <is>
          <t>plomo</t>
        </is>
      </c>
      <c r="C453" s="9" t="inlineStr">
        <is>
          <t>E2 Metal en bruto/refinado</t>
        </is>
      </c>
      <c r="D453" s="9" t="n">
        <v>94064529</v>
      </c>
      <c r="E453" s="9" t="inlineStr">
        <is>
          <t>Estados Unidos</t>
        </is>
      </c>
      <c r="F453" s="9" t="n">
        <v>0.6619</v>
      </c>
      <c r="G453" s="9" t="n">
        <v>0</v>
      </c>
      <c r="H453" s="9" t="n">
        <v>0.6619</v>
      </c>
      <c r="I453" s="9" t="n">
        <v>17</v>
      </c>
    </row>
    <row r="454">
      <c r="A454" s="6" t="n">
        <v>2007</v>
      </c>
      <c r="B454" s="6" t="inlineStr">
        <is>
          <t>plomo</t>
        </is>
      </c>
      <c r="C454" s="6" t="inlineStr">
        <is>
          <t>E3 Semimanufacturas</t>
        </is>
      </c>
      <c r="D454" s="6" t="n">
        <v>2026975</v>
      </c>
      <c r="E454" s="6" t="inlineStr">
        <is>
          <t>Corea del Sur</t>
        </is>
      </c>
      <c r="F454" s="6" t="n">
        <v>0.7651</v>
      </c>
      <c r="G454" s="6" t="n">
        <v>0</v>
      </c>
      <c r="H454" s="6" t="n">
        <v>0.2158</v>
      </c>
      <c r="I454" s="6" t="n">
        <v>3</v>
      </c>
    </row>
    <row r="455">
      <c r="A455" s="9" t="n">
        <v>2007</v>
      </c>
      <c r="B455" s="9" t="inlineStr">
        <is>
          <t>plomo</t>
        </is>
      </c>
      <c r="C455" s="9" t="inlineStr">
        <is>
          <t>E4 Manufacturas</t>
        </is>
      </c>
      <c r="D455" s="9" t="n">
        <v>21308929</v>
      </c>
      <c r="E455" s="9" t="inlineStr">
        <is>
          <t>Estados Unidos</t>
        </is>
      </c>
      <c r="F455" s="9" t="n">
        <v>0.7347</v>
      </c>
      <c r="G455" s="9" t="n">
        <v>0</v>
      </c>
      <c r="H455" s="9" t="n">
        <v>0.7347</v>
      </c>
      <c r="I455" s="9" t="n">
        <v>18</v>
      </c>
    </row>
    <row r="456">
      <c r="A456" s="6" t="n">
        <v>2007</v>
      </c>
      <c r="B456" s="6" t="inlineStr">
        <is>
          <t>silice</t>
        </is>
      </c>
      <c r="C456" s="6" t="inlineStr">
        <is>
          <t>E1 Arena silica/cuarzo</t>
        </is>
      </c>
      <c r="D456" s="6" t="n">
        <v>1563805</v>
      </c>
      <c r="E456" s="6" t="inlineStr">
        <is>
          <t>Estados Unidos</t>
        </is>
      </c>
      <c r="F456" s="6" t="n">
        <v>0.8593</v>
      </c>
      <c r="G456" s="6" t="n">
        <v>0</v>
      </c>
      <c r="H456" s="6" t="n">
        <v>0.8593</v>
      </c>
      <c r="I456" s="6" t="n">
        <v>21</v>
      </c>
    </row>
    <row r="457">
      <c r="A457" s="9" t="n">
        <v>2007</v>
      </c>
      <c r="B457" s="9" t="inlineStr">
        <is>
          <t>silice</t>
        </is>
      </c>
      <c r="C457" s="9" t="inlineStr">
        <is>
          <t>E2 Silicio/ferrosilicio/SiO2</t>
        </is>
      </c>
      <c r="D457" s="9" t="n">
        <v>12117116</v>
      </c>
      <c r="E457" s="9" t="inlineStr">
        <is>
          <t>Estados Unidos</t>
        </is>
      </c>
      <c r="F457" s="9" t="n">
        <v>0.8726</v>
      </c>
      <c r="G457" s="9" t="n">
        <v>0</v>
      </c>
      <c r="H457" s="9" t="n">
        <v>0.8726</v>
      </c>
      <c r="I457" s="9" t="n">
        <v>25</v>
      </c>
    </row>
    <row r="458">
      <c r="A458" s="6" t="n">
        <v>2007</v>
      </c>
      <c r="B458" s="6" t="inlineStr">
        <is>
          <t>zinc</t>
        </is>
      </c>
      <c r="C458" s="6" t="inlineStr">
        <is>
          <t>E1 Mena/concentrado</t>
        </is>
      </c>
      <c r="D458" s="6" t="n">
        <v>236420656</v>
      </c>
      <c r="E458" s="6" t="inlineStr">
        <is>
          <t>Corea del Sur</t>
        </is>
      </c>
      <c r="F458" s="6" t="n">
        <v>0.3457</v>
      </c>
      <c r="G458" s="6" t="n">
        <v>0.1834</v>
      </c>
      <c r="H458" s="6" t="n">
        <v>0.0291</v>
      </c>
      <c r="I458" s="6" t="n">
        <v>16</v>
      </c>
    </row>
    <row r="459">
      <c r="A459" s="9" t="n">
        <v>2007</v>
      </c>
      <c r="B459" s="9" t="inlineStr">
        <is>
          <t>zinc</t>
        </is>
      </c>
      <c r="C459" s="9" t="inlineStr">
        <is>
          <t>E2 Metal en bruto/refinado</t>
        </is>
      </c>
      <c r="D459" s="9" t="n">
        <v>737160452</v>
      </c>
      <c r="E459" s="9" t="inlineStr">
        <is>
          <t>Estados Unidos</t>
        </is>
      </c>
      <c r="F459" s="9" t="n">
        <v>0.5341</v>
      </c>
      <c r="G459" s="9" t="n">
        <v>0.0005</v>
      </c>
      <c r="H459" s="9" t="n">
        <v>0.5341</v>
      </c>
      <c r="I459" s="9" t="n">
        <v>24</v>
      </c>
    </row>
    <row r="460">
      <c r="A460" s="6" t="n">
        <v>2007</v>
      </c>
      <c r="B460" s="6" t="inlineStr">
        <is>
          <t>zinc</t>
        </is>
      </c>
      <c r="C460" s="6" t="inlineStr">
        <is>
          <t>E3 Semimanufacturas</t>
        </is>
      </c>
      <c r="D460" s="6" t="n">
        <v>2276190</v>
      </c>
      <c r="E460" s="6" t="inlineStr">
        <is>
          <t>Estados Unidos</t>
        </is>
      </c>
      <c r="F460" s="6" t="n">
        <v>0.3972</v>
      </c>
      <c r="G460" s="6" t="n">
        <v>0.0209</v>
      </c>
      <c r="H460" s="6" t="n">
        <v>0.3972</v>
      </c>
      <c r="I460" s="6" t="n">
        <v>12</v>
      </c>
    </row>
    <row r="461">
      <c r="A461" s="9" t="n">
        <v>2007</v>
      </c>
      <c r="B461" s="9" t="inlineStr">
        <is>
          <t>zinc</t>
        </is>
      </c>
      <c r="C461" s="9" t="inlineStr">
        <is>
          <t>E4 Manufacturas</t>
        </is>
      </c>
      <c r="D461" s="9" t="n">
        <v>20374019</v>
      </c>
      <c r="E461" s="9" t="inlineStr">
        <is>
          <t>Estados Unidos</t>
        </is>
      </c>
      <c r="F461" s="9" t="n">
        <v>0.8904</v>
      </c>
      <c r="G461" s="9" t="n">
        <v>0.0003</v>
      </c>
      <c r="H461" s="9" t="n">
        <v>0.8904</v>
      </c>
      <c r="I461" s="9" t="n">
        <v>32</v>
      </c>
    </row>
    <row r="462">
      <c r="A462" s="6" t="n">
        <v>2008</v>
      </c>
      <c r="B462" s="6" t="inlineStr">
        <is>
          <t>barita</t>
        </is>
      </c>
      <c r="C462" s="6" t="inlineStr">
        <is>
          <t>E1 Crudo/molido</t>
        </is>
      </c>
      <c r="D462" s="6" t="n">
        <v>3232802</v>
      </c>
      <c r="E462" s="6" t="inlineStr">
        <is>
          <t>Estados Unidos</t>
        </is>
      </c>
      <c r="F462" s="6" t="n">
        <v>0.6085</v>
      </c>
      <c r="G462" s="6" t="n">
        <v>0</v>
      </c>
      <c r="H462" s="6" t="n">
        <v>0.6085</v>
      </c>
      <c r="I462" s="6" t="n">
        <v>3</v>
      </c>
    </row>
    <row r="463">
      <c r="A463" s="9" t="n">
        <v>2008</v>
      </c>
      <c r="B463" s="9" t="inlineStr">
        <is>
          <t>barita</t>
        </is>
      </c>
      <c r="C463" s="9" t="inlineStr">
        <is>
          <t>E2 Quimicos de bario</t>
        </is>
      </c>
      <c r="D463" s="9" t="n">
        <v>19991</v>
      </c>
      <c r="E463" s="9" t="inlineStr">
        <is>
          <t>El Salvador</t>
        </is>
      </c>
      <c r="F463" s="9" t="n">
        <v>0.4746</v>
      </c>
      <c r="G463" s="9" t="n">
        <v>0</v>
      </c>
      <c r="H463" s="9" t="n">
        <v>0.2935</v>
      </c>
      <c r="I463" s="9" t="n">
        <v>6</v>
      </c>
    </row>
    <row r="464">
      <c r="A464" s="6" t="n">
        <v>2008</v>
      </c>
      <c r="B464" s="6" t="inlineStr">
        <is>
          <t>cobre</t>
        </is>
      </c>
      <c r="C464" s="6" t="inlineStr">
        <is>
          <t>E1 Mena/concentrado</t>
        </is>
      </c>
      <c r="D464" s="6" t="n">
        <v>327348222</v>
      </c>
      <c r="E464" s="6" t="inlineStr">
        <is>
          <t>China</t>
        </is>
      </c>
      <c r="F464" s="6" t="n">
        <v>0.8088</v>
      </c>
      <c r="G464" s="6" t="n">
        <v>0.8088</v>
      </c>
      <c r="H464" s="6" t="n">
        <v>0</v>
      </c>
      <c r="I464" s="6" t="n">
        <v>9</v>
      </c>
    </row>
    <row r="465">
      <c r="A465" s="9" t="n">
        <v>2008</v>
      </c>
      <c r="B465" s="9" t="inlineStr">
        <is>
          <t>cobre</t>
        </is>
      </c>
      <c r="C465" s="9" t="inlineStr">
        <is>
          <t>E2 Metal en bruto/refinado</t>
        </is>
      </c>
      <c r="D465" s="9" t="n">
        <v>573131718</v>
      </c>
      <c r="E465" s="9" t="inlineStr">
        <is>
          <t>Estados Unidos</t>
        </is>
      </c>
      <c r="F465" s="9" t="n">
        <v>0.4181</v>
      </c>
      <c r="G465" s="9" t="n">
        <v>0.2452</v>
      </c>
      <c r="H465" s="9" t="n">
        <v>0.4181</v>
      </c>
      <c r="I465" s="9" t="n">
        <v>24</v>
      </c>
    </row>
    <row r="466">
      <c r="A466" s="6" t="n">
        <v>2008</v>
      </c>
      <c r="B466" s="6" t="inlineStr">
        <is>
          <t>cobre</t>
        </is>
      </c>
      <c r="C466" s="6" t="inlineStr">
        <is>
          <t>E3 Semimanufacturas</t>
        </is>
      </c>
      <c r="D466" s="6" t="n">
        <v>821019420</v>
      </c>
      <c r="E466" s="6" t="inlineStr">
        <is>
          <t>Estados Unidos</t>
        </is>
      </c>
      <c r="F466" s="6" t="n">
        <v>0.8212</v>
      </c>
      <c r="G466" s="6" t="n">
        <v>0.0001</v>
      </c>
      <c r="H466" s="6" t="n">
        <v>0.8212</v>
      </c>
      <c r="I466" s="6" t="n">
        <v>63</v>
      </c>
    </row>
    <row r="467">
      <c r="A467" s="9" t="n">
        <v>2008</v>
      </c>
      <c r="B467" s="9" t="inlineStr">
        <is>
          <t>cobre</t>
        </is>
      </c>
      <c r="C467" s="9" t="inlineStr">
        <is>
          <t>E4 Manufacturas</t>
        </is>
      </c>
      <c r="D467" s="9" t="n">
        <v>37766933</v>
      </c>
      <c r="E467" s="9" t="inlineStr">
        <is>
          <t>Estados Unidos</t>
        </is>
      </c>
      <c r="F467" s="9" t="n">
        <v>0.9245</v>
      </c>
      <c r="G467" s="9" t="n">
        <v>0.0022</v>
      </c>
      <c r="H467" s="9" t="n">
        <v>0.9245</v>
      </c>
      <c r="I467" s="9" t="n">
        <v>63</v>
      </c>
    </row>
    <row r="468">
      <c r="A468" s="6" t="n">
        <v>2008</v>
      </c>
      <c r="B468" s="6" t="inlineStr">
        <is>
          <t>fluorita</t>
        </is>
      </c>
      <c r="C468" s="6" t="inlineStr">
        <is>
          <t>E1 Espato fluor (crudo)</t>
        </is>
      </c>
      <c r="D468" s="6" t="n">
        <v>96728605</v>
      </c>
      <c r="E468" s="6" t="inlineStr">
        <is>
          <t>Estados Unidos</t>
        </is>
      </c>
      <c r="F468" s="6" t="n">
        <v>0.4574</v>
      </c>
      <c r="G468" s="6" t="n">
        <v>0</v>
      </c>
      <c r="H468" s="6" t="n">
        <v>0.4574</v>
      </c>
      <c r="I468" s="6" t="n">
        <v>31</v>
      </c>
    </row>
    <row r="469">
      <c r="A469" s="9" t="n">
        <v>2008</v>
      </c>
      <c r="B469" s="9" t="inlineStr">
        <is>
          <t>fluorita</t>
        </is>
      </c>
      <c r="C469" s="9" t="inlineStr">
        <is>
          <t>E2 Fluoroquimica</t>
        </is>
      </c>
      <c r="D469" s="9" t="n">
        <v>120119534</v>
      </c>
      <c r="E469" s="9" t="inlineStr">
        <is>
          <t>Estados Unidos</t>
        </is>
      </c>
      <c r="F469" s="9" t="n">
        <v>0.9769</v>
      </c>
      <c r="G469" s="9" t="n">
        <v>0</v>
      </c>
      <c r="H469" s="9" t="n">
        <v>0.9769</v>
      </c>
      <c r="I469" s="9" t="n">
        <v>17</v>
      </c>
    </row>
    <row r="470">
      <c r="A470" s="6" t="n">
        <v>2008</v>
      </c>
      <c r="B470" s="6" t="inlineStr">
        <is>
          <t>grafito</t>
        </is>
      </c>
      <c r="C470" s="6" t="inlineStr">
        <is>
          <t>E1 Grafito natural</t>
        </is>
      </c>
      <c r="D470" s="6" t="n">
        <v>3017760</v>
      </c>
      <c r="E470" s="6" t="inlineStr">
        <is>
          <t>Estados Unidos</t>
        </is>
      </c>
      <c r="F470" s="6" t="n">
        <v>0.6978</v>
      </c>
      <c r="G470" s="6" t="n">
        <v>0</v>
      </c>
      <c r="H470" s="6" t="n">
        <v>0.6978</v>
      </c>
      <c r="I470" s="6" t="n">
        <v>6</v>
      </c>
    </row>
    <row r="471">
      <c r="A471" s="9" t="n">
        <v>2008</v>
      </c>
      <c r="B471" s="9" t="inlineStr">
        <is>
          <t>grafito</t>
        </is>
      </c>
      <c r="C471" s="9" t="inlineStr">
        <is>
          <t>E2 Grafito artificial/prep.</t>
        </is>
      </c>
      <c r="D471" s="9" t="n">
        <v>14393175</v>
      </c>
      <c r="E471" s="9" t="inlineStr">
        <is>
          <t>Estados Unidos</t>
        </is>
      </c>
      <c r="F471" s="9" t="n">
        <v>0.5235</v>
      </c>
      <c r="G471" s="9" t="n">
        <v>0</v>
      </c>
      <c r="H471" s="9" t="n">
        <v>0.5235</v>
      </c>
      <c r="I471" s="9" t="n">
        <v>23</v>
      </c>
    </row>
    <row r="472">
      <c r="A472" s="6" t="n">
        <v>2008</v>
      </c>
      <c r="B472" s="6" t="inlineStr">
        <is>
          <t>grafito</t>
        </is>
      </c>
      <c r="C472" s="6" t="inlineStr">
        <is>
          <t>E3 Electrodos/articulos de carbono</t>
        </is>
      </c>
      <c r="D472" s="6" t="n">
        <v>128018129</v>
      </c>
      <c r="E472" s="6" t="inlineStr">
        <is>
          <t>Estados Unidos</t>
        </is>
      </c>
      <c r="F472" s="6" t="n">
        <v>0.6014</v>
      </c>
      <c r="G472" s="6" t="n">
        <v>0.0302</v>
      </c>
      <c r="H472" s="6" t="n">
        <v>0.6014</v>
      </c>
      <c r="I472" s="6" t="n">
        <v>43</v>
      </c>
    </row>
    <row r="473">
      <c r="A473" s="9" t="n">
        <v>2008</v>
      </c>
      <c r="B473" s="9" t="inlineStr">
        <is>
          <t>manganeso</t>
        </is>
      </c>
      <c r="C473" s="9" t="inlineStr">
        <is>
          <t>E1 Mena/concentrado</t>
        </is>
      </c>
      <c r="D473" s="9" t="n">
        <v>9138991</v>
      </c>
      <c r="E473" s="9" t="inlineStr">
        <is>
          <t>Venezuela</t>
        </is>
      </c>
      <c r="F473" s="9" t="n">
        <v>0.4807</v>
      </c>
      <c r="G473" s="9" t="n">
        <v>0.1939</v>
      </c>
      <c r="H473" s="9" t="n">
        <v>0.0762</v>
      </c>
      <c r="I473" s="9" t="n">
        <v>20</v>
      </c>
    </row>
    <row r="474">
      <c r="A474" s="6" t="n">
        <v>2008</v>
      </c>
      <c r="B474" s="6" t="inlineStr">
        <is>
          <t>manganeso</t>
        </is>
      </c>
      <c r="C474" s="6" t="inlineStr">
        <is>
          <t>E2 Ferroaleaciones</t>
        </is>
      </c>
      <c r="D474" s="6" t="n">
        <v>42530266</v>
      </c>
      <c r="E474" s="6" t="inlineStr">
        <is>
          <t>Italia</t>
        </is>
      </c>
      <c r="F474" s="6" t="n">
        <v>0.1665</v>
      </c>
      <c r="G474" s="6" t="n">
        <v>0</v>
      </c>
      <c r="H474" s="6" t="n">
        <v>0.0491</v>
      </c>
      <c r="I474" s="6" t="n">
        <v>27</v>
      </c>
    </row>
    <row r="475">
      <c r="A475" s="9" t="n">
        <v>2008</v>
      </c>
      <c r="B475" s="9" t="inlineStr">
        <is>
          <t>manganeso</t>
        </is>
      </c>
      <c r="C475" s="9" t="inlineStr">
        <is>
          <t>E3 Quimicos/metal</t>
        </is>
      </c>
      <c r="D475" s="9" t="n">
        <v>4786457</v>
      </c>
      <c r="E475" s="9" t="inlineStr">
        <is>
          <t>Estados Unidos</t>
        </is>
      </c>
      <c r="F475" s="9" t="n">
        <v>0.5429</v>
      </c>
      <c r="G475" s="9" t="n">
        <v>0</v>
      </c>
      <c r="H475" s="9" t="n">
        <v>0.5429</v>
      </c>
      <c r="I475" s="9" t="n">
        <v>11</v>
      </c>
    </row>
    <row r="476">
      <c r="A476" s="6" t="n">
        <v>2008</v>
      </c>
      <c r="B476" s="6" t="inlineStr">
        <is>
          <t>oro</t>
        </is>
      </c>
      <c r="C476" s="6" t="inlineStr">
        <is>
          <t>E1 Mena/concentrado</t>
        </is>
      </c>
      <c r="D476" s="6" t="n">
        <v>16765160</v>
      </c>
      <c r="E476" s="6" t="inlineStr">
        <is>
          <t>Peru</t>
        </is>
      </c>
      <c r="F476" s="6" t="n">
        <v>0.6462</v>
      </c>
      <c r="G476" s="6" t="n">
        <v>0.316</v>
      </c>
      <c r="H476" s="6" t="n">
        <v>0</v>
      </c>
      <c r="I476" s="6" t="n">
        <v>4</v>
      </c>
    </row>
    <row r="477">
      <c r="A477" s="9" t="n">
        <v>2008</v>
      </c>
      <c r="B477" s="9" t="inlineStr">
        <is>
          <t>oro</t>
        </is>
      </c>
      <c r="C477" s="9" t="inlineStr">
        <is>
          <t>E2 Bruto/semilabrado</t>
        </is>
      </c>
      <c r="D477" s="9" t="n">
        <v>2661466570</v>
      </c>
      <c r="E477" s="9" t="inlineStr">
        <is>
          <t>Estados Unidos</t>
        </is>
      </c>
      <c r="F477" s="9" t="n">
        <v>0.5461</v>
      </c>
      <c r="G477" s="9" t="n">
        <v>0</v>
      </c>
      <c r="H477" s="9" t="n">
        <v>0.5461</v>
      </c>
      <c r="I477" s="9" t="n">
        <v>16</v>
      </c>
    </row>
    <row r="478">
      <c r="A478" s="6" t="n">
        <v>2008</v>
      </c>
      <c r="B478" s="6" t="inlineStr">
        <is>
          <t>oro-plata (manufacturas)</t>
        </is>
      </c>
      <c r="C478" s="6" t="inlineStr">
        <is>
          <t>E4 Joyeria/orfebreria</t>
        </is>
      </c>
      <c r="D478" s="6" t="n">
        <v>519809584</v>
      </c>
      <c r="E478" s="6" t="inlineStr">
        <is>
          <t>Estados Unidos</t>
        </is>
      </c>
      <c r="F478" s="6" t="n">
        <v>0.7549</v>
      </c>
      <c r="G478" s="6" t="n">
        <v>0</v>
      </c>
      <c r="H478" s="6" t="n">
        <v>0.7549</v>
      </c>
      <c r="I478" s="6" t="n">
        <v>68</v>
      </c>
    </row>
    <row r="479">
      <c r="A479" s="9" t="n">
        <v>2008</v>
      </c>
      <c r="B479" s="9" t="inlineStr">
        <is>
          <t>plata</t>
        </is>
      </c>
      <c r="C479" s="9" t="inlineStr">
        <is>
          <t>E1 Mena/concentrado</t>
        </is>
      </c>
      <c r="D479" s="9" t="n">
        <v>16080340</v>
      </c>
      <c r="E479" s="9" t="inlineStr">
        <is>
          <t>Estados Unidos</t>
        </is>
      </c>
      <c r="F479" s="9" t="n">
        <v>0.9604</v>
      </c>
      <c r="G479" s="9" t="n">
        <v>0</v>
      </c>
      <c r="H479" s="9" t="n">
        <v>0.9604</v>
      </c>
      <c r="I479" s="9" t="n">
        <v>3</v>
      </c>
    </row>
    <row r="480">
      <c r="A480" s="6" t="n">
        <v>2008</v>
      </c>
      <c r="B480" s="6" t="inlineStr">
        <is>
          <t>plata</t>
        </is>
      </c>
      <c r="C480" s="6" t="inlineStr">
        <is>
          <t>E2 Bruto/semilabrado</t>
        </is>
      </c>
      <c r="D480" s="6" t="n">
        <v>1737248383</v>
      </c>
      <c r="E480" s="6" t="inlineStr">
        <is>
          <t>Estados Unidos</t>
        </is>
      </c>
      <c r="F480" s="6" t="n">
        <v>0.8107</v>
      </c>
      <c r="G480" s="6" t="n">
        <v>0</v>
      </c>
      <c r="H480" s="6" t="n">
        <v>0.8107</v>
      </c>
      <c r="I480" s="6" t="n">
        <v>20</v>
      </c>
    </row>
    <row r="481">
      <c r="A481" s="9" t="n">
        <v>2008</v>
      </c>
      <c r="B481" s="9" t="inlineStr">
        <is>
          <t>plomo</t>
        </is>
      </c>
      <c r="C481" s="9" t="inlineStr">
        <is>
          <t>E1 Mena/concentrado</t>
        </is>
      </c>
      <c r="D481" s="9" t="n">
        <v>62018437</v>
      </c>
      <c r="E481" s="9" t="inlineStr">
        <is>
          <t>China</t>
        </is>
      </c>
      <c r="F481" s="9" t="n">
        <v>0.9061</v>
      </c>
      <c r="G481" s="9" t="n">
        <v>0.9061</v>
      </c>
      <c r="H481" s="9" t="n">
        <v>0.0167</v>
      </c>
      <c r="I481" s="9" t="n">
        <v>7</v>
      </c>
    </row>
    <row r="482">
      <c r="A482" s="6" t="n">
        <v>2008</v>
      </c>
      <c r="B482" s="6" t="inlineStr">
        <is>
          <t>plomo</t>
        </is>
      </c>
      <c r="C482" s="6" t="inlineStr">
        <is>
          <t>E2 Metal en bruto/refinado</t>
        </is>
      </c>
      <c r="D482" s="6" t="n">
        <v>158658901</v>
      </c>
      <c r="E482" s="6" t="inlineStr">
        <is>
          <t>Estados Unidos</t>
        </is>
      </c>
      <c r="F482" s="6" t="n">
        <v>0.6415999999999999</v>
      </c>
      <c r="G482" s="6" t="n">
        <v>0.0044</v>
      </c>
      <c r="H482" s="6" t="n">
        <v>0.6415999999999999</v>
      </c>
      <c r="I482" s="6" t="n">
        <v>22</v>
      </c>
    </row>
    <row r="483">
      <c r="A483" s="9" t="n">
        <v>2008</v>
      </c>
      <c r="B483" s="9" t="inlineStr">
        <is>
          <t>plomo</t>
        </is>
      </c>
      <c r="C483" s="9" t="inlineStr">
        <is>
          <t>E3 Semimanufacturas</t>
        </is>
      </c>
      <c r="D483" s="9" t="n">
        <v>233489</v>
      </c>
      <c r="E483" s="9" t="inlineStr">
        <is>
          <t>Estados Unidos</t>
        </is>
      </c>
      <c r="F483" s="9" t="n">
        <v>0.6996</v>
      </c>
      <c r="G483" s="9" t="n">
        <v>0</v>
      </c>
      <c r="H483" s="9" t="n">
        <v>0.6996</v>
      </c>
      <c r="I483" s="9" t="n">
        <v>5</v>
      </c>
    </row>
    <row r="484">
      <c r="A484" s="6" t="n">
        <v>2008</v>
      </c>
      <c r="B484" s="6" t="inlineStr">
        <is>
          <t>plomo</t>
        </is>
      </c>
      <c r="C484" s="6" t="inlineStr">
        <is>
          <t>E4 Manufacturas</t>
        </is>
      </c>
      <c r="D484" s="6" t="n">
        <v>32200411</v>
      </c>
      <c r="E484" s="6" t="inlineStr">
        <is>
          <t>Estados Unidos</t>
        </is>
      </c>
      <c r="F484" s="6" t="n">
        <v>0.738</v>
      </c>
      <c r="G484" s="6" t="n">
        <v>0.0255</v>
      </c>
      <c r="H484" s="6" t="n">
        <v>0.738</v>
      </c>
      <c r="I484" s="6" t="n">
        <v>22</v>
      </c>
    </row>
    <row r="485">
      <c r="A485" s="9" t="n">
        <v>2008</v>
      </c>
      <c r="B485" s="9" t="inlineStr">
        <is>
          <t>silice</t>
        </is>
      </c>
      <c r="C485" s="9" t="inlineStr">
        <is>
          <t>E1 Arena silica/cuarzo</t>
        </is>
      </c>
      <c r="D485" s="9" t="n">
        <v>1272115</v>
      </c>
      <c r="E485" s="9" t="inlineStr">
        <is>
          <t>Estados Unidos</t>
        </is>
      </c>
      <c r="F485" s="9" t="n">
        <v>0.8085</v>
      </c>
      <c r="G485" s="9" t="n">
        <v>0.0001</v>
      </c>
      <c r="H485" s="9" t="n">
        <v>0.8085</v>
      </c>
      <c r="I485" s="9" t="n">
        <v>20</v>
      </c>
    </row>
    <row r="486">
      <c r="A486" s="6" t="n">
        <v>2008</v>
      </c>
      <c r="B486" s="6" t="inlineStr">
        <is>
          <t>silice</t>
        </is>
      </c>
      <c r="C486" s="6" t="inlineStr">
        <is>
          <t>E2 Silicio/ferrosilicio/SiO2</t>
        </is>
      </c>
      <c r="D486" s="6" t="n">
        <v>14899987</v>
      </c>
      <c r="E486" s="6" t="inlineStr">
        <is>
          <t>Estados Unidos</t>
        </is>
      </c>
      <c r="F486" s="6" t="n">
        <v>0.7675999999999999</v>
      </c>
      <c r="G486" s="6" t="n">
        <v>0</v>
      </c>
      <c r="H486" s="6" t="n">
        <v>0.7675999999999999</v>
      </c>
      <c r="I486" s="6" t="n">
        <v>26</v>
      </c>
    </row>
    <row r="487">
      <c r="A487" s="9" t="n">
        <v>2008</v>
      </c>
      <c r="B487" s="9" t="inlineStr">
        <is>
          <t>zinc</t>
        </is>
      </c>
      <c r="C487" s="9" t="inlineStr">
        <is>
          <t>E1 Mena/concentrado</t>
        </is>
      </c>
      <c r="D487" s="9" t="n">
        <v>105236361</v>
      </c>
      <c r="E487" s="9" t="inlineStr">
        <is>
          <t>China</t>
        </is>
      </c>
      <c r="F487" s="9" t="n">
        <v>0.6017</v>
      </c>
      <c r="G487" s="9" t="n">
        <v>0.6017</v>
      </c>
      <c r="H487" s="9" t="n">
        <v>0.041</v>
      </c>
      <c r="I487" s="9" t="n">
        <v>13</v>
      </c>
    </row>
    <row r="488">
      <c r="A488" s="6" t="n">
        <v>2008</v>
      </c>
      <c r="B488" s="6" t="inlineStr">
        <is>
          <t>zinc</t>
        </is>
      </c>
      <c r="C488" s="6" t="inlineStr">
        <is>
          <t>E2 Metal en bruto/refinado</t>
        </is>
      </c>
      <c r="D488" s="6" t="n">
        <v>421855000</v>
      </c>
      <c r="E488" s="6" t="inlineStr">
        <is>
          <t>Estados Unidos</t>
        </is>
      </c>
      <c r="F488" s="6" t="n">
        <v>0.4097</v>
      </c>
      <c r="G488" s="6" t="n">
        <v>0.0008</v>
      </c>
      <c r="H488" s="6" t="n">
        <v>0.4097</v>
      </c>
      <c r="I488" s="6" t="n">
        <v>30</v>
      </c>
    </row>
    <row r="489">
      <c r="A489" s="9" t="n">
        <v>2008</v>
      </c>
      <c r="B489" s="9" t="inlineStr">
        <is>
          <t>zinc</t>
        </is>
      </c>
      <c r="C489" s="9" t="inlineStr">
        <is>
          <t>E3 Semimanufacturas</t>
        </is>
      </c>
      <c r="D489" s="9" t="n">
        <v>1995417</v>
      </c>
      <c r="E489" s="9" t="inlineStr">
        <is>
          <t>Estados Unidos</t>
        </is>
      </c>
      <c r="F489" s="9" t="n">
        <v>0.5201</v>
      </c>
      <c r="G489" s="9" t="n">
        <v>0.0001</v>
      </c>
      <c r="H489" s="9" t="n">
        <v>0.5201</v>
      </c>
      <c r="I489" s="9" t="n">
        <v>9</v>
      </c>
    </row>
    <row r="490">
      <c r="A490" s="6" t="n">
        <v>2008</v>
      </c>
      <c r="B490" s="6" t="inlineStr">
        <is>
          <t>zinc</t>
        </is>
      </c>
      <c r="C490" s="6" t="inlineStr">
        <is>
          <t>E4 Manufacturas</t>
        </is>
      </c>
      <c r="D490" s="6" t="n">
        <v>21246402</v>
      </c>
      <c r="E490" s="6" t="inlineStr">
        <is>
          <t>Estados Unidos</t>
        </is>
      </c>
      <c r="F490" s="6" t="n">
        <v>0.8373</v>
      </c>
      <c r="G490" s="6" t="n">
        <v>0</v>
      </c>
      <c r="H490" s="6" t="n">
        <v>0.8373</v>
      </c>
      <c r="I490" s="6" t="n">
        <v>32</v>
      </c>
    </row>
    <row r="491">
      <c r="A491" s="9" t="n">
        <v>2009</v>
      </c>
      <c r="B491" s="9" t="inlineStr">
        <is>
          <t>barita</t>
        </is>
      </c>
      <c r="C491" s="9" t="inlineStr">
        <is>
          <t>E1 Crudo/molido</t>
        </is>
      </c>
      <c r="D491" s="9" t="n">
        <v>1255779</v>
      </c>
      <c r="E491" s="9" t="inlineStr">
        <is>
          <t>Estados Unidos</t>
        </is>
      </c>
      <c r="F491" s="9" t="n">
        <v>0.6642</v>
      </c>
      <c r="G491" s="9" t="n">
        <v>0</v>
      </c>
      <c r="H491" s="9" t="n">
        <v>0.6642</v>
      </c>
      <c r="I491" s="9" t="n">
        <v>4</v>
      </c>
    </row>
    <row r="492">
      <c r="A492" s="6" t="n">
        <v>2009</v>
      </c>
      <c r="B492" s="6" t="inlineStr">
        <is>
          <t>barita</t>
        </is>
      </c>
      <c r="C492" s="6" t="inlineStr">
        <is>
          <t>E2 Quimicos de bario</t>
        </is>
      </c>
      <c r="D492" s="6" t="n">
        <v>7664</v>
      </c>
      <c r="E492" s="6" t="inlineStr">
        <is>
          <t>Cuba</t>
        </is>
      </c>
      <c r="F492" s="6" t="n">
        <v>0.9859</v>
      </c>
      <c r="G492" s="6" t="n">
        <v>0</v>
      </c>
      <c r="H492" s="6" t="n">
        <v>0.0033</v>
      </c>
      <c r="I492" s="6" t="n">
        <v>3</v>
      </c>
    </row>
    <row r="493">
      <c r="A493" s="9" t="n">
        <v>2009</v>
      </c>
      <c r="B493" s="9" t="inlineStr">
        <is>
          <t>cobre</t>
        </is>
      </c>
      <c r="C493" s="9" t="inlineStr">
        <is>
          <t>E1 Mena/concentrado</t>
        </is>
      </c>
      <c r="D493" s="9" t="n">
        <v>288865844</v>
      </c>
      <c r="E493" s="9" t="inlineStr">
        <is>
          <t>China</t>
        </is>
      </c>
      <c r="F493" s="9" t="n">
        <v>0.9164</v>
      </c>
      <c r="G493" s="9" t="n">
        <v>0.9164</v>
      </c>
      <c r="H493" s="9" t="n">
        <v>0</v>
      </c>
      <c r="I493" s="9" t="n">
        <v>9</v>
      </c>
    </row>
    <row r="494">
      <c r="A494" s="6" t="n">
        <v>2009</v>
      </c>
      <c r="B494" s="6" t="inlineStr">
        <is>
          <t>cobre</t>
        </is>
      </c>
      <c r="C494" s="6" t="inlineStr">
        <is>
          <t>E2 Metal en bruto/refinado</t>
        </is>
      </c>
      <c r="D494" s="6" t="n">
        <v>446382053</v>
      </c>
      <c r="E494" s="6" t="inlineStr">
        <is>
          <t>Estados Unidos</t>
        </is>
      </c>
      <c r="F494" s="6" t="n">
        <v>0.5339</v>
      </c>
      <c r="G494" s="6" t="n">
        <v>0.3186</v>
      </c>
      <c r="H494" s="6" t="n">
        <v>0.5339</v>
      </c>
      <c r="I494" s="6" t="n">
        <v>20</v>
      </c>
    </row>
    <row r="495">
      <c r="A495" s="9" t="n">
        <v>2009</v>
      </c>
      <c r="B495" s="9" t="inlineStr">
        <is>
          <t>cobre</t>
        </is>
      </c>
      <c r="C495" s="9" t="inlineStr">
        <is>
          <t>E3 Semimanufacturas</t>
        </is>
      </c>
      <c r="D495" s="9" t="n">
        <v>450229868</v>
      </c>
      <c r="E495" s="9" t="inlineStr">
        <is>
          <t>Estados Unidos</t>
        </is>
      </c>
      <c r="F495" s="9" t="n">
        <v>0.8259</v>
      </c>
      <c r="G495" s="9" t="n">
        <v>0.0013</v>
      </c>
      <c r="H495" s="9" t="n">
        <v>0.8259</v>
      </c>
      <c r="I495" s="9" t="n">
        <v>69</v>
      </c>
    </row>
    <row r="496">
      <c r="A496" s="6" t="n">
        <v>2009</v>
      </c>
      <c r="B496" s="6" t="inlineStr">
        <is>
          <t>cobre</t>
        </is>
      </c>
      <c r="C496" s="6" t="inlineStr">
        <is>
          <t>E4 Manufacturas</t>
        </is>
      </c>
      <c r="D496" s="6" t="n">
        <v>38585663</v>
      </c>
      <c r="E496" s="6" t="inlineStr">
        <is>
          <t>Estados Unidos</t>
        </is>
      </c>
      <c r="F496" s="6" t="n">
        <v>0.6889999999999999</v>
      </c>
      <c r="G496" s="6" t="n">
        <v>0.0009</v>
      </c>
      <c r="H496" s="6" t="n">
        <v>0.6889999999999999</v>
      </c>
      <c r="I496" s="6" t="n">
        <v>61</v>
      </c>
    </row>
    <row r="497">
      <c r="A497" s="9" t="n">
        <v>2009</v>
      </c>
      <c r="B497" s="9" t="inlineStr">
        <is>
          <t>fluorita</t>
        </is>
      </c>
      <c r="C497" s="9" t="inlineStr">
        <is>
          <t>E1 Espato fluor (crudo)</t>
        </is>
      </c>
      <c r="D497" s="9" t="n">
        <v>91735772</v>
      </c>
      <c r="E497" s="9" t="inlineStr">
        <is>
          <t>Estados Unidos</t>
        </is>
      </c>
      <c r="F497" s="9" t="n">
        <v>0.518</v>
      </c>
      <c r="G497" s="9" t="n">
        <v>0</v>
      </c>
      <c r="H497" s="9" t="n">
        <v>0.518</v>
      </c>
      <c r="I497" s="9" t="n">
        <v>24</v>
      </c>
    </row>
    <row r="498">
      <c r="A498" s="6" t="n">
        <v>2009</v>
      </c>
      <c r="B498" s="6" t="inlineStr">
        <is>
          <t>fluorita</t>
        </is>
      </c>
      <c r="C498" s="6" t="inlineStr">
        <is>
          <t>E2 Fluoroquimica</t>
        </is>
      </c>
      <c r="D498" s="6" t="n">
        <v>121358487</v>
      </c>
      <c r="E498" s="6" t="inlineStr">
        <is>
          <t>Estados Unidos</t>
        </is>
      </c>
      <c r="F498" s="6" t="n">
        <v>0.9539</v>
      </c>
      <c r="G498" s="6" t="n">
        <v>0</v>
      </c>
      <c r="H498" s="6" t="n">
        <v>0.9539</v>
      </c>
      <c r="I498" s="6" t="n">
        <v>15</v>
      </c>
    </row>
    <row r="499">
      <c r="A499" s="9" t="n">
        <v>2009</v>
      </c>
      <c r="B499" s="9" t="inlineStr">
        <is>
          <t>grafito</t>
        </is>
      </c>
      <c r="C499" s="9" t="inlineStr">
        <is>
          <t>E1 Grafito natural</t>
        </is>
      </c>
      <c r="D499" s="9" t="n">
        <v>2441001</v>
      </c>
      <c r="E499" s="9" t="inlineStr">
        <is>
          <t>Estados Unidos</t>
        </is>
      </c>
      <c r="F499" s="9" t="n">
        <v>0.6437</v>
      </c>
      <c r="G499" s="9" t="n">
        <v>0</v>
      </c>
      <c r="H499" s="9" t="n">
        <v>0.6437</v>
      </c>
      <c r="I499" s="9" t="n">
        <v>6</v>
      </c>
    </row>
    <row r="500">
      <c r="A500" s="6" t="n">
        <v>2009</v>
      </c>
      <c r="B500" s="6" t="inlineStr">
        <is>
          <t>grafito</t>
        </is>
      </c>
      <c r="C500" s="6" t="inlineStr">
        <is>
          <t>E2 Grafito artificial/prep.</t>
        </is>
      </c>
      <c r="D500" s="6" t="n">
        <v>3789945</v>
      </c>
      <c r="E500" s="6" t="inlineStr">
        <is>
          <t>Estados Unidos</t>
        </is>
      </c>
      <c r="F500" s="6" t="n">
        <v>0.642</v>
      </c>
      <c r="G500" s="6" t="n">
        <v>0</v>
      </c>
      <c r="H500" s="6" t="n">
        <v>0.642</v>
      </c>
      <c r="I500" s="6" t="n">
        <v>21</v>
      </c>
    </row>
    <row r="501">
      <c r="A501" s="9" t="n">
        <v>2009</v>
      </c>
      <c r="B501" s="9" t="inlineStr">
        <is>
          <t>grafito</t>
        </is>
      </c>
      <c r="C501" s="9" t="inlineStr">
        <is>
          <t>E3 Electrodos/articulos de carbono</t>
        </is>
      </c>
      <c r="D501" s="9" t="n">
        <v>55119611</v>
      </c>
      <c r="E501" s="9" t="inlineStr">
        <is>
          <t>Estados Unidos</t>
        </is>
      </c>
      <c r="F501" s="9" t="n">
        <v>0.5543</v>
      </c>
      <c r="G501" s="9" t="n">
        <v>0.0346</v>
      </c>
      <c r="H501" s="9" t="n">
        <v>0.5543</v>
      </c>
      <c r="I501" s="9" t="n">
        <v>49</v>
      </c>
    </row>
    <row r="502">
      <c r="A502" s="6" t="n">
        <v>2009</v>
      </c>
      <c r="B502" s="6" t="inlineStr">
        <is>
          <t>manganeso</t>
        </is>
      </c>
      <c r="C502" s="6" t="inlineStr">
        <is>
          <t>E1 Mena/concentrado</t>
        </is>
      </c>
      <c r="D502" s="6" t="n">
        <v>8789243</v>
      </c>
      <c r="E502" s="6" t="inlineStr">
        <is>
          <t>China</t>
        </is>
      </c>
      <c r="F502" s="6" t="n">
        <v>0.6167</v>
      </c>
      <c r="G502" s="6" t="n">
        <v>0.6167</v>
      </c>
      <c r="H502" s="6" t="n">
        <v>0.0568</v>
      </c>
      <c r="I502" s="6" t="n">
        <v>11</v>
      </c>
    </row>
    <row r="503">
      <c r="A503" s="9" t="n">
        <v>2009</v>
      </c>
      <c r="B503" s="9" t="inlineStr">
        <is>
          <t>manganeso</t>
        </is>
      </c>
      <c r="C503" s="9" t="inlineStr">
        <is>
          <t>E2 Ferroaleaciones</t>
        </is>
      </c>
      <c r="D503" s="9" t="n">
        <v>38866109</v>
      </c>
      <c r="E503" s="9" t="inlineStr">
        <is>
          <t>Estados Unidos</t>
        </is>
      </c>
      <c r="F503" s="9" t="n">
        <v>0.3999</v>
      </c>
      <c r="G503" s="9" t="n">
        <v>0</v>
      </c>
      <c r="H503" s="9" t="n">
        <v>0.3999</v>
      </c>
      <c r="I503" s="9" t="n">
        <v>23</v>
      </c>
    </row>
    <row r="504">
      <c r="A504" s="6" t="n">
        <v>2009</v>
      </c>
      <c r="B504" s="6" t="inlineStr">
        <is>
          <t>manganeso</t>
        </is>
      </c>
      <c r="C504" s="6" t="inlineStr">
        <is>
          <t>E3 Quimicos/metal</t>
        </is>
      </c>
      <c r="D504" s="6" t="n">
        <v>2220328</v>
      </c>
      <c r="E504" s="6" t="inlineStr">
        <is>
          <t>Estados Unidos</t>
        </is>
      </c>
      <c r="F504" s="6" t="n">
        <v>0.598</v>
      </c>
      <c r="G504" s="6" t="n">
        <v>0.1058</v>
      </c>
      <c r="H504" s="6" t="n">
        <v>0.598</v>
      </c>
      <c r="I504" s="6" t="n">
        <v>9</v>
      </c>
    </row>
    <row r="505">
      <c r="A505" s="9" t="n">
        <v>2009</v>
      </c>
      <c r="B505" s="9" t="inlineStr">
        <is>
          <t>oro</t>
        </is>
      </c>
      <c r="C505" s="9" t="inlineStr">
        <is>
          <t>E1 Mena/concentrado</t>
        </is>
      </c>
      <c r="D505" s="9" t="n">
        <v>50219852</v>
      </c>
      <c r="E505" s="9" t="inlineStr">
        <is>
          <t>Belgica</t>
        </is>
      </c>
      <c r="F505" s="9" t="n">
        <v>0.8068</v>
      </c>
      <c r="G505" s="9" t="n">
        <v>0.1493</v>
      </c>
      <c r="H505" s="9" t="n">
        <v>0.0011</v>
      </c>
      <c r="I505" s="9" t="n">
        <v>6</v>
      </c>
    </row>
    <row r="506">
      <c r="A506" s="6" t="n">
        <v>2009</v>
      </c>
      <c r="B506" s="6" t="inlineStr">
        <is>
          <t>oro</t>
        </is>
      </c>
      <c r="C506" s="6" t="inlineStr">
        <is>
          <t>E2 Bruto/semilabrado</t>
        </is>
      </c>
      <c r="D506" s="6" t="n">
        <v>4003673710</v>
      </c>
      <c r="E506" s="6" t="inlineStr">
        <is>
          <t>Estados Unidos</t>
        </is>
      </c>
      <c r="F506" s="6" t="n">
        <v>0.7383</v>
      </c>
      <c r="G506" s="6" t="n">
        <v>0</v>
      </c>
      <c r="H506" s="6" t="n">
        <v>0.7383</v>
      </c>
      <c r="I506" s="6" t="n">
        <v>14</v>
      </c>
    </row>
    <row r="507">
      <c r="A507" s="9" t="n">
        <v>2009</v>
      </c>
      <c r="B507" s="9" t="inlineStr">
        <is>
          <t>oro-plata (manufacturas)</t>
        </is>
      </c>
      <c r="C507" s="9" t="inlineStr">
        <is>
          <t>E4 Joyeria/orfebreria</t>
        </is>
      </c>
      <c r="D507" s="9" t="n">
        <v>519393726</v>
      </c>
      <c r="E507" s="9" t="inlineStr">
        <is>
          <t>Estados Unidos</t>
        </is>
      </c>
      <c r="F507" s="9" t="n">
        <v>0.8747</v>
      </c>
      <c r="G507" s="9" t="n">
        <v>0</v>
      </c>
      <c r="H507" s="9" t="n">
        <v>0.8747</v>
      </c>
      <c r="I507" s="9" t="n">
        <v>67</v>
      </c>
    </row>
    <row r="508">
      <c r="A508" s="6" t="n">
        <v>2009</v>
      </c>
      <c r="B508" s="6" t="inlineStr">
        <is>
          <t>plata</t>
        </is>
      </c>
      <c r="C508" s="6" t="inlineStr">
        <is>
          <t>E1 Mena/concentrado</t>
        </is>
      </c>
      <c r="D508" s="6" t="n">
        <v>30246554</v>
      </c>
      <c r="E508" s="6" t="inlineStr">
        <is>
          <t>Estados Unidos</t>
        </is>
      </c>
      <c r="F508" s="6" t="n">
        <v>0.9852</v>
      </c>
      <c r="G508" s="6" t="n">
        <v>0.0015</v>
      </c>
      <c r="H508" s="6" t="n">
        <v>0.9852</v>
      </c>
      <c r="I508" s="6" t="n">
        <v>3</v>
      </c>
    </row>
    <row r="509">
      <c r="A509" s="9" t="n">
        <v>2009</v>
      </c>
      <c r="B509" s="9" t="inlineStr">
        <is>
          <t>plata</t>
        </is>
      </c>
      <c r="C509" s="9" t="inlineStr">
        <is>
          <t>E2 Bruto/semilabrado</t>
        </is>
      </c>
      <c r="D509" s="9" t="n">
        <v>1409667143</v>
      </c>
      <c r="E509" s="9" t="inlineStr">
        <is>
          <t>Estados Unidos</t>
        </is>
      </c>
      <c r="F509" s="9" t="n">
        <v>0.8597</v>
      </c>
      <c r="G509" s="9" t="n">
        <v>0</v>
      </c>
      <c r="H509" s="9" t="n">
        <v>0.8597</v>
      </c>
      <c r="I509" s="9" t="n">
        <v>25</v>
      </c>
    </row>
    <row r="510">
      <c r="A510" s="6" t="n">
        <v>2009</v>
      </c>
      <c r="B510" s="6" t="inlineStr">
        <is>
          <t>plomo</t>
        </is>
      </c>
      <c r="C510" s="6" t="inlineStr">
        <is>
          <t>E1 Mena/concentrado</t>
        </is>
      </c>
      <c r="D510" s="6" t="n">
        <v>160425797</v>
      </c>
      <c r="E510" s="6" t="inlineStr">
        <is>
          <t>China</t>
        </is>
      </c>
      <c r="F510" s="6" t="n">
        <v>0.6395999999999999</v>
      </c>
      <c r="G510" s="6" t="n">
        <v>0.6395999999999999</v>
      </c>
      <c r="H510" s="6" t="n">
        <v>0</v>
      </c>
      <c r="I510" s="6" t="n">
        <v>9</v>
      </c>
    </row>
    <row r="511">
      <c r="A511" s="9" t="n">
        <v>2009</v>
      </c>
      <c r="B511" s="9" t="inlineStr">
        <is>
          <t>plomo</t>
        </is>
      </c>
      <c r="C511" s="9" t="inlineStr">
        <is>
          <t>E2 Metal en bruto/refinado</t>
        </is>
      </c>
      <c r="D511" s="9" t="n">
        <v>267855695</v>
      </c>
      <c r="E511" s="9" t="inlineStr">
        <is>
          <t>Corea del Sur</t>
        </is>
      </c>
      <c r="F511" s="9" t="n">
        <v>0.2789</v>
      </c>
      <c r="G511" s="9" t="n">
        <v>0.0131</v>
      </c>
      <c r="H511" s="9" t="n">
        <v>0.2354</v>
      </c>
      <c r="I511" s="9" t="n">
        <v>29</v>
      </c>
    </row>
    <row r="512">
      <c r="A512" s="6" t="n">
        <v>2009</v>
      </c>
      <c r="B512" s="6" t="inlineStr">
        <is>
          <t>plomo</t>
        </is>
      </c>
      <c r="C512" s="6" t="inlineStr">
        <is>
          <t>E3 Semimanufacturas</t>
        </is>
      </c>
      <c r="D512" s="6" t="n">
        <v>16347</v>
      </c>
      <c r="E512" s="6" t="inlineStr">
        <is>
          <t>El Salvador</t>
        </is>
      </c>
      <c r="F512" s="6" t="n">
        <v>0.7632</v>
      </c>
      <c r="G512" s="6" t="n">
        <v>0</v>
      </c>
      <c r="H512" s="6" t="n">
        <v>0.0264</v>
      </c>
      <c r="I512" s="6" t="n">
        <v>5</v>
      </c>
    </row>
    <row r="513">
      <c r="A513" s="9" t="n">
        <v>2009</v>
      </c>
      <c r="B513" s="9" t="inlineStr">
        <is>
          <t>plomo</t>
        </is>
      </c>
      <c r="C513" s="9" t="inlineStr">
        <is>
          <t>E4 Manufacturas</t>
        </is>
      </c>
      <c r="D513" s="9" t="n">
        <v>12522638</v>
      </c>
      <c r="E513" s="9" t="inlineStr">
        <is>
          <t>Estados Unidos</t>
        </is>
      </c>
      <c r="F513" s="9" t="n">
        <v>0.9035</v>
      </c>
      <c r="G513" s="9" t="n">
        <v>0</v>
      </c>
      <c r="H513" s="9" t="n">
        <v>0.9035</v>
      </c>
      <c r="I513" s="9" t="n">
        <v>21</v>
      </c>
    </row>
    <row r="514">
      <c r="A514" s="6" t="n">
        <v>2009</v>
      </c>
      <c r="B514" s="6" t="inlineStr">
        <is>
          <t>silice</t>
        </is>
      </c>
      <c r="C514" s="6" t="inlineStr">
        <is>
          <t>E1 Arena silica/cuarzo</t>
        </is>
      </c>
      <c r="D514" s="6" t="n">
        <v>1000043</v>
      </c>
      <c r="E514" s="6" t="inlineStr">
        <is>
          <t>Estados Unidos</t>
        </is>
      </c>
      <c r="F514" s="6" t="n">
        <v>0.6503</v>
      </c>
      <c r="G514" s="6" t="n">
        <v>0</v>
      </c>
      <c r="H514" s="6" t="n">
        <v>0.6503</v>
      </c>
      <c r="I514" s="6" t="n">
        <v>22</v>
      </c>
    </row>
    <row r="515">
      <c r="A515" s="9" t="n">
        <v>2009</v>
      </c>
      <c r="B515" s="9" t="inlineStr">
        <is>
          <t>silice</t>
        </is>
      </c>
      <c r="C515" s="9" t="inlineStr">
        <is>
          <t>E2 Silicio/ferrosilicio/SiO2</t>
        </is>
      </c>
      <c r="D515" s="9" t="n">
        <v>3999360</v>
      </c>
      <c r="E515" s="9" t="inlineStr">
        <is>
          <t>Estados Unidos</t>
        </is>
      </c>
      <c r="F515" s="9" t="n">
        <v>0.6173999999999999</v>
      </c>
      <c r="G515" s="9" t="n">
        <v>0.0004</v>
      </c>
      <c r="H515" s="9" t="n">
        <v>0.6173999999999999</v>
      </c>
      <c r="I515" s="9" t="n">
        <v>20</v>
      </c>
    </row>
    <row r="516">
      <c r="A516" s="6" t="n">
        <v>2009</v>
      </c>
      <c r="B516" s="6" t="inlineStr">
        <is>
          <t>zinc</t>
        </is>
      </c>
      <c r="C516" s="6" t="inlineStr">
        <is>
          <t>E1 Mena/concentrado</t>
        </is>
      </c>
      <c r="D516" s="6" t="n">
        <v>136594996</v>
      </c>
      <c r="E516" s="6" t="inlineStr">
        <is>
          <t>Corea del Sur</t>
        </is>
      </c>
      <c r="F516" s="6" t="n">
        <v>0.4387</v>
      </c>
      <c r="G516" s="6" t="n">
        <v>0.2963</v>
      </c>
      <c r="H516" s="6" t="n">
        <v>0.019</v>
      </c>
      <c r="I516" s="6" t="n">
        <v>14</v>
      </c>
    </row>
    <row r="517">
      <c r="A517" s="9" t="n">
        <v>2009</v>
      </c>
      <c r="B517" s="9" t="inlineStr">
        <is>
          <t>zinc</t>
        </is>
      </c>
      <c r="C517" s="9" t="inlineStr">
        <is>
          <t>E2 Metal en bruto/refinado</t>
        </is>
      </c>
      <c r="D517" s="9" t="n">
        <v>375278535</v>
      </c>
      <c r="E517" s="9" t="inlineStr">
        <is>
          <t>Estados Unidos</t>
        </is>
      </c>
      <c r="F517" s="9" t="n">
        <v>0.3646</v>
      </c>
      <c r="G517" s="9" t="n">
        <v>0.0556</v>
      </c>
      <c r="H517" s="9" t="n">
        <v>0.3646</v>
      </c>
      <c r="I517" s="9" t="n">
        <v>36</v>
      </c>
    </row>
    <row r="518">
      <c r="A518" s="6" t="n">
        <v>2009</v>
      </c>
      <c r="B518" s="6" t="inlineStr">
        <is>
          <t>zinc</t>
        </is>
      </c>
      <c r="C518" s="6" t="inlineStr">
        <is>
          <t>E3 Semimanufacturas</t>
        </is>
      </c>
      <c r="D518" s="6" t="n">
        <v>2420267</v>
      </c>
      <c r="E518" s="6" t="inlineStr">
        <is>
          <t>Estados Unidos</t>
        </is>
      </c>
      <c r="F518" s="6" t="n">
        <v>0.4832</v>
      </c>
      <c r="G518" s="6" t="n">
        <v>0</v>
      </c>
      <c r="H518" s="6" t="n">
        <v>0.4832</v>
      </c>
      <c r="I518" s="6" t="n">
        <v>11</v>
      </c>
    </row>
    <row r="519">
      <c r="A519" s="9" t="n">
        <v>2009</v>
      </c>
      <c r="B519" s="9" t="inlineStr">
        <is>
          <t>zinc</t>
        </is>
      </c>
      <c r="C519" s="9" t="inlineStr">
        <is>
          <t>E4 Manufacturas</t>
        </is>
      </c>
      <c r="D519" s="9" t="n">
        <v>19054215</v>
      </c>
      <c r="E519" s="9" t="inlineStr">
        <is>
          <t>Estados Unidos</t>
        </is>
      </c>
      <c r="F519" s="9" t="n">
        <v>0.8356</v>
      </c>
      <c r="G519" s="9" t="n">
        <v>0</v>
      </c>
      <c r="H519" s="9" t="n">
        <v>0.8356</v>
      </c>
      <c r="I519" s="9" t="n">
        <v>34</v>
      </c>
    </row>
    <row r="520">
      <c r="A520" s="6" t="n">
        <v>2010</v>
      </c>
      <c r="B520" s="6" t="inlineStr">
        <is>
          <t>barita</t>
        </is>
      </c>
      <c r="C520" s="6" t="inlineStr">
        <is>
          <t>E1 Crudo/molido</t>
        </is>
      </c>
      <c r="D520" s="6" t="n">
        <v>1827686</v>
      </c>
      <c r="E520" s="6" t="inlineStr">
        <is>
          <t>Estados Unidos</t>
        </is>
      </c>
      <c r="F520" s="6" t="n">
        <v>0.8964</v>
      </c>
      <c r="G520" s="6" t="n">
        <v>0</v>
      </c>
      <c r="H520" s="6" t="n">
        <v>0.8964</v>
      </c>
      <c r="I520" s="6" t="n">
        <v>3</v>
      </c>
    </row>
    <row r="521">
      <c r="A521" s="9" t="n">
        <v>2010</v>
      </c>
      <c r="B521" s="9" t="inlineStr">
        <is>
          <t>barita</t>
        </is>
      </c>
      <c r="C521" s="9" t="inlineStr">
        <is>
          <t>E2 Quimicos de bario</t>
        </is>
      </c>
      <c r="D521" s="9" t="n">
        <v>58602</v>
      </c>
      <c r="E521" s="9" t="inlineStr">
        <is>
          <t>Colombia</t>
        </is>
      </c>
      <c r="F521" s="9" t="n">
        <v>0.9857</v>
      </c>
      <c r="G521" s="9" t="n">
        <v>0</v>
      </c>
      <c r="H521" s="9" t="n">
        <v>0</v>
      </c>
      <c r="I521" s="9" t="n">
        <v>5</v>
      </c>
    </row>
    <row r="522">
      <c r="A522" s="6" t="n">
        <v>2010</v>
      </c>
      <c r="B522" s="6" t="inlineStr">
        <is>
          <t>cobre</t>
        </is>
      </c>
      <c r="C522" s="6" t="inlineStr">
        <is>
          <t>E1 Mena/concentrado</t>
        </is>
      </c>
      <c r="D522" s="6" t="n">
        <v>684848560</v>
      </c>
      <c r="E522" s="6" t="inlineStr">
        <is>
          <t>China</t>
        </is>
      </c>
      <c r="F522" s="6" t="n">
        <v>0.8925999999999999</v>
      </c>
      <c r="G522" s="6" t="n">
        <v>0.8925999999999999</v>
      </c>
      <c r="H522" s="6" t="n">
        <v>0.0001</v>
      </c>
      <c r="I522" s="6" t="n">
        <v>8</v>
      </c>
    </row>
    <row r="523">
      <c r="A523" s="9" t="n">
        <v>2010</v>
      </c>
      <c r="B523" s="9" t="inlineStr">
        <is>
          <t>cobre</t>
        </is>
      </c>
      <c r="C523" s="9" t="inlineStr">
        <is>
          <t>E2 Metal en bruto/refinado</t>
        </is>
      </c>
      <c r="D523" s="9" t="n">
        <v>633539739</v>
      </c>
      <c r="E523" s="9" t="inlineStr">
        <is>
          <t>Estados Unidos</t>
        </is>
      </c>
      <c r="F523" s="9" t="n">
        <v>0.3932</v>
      </c>
      <c r="G523" s="9" t="n">
        <v>0.2784</v>
      </c>
      <c r="H523" s="9" t="n">
        <v>0.3932</v>
      </c>
      <c r="I523" s="9" t="n">
        <v>29</v>
      </c>
    </row>
    <row r="524">
      <c r="A524" s="6" t="n">
        <v>2010</v>
      </c>
      <c r="B524" s="6" t="inlineStr">
        <is>
          <t>cobre</t>
        </is>
      </c>
      <c r="C524" s="6" t="inlineStr">
        <is>
          <t>E3 Semimanufacturas</t>
        </is>
      </c>
      <c r="D524" s="6" t="n">
        <v>586278000</v>
      </c>
      <c r="E524" s="6" t="inlineStr">
        <is>
          <t>Estados Unidos</t>
        </is>
      </c>
      <c r="F524" s="6" t="n">
        <v>0.7951</v>
      </c>
      <c r="G524" s="6" t="n">
        <v>0.0128</v>
      </c>
      <c r="H524" s="6" t="n">
        <v>0.7951</v>
      </c>
      <c r="I524" s="6" t="n">
        <v>59</v>
      </c>
    </row>
    <row r="525">
      <c r="A525" s="9" t="n">
        <v>2010</v>
      </c>
      <c r="B525" s="9" t="inlineStr">
        <is>
          <t>cobre</t>
        </is>
      </c>
      <c r="C525" s="9" t="inlineStr">
        <is>
          <t>E4 Manufacturas</t>
        </is>
      </c>
      <c r="D525" s="9" t="n">
        <v>146643411</v>
      </c>
      <c r="E525" s="9" t="inlineStr">
        <is>
          <t>China</t>
        </is>
      </c>
      <c r="F525" s="9" t="n">
        <v>0.2888</v>
      </c>
      <c r="G525" s="9" t="n">
        <v>0.2888</v>
      </c>
      <c r="H525" s="9" t="n">
        <v>0.2643</v>
      </c>
      <c r="I525" s="9" t="n">
        <v>63</v>
      </c>
    </row>
    <row r="526">
      <c r="A526" s="6" t="n">
        <v>2010</v>
      </c>
      <c r="B526" s="6" t="inlineStr">
        <is>
          <t>fluorita</t>
        </is>
      </c>
      <c r="C526" s="6" t="inlineStr">
        <is>
          <t>E1 Espato fluor (crudo)</t>
        </is>
      </c>
      <c r="D526" s="6" t="n">
        <v>117263814</v>
      </c>
      <c r="E526" s="6" t="inlineStr">
        <is>
          <t>Estados Unidos</t>
        </is>
      </c>
      <c r="F526" s="6" t="n">
        <v>0.4292</v>
      </c>
      <c r="G526" s="6" t="n">
        <v>0</v>
      </c>
      <c r="H526" s="6" t="n">
        <v>0.4292</v>
      </c>
      <c r="I526" s="6" t="n">
        <v>36</v>
      </c>
    </row>
    <row r="527">
      <c r="A527" s="9" t="n">
        <v>2010</v>
      </c>
      <c r="B527" s="9" t="inlineStr">
        <is>
          <t>fluorita</t>
        </is>
      </c>
      <c r="C527" s="9" t="inlineStr">
        <is>
          <t>E2 Fluoroquimica</t>
        </is>
      </c>
      <c r="D527" s="9" t="n">
        <v>184318976</v>
      </c>
      <c r="E527" s="9" t="inlineStr">
        <is>
          <t>Estados Unidos</t>
        </is>
      </c>
      <c r="F527" s="9" t="n">
        <v>0.8833</v>
      </c>
      <c r="G527" s="9" t="n">
        <v>0</v>
      </c>
      <c r="H527" s="9" t="n">
        <v>0.8833</v>
      </c>
      <c r="I527" s="9" t="n">
        <v>20</v>
      </c>
    </row>
    <row r="528">
      <c r="A528" s="6" t="n">
        <v>2010</v>
      </c>
      <c r="B528" s="6" t="inlineStr">
        <is>
          <t>grafito</t>
        </is>
      </c>
      <c r="C528" s="6" t="inlineStr">
        <is>
          <t>E1 Grafito natural</t>
        </is>
      </c>
      <c r="D528" s="6" t="n">
        <v>2947104</v>
      </c>
      <c r="E528" s="6" t="inlineStr">
        <is>
          <t>Estados Unidos</t>
        </is>
      </c>
      <c r="F528" s="6" t="n">
        <v>0.9562</v>
      </c>
      <c r="G528" s="6" t="n">
        <v>0</v>
      </c>
      <c r="H528" s="6" t="n">
        <v>0.9562</v>
      </c>
      <c r="I528" s="6" t="n">
        <v>6</v>
      </c>
    </row>
    <row r="529">
      <c r="A529" s="9" t="n">
        <v>2010</v>
      </c>
      <c r="B529" s="9" t="inlineStr">
        <is>
          <t>grafito</t>
        </is>
      </c>
      <c r="C529" s="9" t="inlineStr">
        <is>
          <t>E2 Grafito artificial/prep.</t>
        </is>
      </c>
      <c r="D529" s="9" t="n">
        <v>13450836</v>
      </c>
      <c r="E529" s="9" t="inlineStr">
        <is>
          <t>Estados Unidos</t>
        </is>
      </c>
      <c r="F529" s="9" t="n">
        <v>0.4769</v>
      </c>
      <c r="G529" s="9" t="n">
        <v>0</v>
      </c>
      <c r="H529" s="9" t="n">
        <v>0.4769</v>
      </c>
      <c r="I529" s="9" t="n">
        <v>23</v>
      </c>
    </row>
    <row r="530">
      <c r="A530" s="6" t="n">
        <v>2010</v>
      </c>
      <c r="B530" s="6" t="inlineStr">
        <is>
          <t>grafito</t>
        </is>
      </c>
      <c r="C530" s="6" t="inlineStr">
        <is>
          <t>E3 Electrodos/articulos de carbono</t>
        </is>
      </c>
      <c r="D530" s="6" t="n">
        <v>131480215</v>
      </c>
      <c r="E530" s="6" t="inlineStr">
        <is>
          <t>Estados Unidos</t>
        </is>
      </c>
      <c r="F530" s="6" t="n">
        <v>0.6487000000000001</v>
      </c>
      <c r="G530" s="6" t="n">
        <v>0.0233</v>
      </c>
      <c r="H530" s="6" t="n">
        <v>0.6487000000000001</v>
      </c>
      <c r="I530" s="6" t="n">
        <v>42</v>
      </c>
    </row>
    <row r="531">
      <c r="A531" s="9" t="n">
        <v>2010</v>
      </c>
      <c r="B531" s="9" t="inlineStr">
        <is>
          <t>manganeso</t>
        </is>
      </c>
      <c r="C531" s="9" t="inlineStr">
        <is>
          <t>E1 Mena/concentrado</t>
        </is>
      </c>
      <c r="D531" s="9" t="n">
        <v>12943004</v>
      </c>
      <c r="E531" s="9" t="inlineStr">
        <is>
          <t>China</t>
        </is>
      </c>
      <c r="F531" s="9" t="n">
        <v>0.6793</v>
      </c>
      <c r="G531" s="9" t="n">
        <v>0.6793</v>
      </c>
      <c r="H531" s="9" t="n">
        <v>0.0541</v>
      </c>
      <c r="I531" s="9" t="n">
        <v>13</v>
      </c>
    </row>
    <row r="532">
      <c r="A532" s="6" t="n">
        <v>2010</v>
      </c>
      <c r="B532" s="6" t="inlineStr">
        <is>
          <t>manganeso</t>
        </is>
      </c>
      <c r="C532" s="6" t="inlineStr">
        <is>
          <t>E2 Ferroaleaciones</t>
        </is>
      </c>
      <c r="D532" s="6" t="n">
        <v>114921785</v>
      </c>
      <c r="E532" s="6" t="inlineStr">
        <is>
          <t>Estados Unidos</t>
        </is>
      </c>
      <c r="F532" s="6" t="n">
        <v>0.5511</v>
      </c>
      <c r="G532" s="6" t="n">
        <v>0.0023</v>
      </c>
      <c r="H532" s="6" t="n">
        <v>0.5511</v>
      </c>
      <c r="I532" s="6" t="n">
        <v>23</v>
      </c>
    </row>
    <row r="533">
      <c r="A533" s="9" t="n">
        <v>2010</v>
      </c>
      <c r="B533" s="9" t="inlineStr">
        <is>
          <t>manganeso</t>
        </is>
      </c>
      <c r="C533" s="9" t="inlineStr">
        <is>
          <t>E3 Quimicos/metal</t>
        </is>
      </c>
      <c r="D533" s="9" t="n">
        <v>2305754</v>
      </c>
      <c r="E533" s="9" t="inlineStr">
        <is>
          <t>Estados Unidos</t>
        </is>
      </c>
      <c r="F533" s="9" t="n">
        <v>0.801</v>
      </c>
      <c r="G533" s="9" t="n">
        <v>0</v>
      </c>
      <c r="H533" s="9" t="n">
        <v>0.801</v>
      </c>
      <c r="I533" s="9" t="n">
        <v>14</v>
      </c>
    </row>
    <row r="534">
      <c r="A534" s="6" t="n">
        <v>2010</v>
      </c>
      <c r="B534" s="6" t="inlineStr">
        <is>
          <t>oro</t>
        </is>
      </c>
      <c r="C534" s="6" t="inlineStr">
        <is>
          <t>E1 Mena/concentrado</t>
        </is>
      </c>
      <c r="D534" s="6" t="n">
        <v>18554929</v>
      </c>
      <c r="E534" s="6" t="inlineStr">
        <is>
          <t>China</t>
        </is>
      </c>
      <c r="F534" s="6" t="n">
        <v>0.5993000000000001</v>
      </c>
      <c r="G534" s="6" t="n">
        <v>0.5993000000000001</v>
      </c>
      <c r="H534" s="6" t="n">
        <v>0.0017</v>
      </c>
      <c r="I534" s="6" t="n">
        <v>5</v>
      </c>
    </row>
    <row r="535">
      <c r="A535" s="9" t="n">
        <v>2010</v>
      </c>
      <c r="B535" s="9" t="inlineStr">
        <is>
          <t>oro</t>
        </is>
      </c>
      <c r="C535" s="9" t="inlineStr">
        <is>
          <t>E2 Bruto/semilabrado</t>
        </is>
      </c>
      <c r="D535" s="9" t="n">
        <v>5753285176</v>
      </c>
      <c r="E535" s="9" t="inlineStr">
        <is>
          <t>Estados Unidos</t>
        </is>
      </c>
      <c r="F535" s="9" t="n">
        <v>0.699</v>
      </c>
      <c r="G535" s="9" t="n">
        <v>0</v>
      </c>
      <c r="H535" s="9" t="n">
        <v>0.699</v>
      </c>
      <c r="I535" s="9" t="n">
        <v>12</v>
      </c>
    </row>
    <row r="536">
      <c r="A536" s="6" t="n">
        <v>2010</v>
      </c>
      <c r="B536" s="6" t="inlineStr">
        <is>
          <t>oro-plata (manufacturas)</t>
        </is>
      </c>
      <c r="C536" s="6" t="inlineStr">
        <is>
          <t>E4 Joyeria/orfebreria</t>
        </is>
      </c>
      <c r="D536" s="6" t="n">
        <v>626850851</v>
      </c>
      <c r="E536" s="6" t="inlineStr">
        <is>
          <t>Estados Unidos</t>
        </is>
      </c>
      <c r="F536" s="6" t="n">
        <v>0.8671</v>
      </c>
      <c r="G536" s="6" t="n">
        <v>0</v>
      </c>
      <c r="H536" s="6" t="n">
        <v>0.8671</v>
      </c>
      <c r="I536" s="6" t="n">
        <v>62</v>
      </c>
    </row>
    <row r="537">
      <c r="A537" s="9" t="n">
        <v>2010</v>
      </c>
      <c r="B537" s="9" t="inlineStr">
        <is>
          <t>plata</t>
        </is>
      </c>
      <c r="C537" s="9" t="inlineStr">
        <is>
          <t>E1 Mena/concentrado</t>
        </is>
      </c>
      <c r="D537" s="9" t="n">
        <v>57836501</v>
      </c>
      <c r="E537" s="9" t="inlineStr">
        <is>
          <t>Estados Unidos</t>
        </is>
      </c>
      <c r="F537" s="9" t="n">
        <v>0.9844000000000001</v>
      </c>
      <c r="G537" s="9" t="n">
        <v>0.0026</v>
      </c>
      <c r="H537" s="9" t="n">
        <v>0.9844000000000001</v>
      </c>
      <c r="I537" s="9" t="n">
        <v>4</v>
      </c>
    </row>
    <row r="538">
      <c r="A538" s="6" t="n">
        <v>2010</v>
      </c>
      <c r="B538" s="6" t="inlineStr">
        <is>
          <t>plata</t>
        </is>
      </c>
      <c r="C538" s="6" t="inlineStr">
        <is>
          <t>E2 Bruto/semilabrado</t>
        </is>
      </c>
      <c r="D538" s="6" t="n">
        <v>2542827791</v>
      </c>
      <c r="E538" s="6" t="inlineStr">
        <is>
          <t>Estados Unidos</t>
        </is>
      </c>
      <c r="F538" s="6" t="n">
        <v>0.8544</v>
      </c>
      <c r="G538" s="6" t="n">
        <v>0</v>
      </c>
      <c r="H538" s="6" t="n">
        <v>0.8544</v>
      </c>
      <c r="I538" s="6" t="n">
        <v>25</v>
      </c>
    </row>
    <row r="539">
      <c r="A539" s="9" t="n">
        <v>2010</v>
      </c>
      <c r="B539" s="9" t="inlineStr">
        <is>
          <t>plomo</t>
        </is>
      </c>
      <c r="C539" s="9" t="inlineStr">
        <is>
          <t>E1 Mena/concentrado</t>
        </is>
      </c>
      <c r="D539" s="9" t="n">
        <v>252462298</v>
      </c>
      <c r="E539" s="9" t="inlineStr">
        <is>
          <t>China</t>
        </is>
      </c>
      <c r="F539" s="9" t="n">
        <v>0.581</v>
      </c>
      <c r="G539" s="9" t="n">
        <v>0.581</v>
      </c>
      <c r="H539" s="9" t="n">
        <v>0</v>
      </c>
      <c r="I539" s="9" t="n">
        <v>8</v>
      </c>
    </row>
    <row r="540">
      <c r="A540" s="6" t="n">
        <v>2010</v>
      </c>
      <c r="B540" s="6" t="inlineStr">
        <is>
          <t>plomo</t>
        </is>
      </c>
      <c r="C540" s="6" t="inlineStr">
        <is>
          <t>E2 Metal en bruto/refinado</t>
        </is>
      </c>
      <c r="D540" s="6" t="n">
        <v>227650816</v>
      </c>
      <c r="E540" s="6" t="inlineStr">
        <is>
          <t>Brasil</t>
        </is>
      </c>
      <c r="F540" s="6" t="n">
        <v>0.3868</v>
      </c>
      <c r="G540" s="6" t="n">
        <v>0.0564</v>
      </c>
      <c r="H540" s="6" t="n">
        <v>0.224</v>
      </c>
      <c r="I540" s="6" t="n">
        <v>23</v>
      </c>
    </row>
    <row r="541">
      <c r="A541" s="9" t="n">
        <v>2010</v>
      </c>
      <c r="B541" s="9" t="inlineStr">
        <is>
          <t>plomo</t>
        </is>
      </c>
      <c r="C541" s="9" t="inlineStr">
        <is>
          <t>E3 Semimanufacturas</t>
        </is>
      </c>
      <c r="D541" s="9" t="n">
        <v>541526</v>
      </c>
      <c r="E541" s="9" t="inlineStr">
        <is>
          <t>socio_699</t>
        </is>
      </c>
      <c r="F541" s="9" t="n">
        <v>0.9051</v>
      </c>
      <c r="G541" s="9" t="n">
        <v>0</v>
      </c>
      <c r="H541" s="9" t="n">
        <v>0.0596</v>
      </c>
      <c r="I541" s="9" t="n">
        <v>4</v>
      </c>
    </row>
    <row r="542">
      <c r="A542" s="6" t="n">
        <v>2010</v>
      </c>
      <c r="B542" s="6" t="inlineStr">
        <is>
          <t>plomo</t>
        </is>
      </c>
      <c r="C542" s="6" t="inlineStr">
        <is>
          <t>E4 Manufacturas</t>
        </is>
      </c>
      <c r="D542" s="6" t="n">
        <v>19208890</v>
      </c>
      <c r="E542" s="6" t="inlineStr">
        <is>
          <t>Estados Unidos</t>
        </is>
      </c>
      <c r="F542" s="6" t="n">
        <v>0.9395</v>
      </c>
      <c r="G542" s="6" t="n">
        <v>0</v>
      </c>
      <c r="H542" s="6" t="n">
        <v>0.9395</v>
      </c>
      <c r="I542" s="6" t="n">
        <v>21</v>
      </c>
    </row>
    <row r="543">
      <c r="A543" s="9" t="n">
        <v>2010</v>
      </c>
      <c r="B543" s="9" t="inlineStr">
        <is>
          <t>silice</t>
        </is>
      </c>
      <c r="C543" s="9" t="inlineStr">
        <is>
          <t>E1 Arena silica/cuarzo</t>
        </is>
      </c>
      <c r="D543" s="9" t="n">
        <v>1454082</v>
      </c>
      <c r="E543" s="9" t="inlineStr">
        <is>
          <t>Estados Unidos</t>
        </is>
      </c>
      <c r="F543" s="9" t="n">
        <v>0.8124</v>
      </c>
      <c r="G543" s="9" t="n">
        <v>0</v>
      </c>
      <c r="H543" s="9" t="n">
        <v>0.8124</v>
      </c>
      <c r="I543" s="9" t="n">
        <v>22</v>
      </c>
    </row>
    <row r="544">
      <c r="A544" s="6" t="n">
        <v>2010</v>
      </c>
      <c r="B544" s="6" t="inlineStr">
        <is>
          <t>silice</t>
        </is>
      </c>
      <c r="C544" s="6" t="inlineStr">
        <is>
          <t>E2 Silicio/ferrosilicio/SiO2</t>
        </is>
      </c>
      <c r="D544" s="6" t="n">
        <v>3059973</v>
      </c>
      <c r="E544" s="6" t="inlineStr">
        <is>
          <t>Estados Unidos</t>
        </is>
      </c>
      <c r="F544" s="6" t="n">
        <v>0.5621</v>
      </c>
      <c r="G544" s="6" t="n">
        <v>0</v>
      </c>
      <c r="H544" s="6" t="n">
        <v>0.5621</v>
      </c>
      <c r="I544" s="6" t="n">
        <v>30</v>
      </c>
    </row>
    <row r="545">
      <c r="A545" s="9" t="n">
        <v>2010</v>
      </c>
      <c r="B545" s="9" t="inlineStr">
        <is>
          <t>zinc</t>
        </is>
      </c>
      <c r="C545" s="9" t="inlineStr">
        <is>
          <t>E1 Mena/concentrado</t>
        </is>
      </c>
      <c r="D545" s="9" t="n">
        <v>328503291</v>
      </c>
      <c r="E545" s="9" t="inlineStr">
        <is>
          <t>Corea del Sur</t>
        </is>
      </c>
      <c r="F545" s="9" t="n">
        <v>0.5182</v>
      </c>
      <c r="G545" s="9" t="n">
        <v>0.0944</v>
      </c>
      <c r="H545" s="9" t="n">
        <v>0.0011</v>
      </c>
      <c r="I545" s="9" t="n">
        <v>15</v>
      </c>
    </row>
    <row r="546">
      <c r="A546" s="6" t="n">
        <v>2010</v>
      </c>
      <c r="B546" s="6" t="inlineStr">
        <is>
          <t>zinc</t>
        </is>
      </c>
      <c r="C546" s="6" t="inlineStr">
        <is>
          <t>E2 Metal en bruto/refinado</t>
        </is>
      </c>
      <c r="D546" s="6" t="n">
        <v>456832840</v>
      </c>
      <c r="E546" s="6" t="inlineStr">
        <is>
          <t>Estados Unidos</t>
        </is>
      </c>
      <c r="F546" s="6" t="n">
        <v>0.4029</v>
      </c>
      <c r="G546" s="6" t="n">
        <v>0.0011</v>
      </c>
      <c r="H546" s="6" t="n">
        <v>0.4029</v>
      </c>
      <c r="I546" s="6" t="n">
        <v>33</v>
      </c>
    </row>
    <row r="547">
      <c r="A547" s="9" t="n">
        <v>2010</v>
      </c>
      <c r="B547" s="9" t="inlineStr">
        <is>
          <t>zinc</t>
        </is>
      </c>
      <c r="C547" s="9" t="inlineStr">
        <is>
          <t>E3 Semimanufacturas</t>
        </is>
      </c>
      <c r="D547" s="9" t="n">
        <v>5241474</v>
      </c>
      <c r="E547" s="9" t="inlineStr">
        <is>
          <t>Estados Unidos</t>
        </is>
      </c>
      <c r="F547" s="9" t="n">
        <v>0.764</v>
      </c>
      <c r="G547" s="9" t="n">
        <v>0</v>
      </c>
      <c r="H547" s="9" t="n">
        <v>0.764</v>
      </c>
      <c r="I547" s="9" t="n">
        <v>12</v>
      </c>
    </row>
    <row r="548">
      <c r="A548" s="6" t="n">
        <v>2010</v>
      </c>
      <c r="B548" s="6" t="inlineStr">
        <is>
          <t>zinc</t>
        </is>
      </c>
      <c r="C548" s="6" t="inlineStr">
        <is>
          <t>E4 Manufacturas</t>
        </is>
      </c>
      <c r="D548" s="6" t="n">
        <v>15828589</v>
      </c>
      <c r="E548" s="6" t="inlineStr">
        <is>
          <t>Estados Unidos</t>
        </is>
      </c>
      <c r="F548" s="6" t="n">
        <v>0.8141</v>
      </c>
      <c r="G548" s="6" t="n">
        <v>0.0007</v>
      </c>
      <c r="H548" s="6" t="n">
        <v>0.8141</v>
      </c>
      <c r="I548" s="6" t="n">
        <v>35</v>
      </c>
    </row>
    <row r="549">
      <c r="A549" s="9" t="n">
        <v>2011</v>
      </c>
      <c r="B549" s="9" t="inlineStr">
        <is>
          <t>barita</t>
        </is>
      </c>
      <c r="C549" s="9" t="inlineStr">
        <is>
          <t>E1 Crudo/molido</t>
        </is>
      </c>
      <c r="D549" s="9" t="n">
        <v>4366662</v>
      </c>
      <c r="E549" s="9" t="inlineStr">
        <is>
          <t>Estados Unidos</t>
        </is>
      </c>
      <c r="F549" s="9" t="n">
        <v>0.8272</v>
      </c>
      <c r="G549" s="9" t="n">
        <v>0</v>
      </c>
      <c r="H549" s="9" t="n">
        <v>0.8272</v>
      </c>
      <c r="I549" s="9" t="n">
        <v>5</v>
      </c>
    </row>
    <row r="550">
      <c r="A550" s="6" t="n">
        <v>2011</v>
      </c>
      <c r="B550" s="6" t="inlineStr">
        <is>
          <t>barita</t>
        </is>
      </c>
      <c r="C550" s="6" t="inlineStr">
        <is>
          <t>E2 Quimicos de bario</t>
        </is>
      </c>
      <c r="D550" s="6" t="n">
        <v>13390</v>
      </c>
      <c r="E550" s="6" t="inlineStr">
        <is>
          <t>Estados Unidos</t>
        </is>
      </c>
      <c r="F550" s="6" t="n">
        <v>0.9715</v>
      </c>
      <c r="G550" s="6" t="n">
        <v>0</v>
      </c>
      <c r="H550" s="6" t="n">
        <v>0.9715</v>
      </c>
      <c r="I550" s="6" t="n">
        <v>4</v>
      </c>
    </row>
    <row r="551">
      <c r="A551" s="9" t="n">
        <v>2011</v>
      </c>
      <c r="B551" s="9" t="inlineStr">
        <is>
          <t>cobre</t>
        </is>
      </c>
      <c r="C551" s="9" t="inlineStr">
        <is>
          <t>E1 Mena/concentrado</t>
        </is>
      </c>
      <c r="D551" s="9" t="n">
        <v>1170994128</v>
      </c>
      <c r="E551" s="9" t="inlineStr">
        <is>
          <t>China</t>
        </is>
      </c>
      <c r="F551" s="9" t="n">
        <v>0.8556</v>
      </c>
      <c r="G551" s="9" t="n">
        <v>0.8556</v>
      </c>
      <c r="H551" s="9" t="n">
        <v>0.0335</v>
      </c>
      <c r="I551" s="9" t="n">
        <v>16</v>
      </c>
    </row>
    <row r="552">
      <c r="A552" s="6" t="n">
        <v>2011</v>
      </c>
      <c r="B552" s="6" t="inlineStr">
        <is>
          <t>cobre</t>
        </is>
      </c>
      <c r="C552" s="6" t="inlineStr">
        <is>
          <t>E2 Metal en bruto/refinado</t>
        </is>
      </c>
      <c r="D552" s="6" t="n">
        <v>1395991069</v>
      </c>
      <c r="E552" s="6" t="inlineStr">
        <is>
          <t>Estados Unidos</t>
        </is>
      </c>
      <c r="F552" s="6" t="n">
        <v>0.6673</v>
      </c>
      <c r="G552" s="6" t="n">
        <v>0.2061</v>
      </c>
      <c r="H552" s="6" t="n">
        <v>0.6673</v>
      </c>
      <c r="I552" s="6" t="n">
        <v>29</v>
      </c>
    </row>
    <row r="553">
      <c r="A553" s="9" t="n">
        <v>2011</v>
      </c>
      <c r="B553" s="9" t="inlineStr">
        <is>
          <t>cobre</t>
        </is>
      </c>
      <c r="C553" s="9" t="inlineStr">
        <is>
          <t>E3 Semimanufacturas</t>
        </is>
      </c>
      <c r="D553" s="9" t="n">
        <v>689737323</v>
      </c>
      <c r="E553" s="9" t="inlineStr">
        <is>
          <t>Estados Unidos</t>
        </is>
      </c>
      <c r="F553" s="9" t="n">
        <v>0.7076</v>
      </c>
      <c r="G553" s="9" t="n">
        <v>0.0003</v>
      </c>
      <c r="H553" s="9" t="n">
        <v>0.7076</v>
      </c>
      <c r="I553" s="9" t="n">
        <v>67</v>
      </c>
    </row>
    <row r="554">
      <c r="A554" s="6" t="n">
        <v>2011</v>
      </c>
      <c r="B554" s="6" t="inlineStr">
        <is>
          <t>cobre</t>
        </is>
      </c>
      <c r="C554" s="6" t="inlineStr">
        <is>
          <t>E4 Manufacturas</t>
        </is>
      </c>
      <c r="D554" s="6" t="n">
        <v>147208017</v>
      </c>
      <c r="E554" s="6" t="inlineStr">
        <is>
          <t>China</t>
        </is>
      </c>
      <c r="F554" s="6" t="n">
        <v>0.5765</v>
      </c>
      <c r="G554" s="6" t="n">
        <v>0.5765</v>
      </c>
      <c r="H554" s="6" t="n">
        <v>0.2945</v>
      </c>
      <c r="I554" s="6" t="n">
        <v>63</v>
      </c>
    </row>
    <row r="555">
      <c r="A555" s="9" t="n">
        <v>2011</v>
      </c>
      <c r="B555" s="9" t="inlineStr">
        <is>
          <t>fluorita</t>
        </is>
      </c>
      <c r="C555" s="9" t="inlineStr">
        <is>
          <t>E1 Espato fluor (crudo)</t>
        </is>
      </c>
      <c r="D555" s="9" t="n">
        <v>152988640</v>
      </c>
      <c r="E555" s="9" t="inlineStr">
        <is>
          <t>Estados Unidos</t>
        </is>
      </c>
      <c r="F555" s="9" t="n">
        <v>0.4198</v>
      </c>
      <c r="G555" s="9" t="n">
        <v>0</v>
      </c>
      <c r="H555" s="9" t="n">
        <v>0.4198</v>
      </c>
      <c r="I555" s="9" t="n">
        <v>34</v>
      </c>
    </row>
    <row r="556">
      <c r="A556" s="6" t="n">
        <v>2011</v>
      </c>
      <c r="B556" s="6" t="inlineStr">
        <is>
          <t>fluorita</t>
        </is>
      </c>
      <c r="C556" s="6" t="inlineStr">
        <is>
          <t>E2 Fluoroquimica</t>
        </is>
      </c>
      <c r="D556" s="6" t="n">
        <v>176693443</v>
      </c>
      <c r="E556" s="6" t="inlineStr">
        <is>
          <t>Estados Unidos</t>
        </is>
      </c>
      <c r="F556" s="6" t="n">
        <v>0.9018</v>
      </c>
      <c r="G556" s="6" t="n">
        <v>0</v>
      </c>
      <c r="H556" s="6" t="n">
        <v>0.9018</v>
      </c>
      <c r="I556" s="6" t="n">
        <v>18</v>
      </c>
    </row>
    <row r="557">
      <c r="A557" s="9" t="n">
        <v>2011</v>
      </c>
      <c r="B557" s="9" t="inlineStr">
        <is>
          <t>grafito</t>
        </is>
      </c>
      <c r="C557" s="9" t="inlineStr">
        <is>
          <t>E1 Grafito natural</t>
        </is>
      </c>
      <c r="D557" s="9" t="n">
        <v>5648984</v>
      </c>
      <c r="E557" s="9" t="inlineStr">
        <is>
          <t>Estados Unidos</t>
        </is>
      </c>
      <c r="F557" s="9" t="n">
        <v>0.9495</v>
      </c>
      <c r="G557" s="9" t="n">
        <v>0</v>
      </c>
      <c r="H557" s="9" t="n">
        <v>0.9495</v>
      </c>
      <c r="I557" s="9" t="n">
        <v>8</v>
      </c>
    </row>
    <row r="558">
      <c r="A558" s="6" t="n">
        <v>2011</v>
      </c>
      <c r="B558" s="6" t="inlineStr">
        <is>
          <t>grafito</t>
        </is>
      </c>
      <c r="C558" s="6" t="inlineStr">
        <is>
          <t>E2 Grafito artificial/prep.</t>
        </is>
      </c>
      <c r="D558" s="6" t="n">
        <v>15799905</v>
      </c>
      <c r="E558" s="6" t="inlineStr">
        <is>
          <t>Estados Unidos</t>
        </is>
      </c>
      <c r="F558" s="6" t="n">
        <v>0.4252</v>
      </c>
      <c r="G558" s="6" t="n">
        <v>0</v>
      </c>
      <c r="H558" s="6" t="n">
        <v>0.4252</v>
      </c>
      <c r="I558" s="6" t="n">
        <v>28</v>
      </c>
    </row>
    <row r="559">
      <c r="A559" s="9" t="n">
        <v>2011</v>
      </c>
      <c r="B559" s="9" t="inlineStr">
        <is>
          <t>grafito</t>
        </is>
      </c>
      <c r="C559" s="9" t="inlineStr">
        <is>
          <t>E3 Electrodos/articulos de carbono</t>
        </is>
      </c>
      <c r="D559" s="9" t="n">
        <v>119905008</v>
      </c>
      <c r="E559" s="9" t="inlineStr">
        <is>
          <t>Estados Unidos</t>
        </is>
      </c>
      <c r="F559" s="9" t="n">
        <v>0.5548</v>
      </c>
      <c r="G559" s="9" t="n">
        <v>0.0584</v>
      </c>
      <c r="H559" s="9" t="n">
        <v>0.5548</v>
      </c>
      <c r="I559" s="9" t="n">
        <v>50</v>
      </c>
    </row>
    <row r="560">
      <c r="A560" s="6" t="n">
        <v>2011</v>
      </c>
      <c r="B560" s="6" t="inlineStr">
        <is>
          <t>manganeso</t>
        </is>
      </c>
      <c r="C560" s="6" t="inlineStr">
        <is>
          <t>E1 Mena/concentrado</t>
        </is>
      </c>
      <c r="D560" s="6" t="n">
        <v>3948600</v>
      </c>
      <c r="E560" s="6" t="inlineStr">
        <is>
          <t>Estados Unidos</t>
        </is>
      </c>
      <c r="F560" s="6" t="n">
        <v>0.2698</v>
      </c>
      <c r="G560" s="6" t="n">
        <v>0.1082</v>
      </c>
      <c r="H560" s="6" t="n">
        <v>0.2698</v>
      </c>
      <c r="I560" s="6" t="n">
        <v>12</v>
      </c>
    </row>
    <row r="561">
      <c r="A561" s="9" t="n">
        <v>2011</v>
      </c>
      <c r="B561" s="9" t="inlineStr">
        <is>
          <t>manganeso</t>
        </is>
      </c>
      <c r="C561" s="9" t="inlineStr">
        <is>
          <t>E2 Ferroaleaciones</t>
        </is>
      </c>
      <c r="D561" s="9" t="n">
        <v>100540800</v>
      </c>
      <c r="E561" s="9" t="inlineStr">
        <is>
          <t>Estados Unidos</t>
        </is>
      </c>
      <c r="F561" s="9" t="n">
        <v>0.5012</v>
      </c>
      <c r="G561" s="9" t="n">
        <v>0.0032</v>
      </c>
      <c r="H561" s="9" t="n">
        <v>0.5012</v>
      </c>
      <c r="I561" s="9" t="n">
        <v>28</v>
      </c>
    </row>
    <row r="562">
      <c r="A562" s="6" t="n">
        <v>2011</v>
      </c>
      <c r="B562" s="6" t="inlineStr">
        <is>
          <t>manganeso</t>
        </is>
      </c>
      <c r="C562" s="6" t="inlineStr">
        <is>
          <t>E3 Quimicos/metal</t>
        </is>
      </c>
      <c r="D562" s="6" t="n">
        <v>1553177</v>
      </c>
      <c r="E562" s="6" t="inlineStr">
        <is>
          <t>Estados Unidos</t>
        </is>
      </c>
      <c r="F562" s="6" t="n">
        <v>0.631</v>
      </c>
      <c r="G562" s="6" t="n">
        <v>0.0352</v>
      </c>
      <c r="H562" s="6" t="n">
        <v>0.631</v>
      </c>
      <c r="I562" s="6" t="n">
        <v>17</v>
      </c>
    </row>
    <row r="563">
      <c r="A563" s="9" t="n">
        <v>2011</v>
      </c>
      <c r="B563" s="9" t="inlineStr">
        <is>
          <t>oro</t>
        </is>
      </c>
      <c r="C563" s="9" t="inlineStr">
        <is>
          <t>E1 Mena/concentrado</t>
        </is>
      </c>
      <c r="D563" s="9" t="n">
        <v>151638195</v>
      </c>
      <c r="E563" s="9" t="inlineStr">
        <is>
          <t>Peru</t>
        </is>
      </c>
      <c r="F563" s="9" t="n">
        <v>0.3443</v>
      </c>
      <c r="G563" s="9" t="n">
        <v>0.2341</v>
      </c>
      <c r="H563" s="9" t="n">
        <v>0.0001</v>
      </c>
      <c r="I563" s="9" t="n">
        <v>9</v>
      </c>
    </row>
    <row r="564">
      <c r="A564" s="6" t="n">
        <v>2011</v>
      </c>
      <c r="B564" s="6" t="inlineStr">
        <is>
          <t>oro</t>
        </is>
      </c>
      <c r="C564" s="6" t="inlineStr">
        <is>
          <t>E2 Bruto/semilabrado</t>
        </is>
      </c>
      <c r="D564" s="6" t="n">
        <v>7721008673</v>
      </c>
      <c r="E564" s="6" t="inlineStr">
        <is>
          <t>Estados Unidos</t>
        </is>
      </c>
      <c r="F564" s="6" t="n">
        <v>0.7093</v>
      </c>
      <c r="G564" s="6" t="n">
        <v>0</v>
      </c>
      <c r="H564" s="6" t="n">
        <v>0.7093</v>
      </c>
      <c r="I564" s="6" t="n">
        <v>13</v>
      </c>
    </row>
    <row r="565">
      <c r="A565" s="9" t="n">
        <v>2011</v>
      </c>
      <c r="B565" s="9" t="inlineStr">
        <is>
          <t>oro-plata (manufacturas)</t>
        </is>
      </c>
      <c r="C565" s="9" t="inlineStr">
        <is>
          <t>E4 Joyeria/orfebreria</t>
        </is>
      </c>
      <c r="D565" s="9" t="n">
        <v>614406830</v>
      </c>
      <c r="E565" s="9" t="inlineStr">
        <is>
          <t>Estados Unidos</t>
        </is>
      </c>
      <c r="F565" s="9" t="n">
        <v>0.8837</v>
      </c>
      <c r="G565" s="9" t="n">
        <v>0</v>
      </c>
      <c r="H565" s="9" t="n">
        <v>0.8837</v>
      </c>
      <c r="I565" s="9" t="n">
        <v>58</v>
      </c>
    </row>
    <row r="566">
      <c r="A566" s="6" t="n">
        <v>2011</v>
      </c>
      <c r="B566" s="6" t="inlineStr">
        <is>
          <t>plata</t>
        </is>
      </c>
      <c r="C566" s="6" t="inlineStr">
        <is>
          <t>E1 Mena/concentrado</t>
        </is>
      </c>
      <c r="D566" s="6" t="n">
        <v>109669779</v>
      </c>
      <c r="E566" s="6" t="inlineStr">
        <is>
          <t>Estados Unidos</t>
        </is>
      </c>
      <c r="F566" s="6" t="n">
        <v>0.9932</v>
      </c>
      <c r="G566" s="6" t="n">
        <v>0.0041</v>
      </c>
      <c r="H566" s="6" t="n">
        <v>0.9932</v>
      </c>
      <c r="I566" s="6" t="n">
        <v>4</v>
      </c>
    </row>
    <row r="567">
      <c r="A567" s="9" t="n">
        <v>2011</v>
      </c>
      <c r="B567" s="9" t="inlineStr">
        <is>
          <t>plata</t>
        </is>
      </c>
      <c r="C567" s="9" t="inlineStr">
        <is>
          <t>E2 Bruto/semilabrado</t>
        </is>
      </c>
      <c r="D567" s="9" t="n">
        <v>4514898646</v>
      </c>
      <c r="E567" s="9" t="inlineStr">
        <is>
          <t>Estados Unidos</t>
        </is>
      </c>
      <c r="F567" s="9" t="n">
        <v>0.8442</v>
      </c>
      <c r="G567" s="9" t="n">
        <v>0</v>
      </c>
      <c r="H567" s="9" t="n">
        <v>0.8442</v>
      </c>
      <c r="I567" s="9" t="n">
        <v>26</v>
      </c>
    </row>
    <row r="568">
      <c r="A568" s="6" t="n">
        <v>2011</v>
      </c>
      <c r="B568" s="6" t="inlineStr">
        <is>
          <t>plomo</t>
        </is>
      </c>
      <c r="C568" s="6" t="inlineStr">
        <is>
          <t>E1 Mena/concentrado</t>
        </is>
      </c>
      <c r="D568" s="6" t="n">
        <v>927940559</v>
      </c>
      <c r="E568" s="6" t="inlineStr">
        <is>
          <t>Corea del Sur</t>
        </is>
      </c>
      <c r="F568" s="6" t="n">
        <v>0.2911</v>
      </c>
      <c r="G568" s="6" t="n">
        <v>0.1894</v>
      </c>
      <c r="H568" s="6" t="n">
        <v>0</v>
      </c>
      <c r="I568" s="6" t="n">
        <v>9</v>
      </c>
    </row>
    <row r="569">
      <c r="A569" s="9" t="n">
        <v>2011</v>
      </c>
      <c r="B569" s="9" t="inlineStr">
        <is>
          <t>plomo</t>
        </is>
      </c>
      <c r="C569" s="9" t="inlineStr">
        <is>
          <t>E2 Metal en bruto/refinado</t>
        </is>
      </c>
      <c r="D569" s="9" t="n">
        <v>306845787</v>
      </c>
      <c r="E569" s="9" t="inlineStr">
        <is>
          <t>Brasil</t>
        </is>
      </c>
      <c r="F569" s="9" t="n">
        <v>0.308</v>
      </c>
      <c r="G569" s="9" t="n">
        <v>0.0558</v>
      </c>
      <c r="H569" s="9" t="n">
        <v>0.2734</v>
      </c>
      <c r="I569" s="9" t="n">
        <v>21</v>
      </c>
    </row>
    <row r="570">
      <c r="A570" s="6" t="n">
        <v>2011</v>
      </c>
      <c r="B570" s="6" t="inlineStr">
        <is>
          <t>plomo</t>
        </is>
      </c>
      <c r="C570" s="6" t="inlineStr">
        <is>
          <t>E3 Semimanufacturas</t>
        </is>
      </c>
      <c r="D570" s="6" t="n">
        <v>1019152</v>
      </c>
      <c r="E570" s="6" t="inlineStr">
        <is>
          <t>socio_699</t>
        </is>
      </c>
      <c r="F570" s="6" t="n">
        <v>0.9439</v>
      </c>
      <c r="G570" s="6" t="n">
        <v>0</v>
      </c>
      <c r="H570" s="6" t="n">
        <v>0.0148</v>
      </c>
      <c r="I570" s="6" t="n">
        <v>4</v>
      </c>
    </row>
    <row r="571">
      <c r="A571" s="9" t="n">
        <v>2011</v>
      </c>
      <c r="B571" s="9" t="inlineStr">
        <is>
          <t>plomo</t>
        </is>
      </c>
      <c r="C571" s="9" t="inlineStr">
        <is>
          <t>E4 Manufacturas</t>
        </is>
      </c>
      <c r="D571" s="9" t="n">
        <v>17614810</v>
      </c>
      <c r="E571" s="9" t="inlineStr">
        <is>
          <t>Estados Unidos</t>
        </is>
      </c>
      <c r="F571" s="9" t="n">
        <v>0.9154</v>
      </c>
      <c r="G571" s="9" t="n">
        <v>0</v>
      </c>
      <c r="H571" s="9" t="n">
        <v>0.9154</v>
      </c>
      <c r="I571" s="9" t="n">
        <v>21</v>
      </c>
    </row>
    <row r="572">
      <c r="A572" s="6" t="n">
        <v>2011</v>
      </c>
      <c r="B572" s="6" t="inlineStr">
        <is>
          <t>silice</t>
        </is>
      </c>
      <c r="C572" s="6" t="inlineStr">
        <is>
          <t>E1 Arena silica/cuarzo</t>
        </is>
      </c>
      <c r="D572" s="6" t="n">
        <v>1665762</v>
      </c>
      <c r="E572" s="6" t="inlineStr">
        <is>
          <t>Estados Unidos</t>
        </is>
      </c>
      <c r="F572" s="6" t="n">
        <v>0.5898</v>
      </c>
      <c r="G572" s="6" t="n">
        <v>0</v>
      </c>
      <c r="H572" s="6" t="n">
        <v>0.5898</v>
      </c>
      <c r="I572" s="6" t="n">
        <v>21</v>
      </c>
    </row>
    <row r="573">
      <c r="A573" s="9" t="n">
        <v>2011</v>
      </c>
      <c r="B573" s="9" t="inlineStr">
        <is>
          <t>silice</t>
        </is>
      </c>
      <c r="C573" s="9" t="inlineStr">
        <is>
          <t>E2 Silicio/ferrosilicio/SiO2</t>
        </is>
      </c>
      <c r="D573" s="9" t="n">
        <v>4849218</v>
      </c>
      <c r="E573" s="9" t="inlineStr">
        <is>
          <t>Estados Unidos</t>
        </is>
      </c>
      <c r="F573" s="9" t="n">
        <v>0.4819</v>
      </c>
      <c r="G573" s="9" t="n">
        <v>0</v>
      </c>
      <c r="H573" s="9" t="n">
        <v>0.4819</v>
      </c>
      <c r="I573" s="9" t="n">
        <v>26</v>
      </c>
    </row>
    <row r="574">
      <c r="A574" s="6" t="n">
        <v>2011</v>
      </c>
      <c r="B574" s="6" t="inlineStr">
        <is>
          <t>zinc</t>
        </is>
      </c>
      <c r="C574" s="6" t="inlineStr">
        <is>
          <t>E1 Mena/concentrado</t>
        </is>
      </c>
      <c r="D574" s="6" t="n">
        <v>441759771</v>
      </c>
      <c r="E574" s="6" t="inlineStr">
        <is>
          <t>Corea del Sur</t>
        </is>
      </c>
      <c r="F574" s="6" t="n">
        <v>0.546</v>
      </c>
      <c r="G574" s="6" t="n">
        <v>0.0232</v>
      </c>
      <c r="H574" s="6" t="n">
        <v>0.012</v>
      </c>
      <c r="I574" s="6" t="n">
        <v>14</v>
      </c>
    </row>
    <row r="575">
      <c r="A575" s="9" t="n">
        <v>2011</v>
      </c>
      <c r="B575" s="9" t="inlineStr">
        <is>
          <t>zinc</t>
        </is>
      </c>
      <c r="C575" s="9" t="inlineStr">
        <is>
          <t>E2 Metal en bruto/refinado</t>
        </is>
      </c>
      <c r="D575" s="9" t="n">
        <v>464607937</v>
      </c>
      <c r="E575" s="9" t="inlineStr">
        <is>
          <t>Estados Unidos</t>
        </is>
      </c>
      <c r="F575" s="9" t="n">
        <v>0.4417</v>
      </c>
      <c r="G575" s="9" t="n">
        <v>0.0055</v>
      </c>
      <c r="H575" s="9" t="n">
        <v>0.4417</v>
      </c>
      <c r="I575" s="9" t="n">
        <v>34</v>
      </c>
    </row>
    <row r="576">
      <c r="A576" s="6" t="n">
        <v>2011</v>
      </c>
      <c r="B576" s="6" t="inlineStr">
        <is>
          <t>zinc</t>
        </is>
      </c>
      <c r="C576" s="6" t="inlineStr">
        <is>
          <t>E3 Semimanufacturas</t>
        </is>
      </c>
      <c r="D576" s="6" t="n">
        <v>8537540</v>
      </c>
      <c r="E576" s="6" t="inlineStr">
        <is>
          <t>Estados Unidos</t>
        </is>
      </c>
      <c r="F576" s="6" t="n">
        <v>0.789</v>
      </c>
      <c r="G576" s="6" t="n">
        <v>0</v>
      </c>
      <c r="H576" s="6" t="n">
        <v>0.789</v>
      </c>
      <c r="I576" s="6" t="n">
        <v>16</v>
      </c>
    </row>
    <row r="577">
      <c r="A577" s="9" t="n">
        <v>2011</v>
      </c>
      <c r="B577" s="9" t="inlineStr">
        <is>
          <t>zinc</t>
        </is>
      </c>
      <c r="C577" s="9" t="inlineStr">
        <is>
          <t>E4 Manufacturas</t>
        </is>
      </c>
      <c r="D577" s="9" t="n">
        <v>18168388</v>
      </c>
      <c r="E577" s="9" t="inlineStr">
        <is>
          <t>Estados Unidos</t>
        </is>
      </c>
      <c r="F577" s="9" t="n">
        <v>0.8227</v>
      </c>
      <c r="G577" s="9" t="n">
        <v>0.0002</v>
      </c>
      <c r="H577" s="9" t="n">
        <v>0.8227</v>
      </c>
      <c r="I577" s="9" t="n">
        <v>31</v>
      </c>
    </row>
    <row r="578">
      <c r="A578" s="6" t="n">
        <v>2012</v>
      </c>
      <c r="B578" s="6" t="inlineStr">
        <is>
          <t>barita</t>
        </is>
      </c>
      <c r="C578" s="6" t="inlineStr">
        <is>
          <t>E1 Crudo/molido</t>
        </is>
      </c>
      <c r="D578" s="6" t="n">
        <v>12563124</v>
      </c>
      <c r="E578" s="6" t="inlineStr">
        <is>
          <t>Estados Unidos</t>
        </is>
      </c>
      <c r="F578" s="6" t="n">
        <v>0.6349</v>
      </c>
      <c r="G578" s="6" t="n">
        <v>0</v>
      </c>
      <c r="H578" s="6" t="n">
        <v>0.6349</v>
      </c>
      <c r="I578" s="6" t="n">
        <v>7</v>
      </c>
    </row>
    <row r="579">
      <c r="A579" s="9" t="n">
        <v>2012</v>
      </c>
      <c r="B579" s="9" t="inlineStr">
        <is>
          <t>barita</t>
        </is>
      </c>
      <c r="C579" s="9" t="inlineStr">
        <is>
          <t>E2 Quimicos de bario</t>
        </is>
      </c>
      <c r="D579" s="9" t="n">
        <v>208</v>
      </c>
      <c r="E579" s="9" t="inlineStr">
        <is>
          <t>Estados Unidos</t>
        </is>
      </c>
      <c r="F579" s="9" t="n">
        <v>0.5192</v>
      </c>
      <c r="G579" s="9" t="n">
        <v>0</v>
      </c>
      <c r="H579" s="9" t="n">
        <v>0.5192</v>
      </c>
      <c r="I579" s="9" t="n">
        <v>4</v>
      </c>
    </row>
    <row r="580">
      <c r="A580" s="6" t="n">
        <v>2012</v>
      </c>
      <c r="B580" s="6" t="inlineStr">
        <is>
          <t>cobre</t>
        </is>
      </c>
      <c r="C580" s="6" t="inlineStr">
        <is>
          <t>E1 Mena/concentrado</t>
        </is>
      </c>
      <c r="D580" s="6" t="n">
        <v>1362964233</v>
      </c>
      <c r="E580" s="6" t="inlineStr">
        <is>
          <t>China</t>
        </is>
      </c>
      <c r="F580" s="6" t="n">
        <v>0.8649</v>
      </c>
      <c r="G580" s="6" t="n">
        <v>0.8649</v>
      </c>
      <c r="H580" s="6" t="n">
        <v>0.0214</v>
      </c>
      <c r="I580" s="6" t="n">
        <v>13</v>
      </c>
    </row>
    <row r="581">
      <c r="A581" s="9" t="n">
        <v>2012</v>
      </c>
      <c r="B581" s="9" t="inlineStr">
        <is>
          <t>cobre</t>
        </is>
      </c>
      <c r="C581" s="9" t="inlineStr">
        <is>
          <t>E2 Metal en bruto/refinado</t>
        </is>
      </c>
      <c r="D581" s="9" t="n">
        <v>1173766546</v>
      </c>
      <c r="E581" s="9" t="inlineStr">
        <is>
          <t>Estados Unidos</t>
        </is>
      </c>
      <c r="F581" s="9" t="n">
        <v>0.6647</v>
      </c>
      <c r="G581" s="9" t="n">
        <v>0.1823</v>
      </c>
      <c r="H581" s="9" t="n">
        <v>0.6647</v>
      </c>
      <c r="I581" s="9" t="n">
        <v>27</v>
      </c>
    </row>
    <row r="582">
      <c r="A582" s="6" t="n">
        <v>2012</v>
      </c>
      <c r="B582" s="6" t="inlineStr">
        <is>
          <t>cobre</t>
        </is>
      </c>
      <c r="C582" s="6" t="inlineStr">
        <is>
          <t>E3 Semimanufacturas</t>
        </is>
      </c>
      <c r="D582" s="6" t="n">
        <v>657834855</v>
      </c>
      <c r="E582" s="6" t="inlineStr">
        <is>
          <t>Estados Unidos</t>
        </is>
      </c>
      <c r="F582" s="6" t="n">
        <v>0.666</v>
      </c>
      <c r="G582" s="6" t="n">
        <v>0.0003</v>
      </c>
      <c r="H582" s="6" t="n">
        <v>0.666</v>
      </c>
      <c r="I582" s="6" t="n">
        <v>67</v>
      </c>
    </row>
    <row r="583">
      <c r="A583" s="9" t="n">
        <v>2012</v>
      </c>
      <c r="B583" s="9" t="inlineStr">
        <is>
          <t>cobre</t>
        </is>
      </c>
      <c r="C583" s="9" t="inlineStr">
        <is>
          <t>E4 Manufacturas</t>
        </is>
      </c>
      <c r="D583" s="9" t="n">
        <v>50509729</v>
      </c>
      <c r="E583" s="9" t="inlineStr">
        <is>
          <t>Estados Unidos</t>
        </is>
      </c>
      <c r="F583" s="9" t="n">
        <v>0.8421</v>
      </c>
      <c r="G583" s="9" t="n">
        <v>0.0992</v>
      </c>
      <c r="H583" s="9" t="n">
        <v>0.8421</v>
      </c>
      <c r="I583" s="9" t="n">
        <v>63</v>
      </c>
    </row>
    <row r="584">
      <c r="A584" s="6" t="n">
        <v>2012</v>
      </c>
      <c r="B584" s="6" t="inlineStr">
        <is>
          <t>fluorita</t>
        </is>
      </c>
      <c r="C584" s="6" t="inlineStr">
        <is>
          <t>E1 Espato fluor (crudo)</t>
        </is>
      </c>
      <c r="D584" s="6" t="n">
        <v>207835946</v>
      </c>
      <c r="E584" s="6" t="inlineStr">
        <is>
          <t>Estados Unidos</t>
        </is>
      </c>
      <c r="F584" s="6" t="n">
        <v>0.3793</v>
      </c>
      <c r="G584" s="6" t="n">
        <v>0</v>
      </c>
      <c r="H584" s="6" t="n">
        <v>0.3793</v>
      </c>
      <c r="I584" s="6" t="n">
        <v>31</v>
      </c>
    </row>
    <row r="585">
      <c r="A585" s="9" t="n">
        <v>2012</v>
      </c>
      <c r="B585" s="9" t="inlineStr">
        <is>
          <t>fluorita</t>
        </is>
      </c>
      <c r="C585" s="9" t="inlineStr">
        <is>
          <t>E2 Fluoroquimica</t>
        </is>
      </c>
      <c r="D585" s="9" t="n">
        <v>244261432</v>
      </c>
      <c r="E585" s="9" t="inlineStr">
        <is>
          <t>Estados Unidos</t>
        </is>
      </c>
      <c r="F585" s="9" t="n">
        <v>0.8781</v>
      </c>
      <c r="G585" s="9" t="n">
        <v>0</v>
      </c>
      <c r="H585" s="9" t="n">
        <v>0.8781</v>
      </c>
      <c r="I585" s="9" t="n">
        <v>19</v>
      </c>
    </row>
    <row r="586">
      <c r="A586" s="6" t="n">
        <v>2012</v>
      </c>
      <c r="B586" s="6" t="inlineStr">
        <is>
          <t>grafito</t>
        </is>
      </c>
      <c r="C586" s="6" t="inlineStr">
        <is>
          <t>E1 Grafito natural</t>
        </is>
      </c>
      <c r="D586" s="6" t="n">
        <v>7342268</v>
      </c>
      <c r="E586" s="6" t="inlineStr">
        <is>
          <t>Estados Unidos</t>
        </is>
      </c>
      <c r="F586" s="6" t="n">
        <v>0.8649</v>
      </c>
      <c r="G586" s="6" t="n">
        <v>0</v>
      </c>
      <c r="H586" s="6" t="n">
        <v>0.8649</v>
      </c>
      <c r="I586" s="6" t="n">
        <v>7</v>
      </c>
    </row>
    <row r="587">
      <c r="A587" s="9" t="n">
        <v>2012</v>
      </c>
      <c r="B587" s="9" t="inlineStr">
        <is>
          <t>grafito</t>
        </is>
      </c>
      <c r="C587" s="9" t="inlineStr">
        <is>
          <t>E2 Grafito artificial/prep.</t>
        </is>
      </c>
      <c r="D587" s="9" t="n">
        <v>22915790</v>
      </c>
      <c r="E587" s="9" t="inlineStr">
        <is>
          <t>Brasil</t>
        </is>
      </c>
      <c r="F587" s="9" t="n">
        <v>0.5782</v>
      </c>
      <c r="G587" s="9" t="n">
        <v>0.0517</v>
      </c>
      <c r="H587" s="9" t="n">
        <v>0.2757</v>
      </c>
      <c r="I587" s="9" t="n">
        <v>30</v>
      </c>
    </row>
    <row r="588">
      <c r="A588" s="6" t="n">
        <v>2012</v>
      </c>
      <c r="B588" s="6" t="inlineStr">
        <is>
          <t>grafito</t>
        </is>
      </c>
      <c r="C588" s="6" t="inlineStr">
        <is>
          <t>E3 Electrodos/articulos de carbono</t>
        </is>
      </c>
      <c r="D588" s="6" t="n">
        <v>119834149</v>
      </c>
      <c r="E588" s="6" t="inlineStr">
        <is>
          <t>Estados Unidos</t>
        </is>
      </c>
      <c r="F588" s="6" t="n">
        <v>0.4507</v>
      </c>
      <c r="G588" s="6" t="n">
        <v>0.0684</v>
      </c>
      <c r="H588" s="6" t="n">
        <v>0.4507</v>
      </c>
      <c r="I588" s="6" t="n">
        <v>48</v>
      </c>
    </row>
    <row r="589">
      <c r="A589" s="9" t="n">
        <v>2012</v>
      </c>
      <c r="B589" s="9" t="inlineStr">
        <is>
          <t>manganeso</t>
        </is>
      </c>
      <c r="C589" s="9" t="inlineStr">
        <is>
          <t>E1 Mena/concentrado</t>
        </is>
      </c>
      <c r="D589" s="9" t="n">
        <v>3592455</v>
      </c>
      <c r="E589" s="9" t="inlineStr">
        <is>
          <t>Estados Unidos</t>
        </is>
      </c>
      <c r="F589" s="9" t="n">
        <v>0.3457</v>
      </c>
      <c r="G589" s="9" t="n">
        <v>0.0129</v>
      </c>
      <c r="H589" s="9" t="n">
        <v>0.3457</v>
      </c>
      <c r="I589" s="9" t="n">
        <v>10</v>
      </c>
    </row>
    <row r="590">
      <c r="A590" s="6" t="n">
        <v>2012</v>
      </c>
      <c r="B590" s="6" t="inlineStr">
        <is>
          <t>manganeso</t>
        </is>
      </c>
      <c r="C590" s="6" t="inlineStr">
        <is>
          <t>E2 Ferroaleaciones</t>
        </is>
      </c>
      <c r="D590" s="6" t="n">
        <v>84064418</v>
      </c>
      <c r="E590" s="6" t="inlineStr">
        <is>
          <t>Estados Unidos</t>
        </is>
      </c>
      <c r="F590" s="6" t="n">
        <v>0.6166</v>
      </c>
      <c r="G590" s="6" t="n">
        <v>0</v>
      </c>
      <c r="H590" s="6" t="n">
        <v>0.6166</v>
      </c>
      <c r="I590" s="6" t="n">
        <v>31</v>
      </c>
    </row>
    <row r="591">
      <c r="A591" s="9" t="n">
        <v>2012</v>
      </c>
      <c r="B591" s="9" t="inlineStr">
        <is>
          <t>manganeso</t>
        </is>
      </c>
      <c r="C591" s="9" t="inlineStr">
        <is>
          <t>E3 Quimicos/metal</t>
        </is>
      </c>
      <c r="D591" s="9" t="n">
        <v>1849397</v>
      </c>
      <c r="E591" s="9" t="inlineStr">
        <is>
          <t>Estados Unidos</t>
        </is>
      </c>
      <c r="F591" s="9" t="n">
        <v>0.6284</v>
      </c>
      <c r="G591" s="9" t="n">
        <v>0</v>
      </c>
      <c r="H591" s="9" t="n">
        <v>0.6284</v>
      </c>
      <c r="I591" s="9" t="n">
        <v>15</v>
      </c>
    </row>
    <row r="592">
      <c r="A592" s="6" t="n">
        <v>2012</v>
      </c>
      <c r="B592" s="6" t="inlineStr">
        <is>
          <t>oro</t>
        </is>
      </c>
      <c r="C592" s="6" t="inlineStr">
        <is>
          <t>E1 Mena/concentrado</t>
        </is>
      </c>
      <c r="D592" s="6" t="n">
        <v>170876680</v>
      </c>
      <c r="E592" s="6" t="inlineStr">
        <is>
          <t>Corea del Sur</t>
        </is>
      </c>
      <c r="F592" s="6" t="n">
        <v>0.4609</v>
      </c>
      <c r="G592" s="6" t="n">
        <v>0.1735</v>
      </c>
      <c r="H592" s="6" t="n">
        <v>0.0525</v>
      </c>
      <c r="I592" s="6" t="n">
        <v>9</v>
      </c>
    </row>
    <row r="593">
      <c r="A593" s="9" t="n">
        <v>2012</v>
      </c>
      <c r="B593" s="9" t="inlineStr">
        <is>
          <t>oro</t>
        </is>
      </c>
      <c r="C593" s="9" t="inlineStr">
        <is>
          <t>E2 Bruto/semilabrado</t>
        </is>
      </c>
      <c r="D593" s="9" t="n">
        <v>7974076269</v>
      </c>
      <c r="E593" s="9" t="inlineStr">
        <is>
          <t>Estados Unidos</t>
        </is>
      </c>
      <c r="F593" s="9" t="n">
        <v>0.6796</v>
      </c>
      <c r="G593" s="9" t="n">
        <v>0</v>
      </c>
      <c r="H593" s="9" t="n">
        <v>0.6796</v>
      </c>
      <c r="I593" s="9" t="n">
        <v>11</v>
      </c>
    </row>
    <row r="594">
      <c r="A594" s="6" t="n">
        <v>2012</v>
      </c>
      <c r="B594" s="6" t="inlineStr">
        <is>
          <t>oro-plata (manufacturas)</t>
        </is>
      </c>
      <c r="C594" s="6" t="inlineStr">
        <is>
          <t>E4 Joyeria/orfebreria</t>
        </is>
      </c>
      <c r="D594" s="6" t="n">
        <v>528572883</v>
      </c>
      <c r="E594" s="6" t="inlineStr">
        <is>
          <t>Estados Unidos</t>
        </is>
      </c>
      <c r="F594" s="6" t="n">
        <v>0.8673999999999999</v>
      </c>
      <c r="G594" s="6" t="n">
        <v>0.0002</v>
      </c>
      <c r="H594" s="6" t="n">
        <v>0.8673999999999999</v>
      </c>
      <c r="I594" s="6" t="n">
        <v>63</v>
      </c>
    </row>
    <row r="595">
      <c r="A595" s="9" t="n">
        <v>2012</v>
      </c>
      <c r="B595" s="9" t="inlineStr">
        <is>
          <t>plata</t>
        </is>
      </c>
      <c r="C595" s="9" t="inlineStr">
        <is>
          <t>E1 Mena/concentrado</t>
        </is>
      </c>
      <c r="D595" s="9" t="n">
        <v>36011593</v>
      </c>
      <c r="E595" s="9" t="inlineStr">
        <is>
          <t>Estados Unidos</t>
        </is>
      </c>
      <c r="F595" s="9" t="n">
        <v>0.8401</v>
      </c>
      <c r="G595" s="9" t="n">
        <v>0.0579</v>
      </c>
      <c r="H595" s="9" t="n">
        <v>0.8401</v>
      </c>
      <c r="I595" s="9" t="n">
        <v>7</v>
      </c>
    </row>
    <row r="596">
      <c r="A596" s="6" t="n">
        <v>2012</v>
      </c>
      <c r="B596" s="6" t="inlineStr">
        <is>
          <t>plata</t>
        </is>
      </c>
      <c r="C596" s="6" t="inlineStr">
        <is>
          <t>E2 Bruto/semilabrado</t>
        </is>
      </c>
      <c r="D596" s="6" t="n">
        <v>4269669360</v>
      </c>
      <c r="E596" s="6" t="inlineStr">
        <is>
          <t>Estados Unidos</t>
        </is>
      </c>
      <c r="F596" s="6" t="n">
        <v>0.8626</v>
      </c>
      <c r="G596" s="6" t="n">
        <v>0</v>
      </c>
      <c r="H596" s="6" t="n">
        <v>0.8626</v>
      </c>
      <c r="I596" s="6" t="n">
        <v>28</v>
      </c>
    </row>
    <row r="597">
      <c r="A597" s="9" t="n">
        <v>2012</v>
      </c>
      <c r="B597" s="9" t="inlineStr">
        <is>
          <t>plomo</t>
        </is>
      </c>
      <c r="C597" s="9" t="inlineStr">
        <is>
          <t>E1 Mena/concentrado</t>
        </is>
      </c>
      <c r="D597" s="9" t="n">
        <v>1556786147</v>
      </c>
      <c r="E597" s="9" t="inlineStr">
        <is>
          <t>Corea del Sur</t>
        </is>
      </c>
      <c r="F597" s="9" t="n">
        <v>0.3358</v>
      </c>
      <c r="G597" s="9" t="n">
        <v>0.2096</v>
      </c>
      <c r="H597" s="9" t="n">
        <v>0</v>
      </c>
      <c r="I597" s="9" t="n">
        <v>15</v>
      </c>
    </row>
    <row r="598">
      <c r="A598" s="6" t="n">
        <v>2012</v>
      </c>
      <c r="B598" s="6" t="inlineStr">
        <is>
          <t>plomo</t>
        </is>
      </c>
      <c r="C598" s="6" t="inlineStr">
        <is>
          <t>E2 Metal en bruto/refinado</t>
        </is>
      </c>
      <c r="D598" s="6" t="n">
        <v>217052892</v>
      </c>
      <c r="E598" s="6" t="inlineStr">
        <is>
          <t>Estados Unidos</t>
        </is>
      </c>
      <c r="F598" s="6" t="n">
        <v>0.3845</v>
      </c>
      <c r="G598" s="6" t="n">
        <v>0.0027</v>
      </c>
      <c r="H598" s="6" t="n">
        <v>0.3845</v>
      </c>
      <c r="I598" s="6" t="n">
        <v>20</v>
      </c>
    </row>
    <row r="599">
      <c r="A599" s="9" t="n">
        <v>2012</v>
      </c>
      <c r="B599" s="9" t="inlineStr">
        <is>
          <t>plomo</t>
        </is>
      </c>
      <c r="C599" s="9" t="inlineStr">
        <is>
          <t>E3 Semimanufacturas</t>
        </is>
      </c>
      <c r="D599" s="9" t="n">
        <v>1002613</v>
      </c>
      <c r="E599" s="9" t="inlineStr">
        <is>
          <t>socio_699</t>
        </is>
      </c>
      <c r="F599" s="9" t="n">
        <v>0.4689</v>
      </c>
      <c r="G599" s="9" t="n">
        <v>0</v>
      </c>
      <c r="H599" s="9" t="n">
        <v>0.1586</v>
      </c>
      <c r="I599" s="9" t="n">
        <v>6</v>
      </c>
    </row>
    <row r="600">
      <c r="A600" s="6" t="n">
        <v>2012</v>
      </c>
      <c r="B600" s="6" t="inlineStr">
        <is>
          <t>plomo</t>
        </is>
      </c>
      <c r="C600" s="6" t="inlineStr">
        <is>
          <t>E4 Manufacturas</t>
        </is>
      </c>
      <c r="D600" s="6" t="n">
        <v>7840206</v>
      </c>
      <c r="E600" s="6" t="inlineStr">
        <is>
          <t>Estados Unidos</t>
        </is>
      </c>
      <c r="F600" s="6" t="n">
        <v>0.8299</v>
      </c>
      <c r="G600" s="6" t="n">
        <v>0</v>
      </c>
      <c r="H600" s="6" t="n">
        <v>0.8299</v>
      </c>
      <c r="I600" s="6" t="n">
        <v>21</v>
      </c>
    </row>
    <row r="601">
      <c r="A601" s="9" t="n">
        <v>2012</v>
      </c>
      <c r="B601" s="9" t="inlineStr">
        <is>
          <t>silice</t>
        </is>
      </c>
      <c r="C601" s="9" t="inlineStr">
        <is>
          <t>E1 Arena silica/cuarzo</t>
        </is>
      </c>
      <c r="D601" s="9" t="n">
        <v>1047996</v>
      </c>
      <c r="E601" s="9" t="inlineStr">
        <is>
          <t>Estados Unidos</t>
        </is>
      </c>
      <c r="F601" s="9" t="n">
        <v>0.7491</v>
      </c>
      <c r="G601" s="9" t="n">
        <v>0</v>
      </c>
      <c r="H601" s="9" t="n">
        <v>0.7491</v>
      </c>
      <c r="I601" s="9" t="n">
        <v>17</v>
      </c>
    </row>
    <row r="602">
      <c r="A602" s="6" t="n">
        <v>2012</v>
      </c>
      <c r="B602" s="6" t="inlineStr">
        <is>
          <t>silice</t>
        </is>
      </c>
      <c r="C602" s="6" t="inlineStr">
        <is>
          <t>E2 Silicio/ferrosilicio/SiO2</t>
        </is>
      </c>
      <c r="D602" s="6" t="n">
        <v>4650019</v>
      </c>
      <c r="E602" s="6" t="inlineStr">
        <is>
          <t>Estados Unidos</t>
        </is>
      </c>
      <c r="F602" s="6" t="n">
        <v>0.6267</v>
      </c>
      <c r="G602" s="6" t="n">
        <v>0.0001</v>
      </c>
      <c r="H602" s="6" t="n">
        <v>0.6267</v>
      </c>
      <c r="I602" s="6" t="n">
        <v>26</v>
      </c>
    </row>
    <row r="603">
      <c r="A603" s="9" t="n">
        <v>2012</v>
      </c>
      <c r="B603" s="9" t="inlineStr">
        <is>
          <t>zinc</t>
        </is>
      </c>
      <c r="C603" s="9" t="inlineStr">
        <is>
          <t>E1 Mena/concentrado</t>
        </is>
      </c>
      <c r="D603" s="9" t="n">
        <v>499961383</v>
      </c>
      <c r="E603" s="9" t="inlineStr">
        <is>
          <t>Corea del Sur</t>
        </is>
      </c>
      <c r="F603" s="9" t="n">
        <v>0.5667</v>
      </c>
      <c r="G603" s="9" t="n">
        <v>0.0211</v>
      </c>
      <c r="H603" s="9" t="n">
        <v>0.0098</v>
      </c>
      <c r="I603" s="9" t="n">
        <v>14</v>
      </c>
    </row>
    <row r="604">
      <c r="A604" s="6" t="n">
        <v>2012</v>
      </c>
      <c r="B604" s="6" t="inlineStr">
        <is>
          <t>zinc</t>
        </is>
      </c>
      <c r="C604" s="6" t="inlineStr">
        <is>
          <t>E2 Metal en bruto/refinado</t>
        </is>
      </c>
      <c r="D604" s="6" t="n">
        <v>387819946</v>
      </c>
      <c r="E604" s="6" t="inlineStr">
        <is>
          <t>Estados Unidos</t>
        </is>
      </c>
      <c r="F604" s="6" t="n">
        <v>0.5029</v>
      </c>
      <c r="G604" s="6" t="n">
        <v>0.007900000000000001</v>
      </c>
      <c r="H604" s="6" t="n">
        <v>0.5029</v>
      </c>
      <c r="I604" s="6" t="n">
        <v>31</v>
      </c>
    </row>
    <row r="605">
      <c r="A605" s="9" t="n">
        <v>2012</v>
      </c>
      <c r="B605" s="9" t="inlineStr">
        <is>
          <t>zinc</t>
        </is>
      </c>
      <c r="C605" s="9" t="inlineStr">
        <is>
          <t>E3 Semimanufacturas</t>
        </is>
      </c>
      <c r="D605" s="9" t="n">
        <v>8473268</v>
      </c>
      <c r="E605" s="9" t="inlineStr">
        <is>
          <t>Estados Unidos</t>
        </is>
      </c>
      <c r="F605" s="9" t="n">
        <v>0.8015</v>
      </c>
      <c r="G605" s="9" t="n">
        <v>0</v>
      </c>
      <c r="H605" s="9" t="n">
        <v>0.8015</v>
      </c>
      <c r="I605" s="9" t="n">
        <v>12</v>
      </c>
    </row>
    <row r="606">
      <c r="A606" s="6" t="n">
        <v>2012</v>
      </c>
      <c r="B606" s="6" t="inlineStr">
        <is>
          <t>zinc</t>
        </is>
      </c>
      <c r="C606" s="6" t="inlineStr">
        <is>
          <t>E4 Manufacturas</t>
        </is>
      </c>
      <c r="D606" s="6" t="n">
        <v>19460306</v>
      </c>
      <c r="E606" s="6" t="inlineStr">
        <is>
          <t>Estados Unidos</t>
        </is>
      </c>
      <c r="F606" s="6" t="n">
        <v>0.8070000000000001</v>
      </c>
      <c r="G606" s="6" t="n">
        <v>0.0004</v>
      </c>
      <c r="H606" s="6" t="n">
        <v>0.8070000000000001</v>
      </c>
      <c r="I606" s="6" t="n">
        <v>37</v>
      </c>
    </row>
    <row r="607">
      <c r="A607" s="9" t="n">
        <v>2013</v>
      </c>
      <c r="B607" s="9" t="inlineStr">
        <is>
          <t>barita</t>
        </is>
      </c>
      <c r="C607" s="9" t="inlineStr">
        <is>
          <t>E1 Crudo/molido</t>
        </is>
      </c>
      <c r="D607" s="9" t="n">
        <v>28863901</v>
      </c>
      <c r="E607" s="9" t="inlineStr">
        <is>
          <t>Estados Unidos</t>
        </is>
      </c>
      <c r="F607" s="9" t="n">
        <v>0.7831</v>
      </c>
      <c r="G607" s="9" t="n">
        <v>0</v>
      </c>
      <c r="H607" s="9" t="n">
        <v>0.7831</v>
      </c>
      <c r="I607" s="9" t="n">
        <v>7</v>
      </c>
    </row>
    <row r="608">
      <c r="A608" s="6" t="n">
        <v>2013</v>
      </c>
      <c r="B608" s="6" t="inlineStr">
        <is>
          <t>barita</t>
        </is>
      </c>
      <c r="C608" s="6" t="inlineStr">
        <is>
          <t>E2 Quimicos de bario</t>
        </is>
      </c>
      <c r="D608" s="6" t="n">
        <v>5247</v>
      </c>
      <c r="E608" s="6" t="inlineStr">
        <is>
          <t>Guatemala</t>
        </is>
      </c>
      <c r="F608" s="6" t="n">
        <v>0.7993</v>
      </c>
      <c r="G608" s="6" t="n">
        <v>0</v>
      </c>
      <c r="H608" s="6" t="n">
        <v>0.0023</v>
      </c>
      <c r="I608" s="6" t="n">
        <v>7</v>
      </c>
    </row>
    <row r="609">
      <c r="A609" s="9" t="n">
        <v>2013</v>
      </c>
      <c r="B609" s="9" t="inlineStr">
        <is>
          <t>cobre</t>
        </is>
      </c>
      <c r="C609" s="9" t="inlineStr">
        <is>
          <t>E1 Mena/concentrado</t>
        </is>
      </c>
      <c r="D609" s="9" t="n">
        <v>1486416565</v>
      </c>
      <c r="E609" s="9" t="inlineStr">
        <is>
          <t>China</t>
        </is>
      </c>
      <c r="F609" s="9" t="n">
        <v>0.7915</v>
      </c>
      <c r="G609" s="9" t="n">
        <v>0.7915</v>
      </c>
      <c r="H609" s="9" t="n">
        <v>0.0121</v>
      </c>
      <c r="I609" s="9" t="n">
        <v>17</v>
      </c>
    </row>
    <row r="610">
      <c r="A610" s="6" t="n">
        <v>2013</v>
      </c>
      <c r="B610" s="6" t="inlineStr">
        <is>
          <t>cobre</t>
        </is>
      </c>
      <c r="C610" s="6" t="inlineStr">
        <is>
          <t>E2 Metal en bruto/refinado</t>
        </is>
      </c>
      <c r="D610" s="6" t="n">
        <v>686240869</v>
      </c>
      <c r="E610" s="6" t="inlineStr">
        <is>
          <t>Estados Unidos</t>
        </is>
      </c>
      <c r="F610" s="6" t="n">
        <v>0.6848</v>
      </c>
      <c r="G610" s="6" t="n">
        <v>0.1269</v>
      </c>
      <c r="H610" s="6" t="n">
        <v>0.6848</v>
      </c>
      <c r="I610" s="6" t="n">
        <v>28</v>
      </c>
    </row>
    <row r="611">
      <c r="A611" s="9" t="n">
        <v>2013</v>
      </c>
      <c r="B611" s="9" t="inlineStr">
        <is>
          <t>cobre</t>
        </is>
      </c>
      <c r="C611" s="9" t="inlineStr">
        <is>
          <t>E3 Semimanufacturas</t>
        </is>
      </c>
      <c r="D611" s="9" t="n">
        <v>471481904</v>
      </c>
      <c r="E611" s="9" t="inlineStr">
        <is>
          <t>Estados Unidos</t>
        </is>
      </c>
      <c r="F611" s="9" t="n">
        <v>0.5056</v>
      </c>
      <c r="G611" s="9" t="n">
        <v>0.0027</v>
      </c>
      <c r="H611" s="9" t="n">
        <v>0.5056</v>
      </c>
      <c r="I611" s="9" t="n">
        <v>70</v>
      </c>
    </row>
    <row r="612">
      <c r="A612" s="6" t="n">
        <v>2013</v>
      </c>
      <c r="B612" s="6" t="inlineStr">
        <is>
          <t>cobre</t>
        </is>
      </c>
      <c r="C612" s="6" t="inlineStr">
        <is>
          <t>E4 Manufacturas</t>
        </is>
      </c>
      <c r="D612" s="6" t="n">
        <v>38806308</v>
      </c>
      <c r="E612" s="6" t="inlineStr">
        <is>
          <t>Estados Unidos</t>
        </is>
      </c>
      <c r="F612" s="6" t="n">
        <v>0.9229000000000001</v>
      </c>
      <c r="G612" s="6" t="n">
        <v>0.0128</v>
      </c>
      <c r="H612" s="6" t="n">
        <v>0.9229000000000001</v>
      </c>
      <c r="I612" s="6" t="n">
        <v>72</v>
      </c>
    </row>
    <row r="613">
      <c r="A613" s="9" t="n">
        <v>2013</v>
      </c>
      <c r="B613" s="9" t="inlineStr">
        <is>
          <t>fluorita</t>
        </is>
      </c>
      <c r="C613" s="9" t="inlineStr">
        <is>
          <t>E1 Espato fluor (crudo)</t>
        </is>
      </c>
      <c r="D613" s="9" t="n">
        <v>164211292</v>
      </c>
      <c r="E613" s="9" t="inlineStr">
        <is>
          <t>Estados Unidos</t>
        </is>
      </c>
      <c r="F613" s="9" t="n">
        <v>0.4265</v>
      </c>
      <c r="G613" s="9" t="n">
        <v>0</v>
      </c>
      <c r="H613" s="9" t="n">
        <v>0.4265</v>
      </c>
      <c r="I613" s="9" t="n">
        <v>34</v>
      </c>
    </row>
    <row r="614">
      <c r="A614" s="6" t="n">
        <v>2013</v>
      </c>
      <c r="B614" s="6" t="inlineStr">
        <is>
          <t>fluorita</t>
        </is>
      </c>
      <c r="C614" s="6" t="inlineStr">
        <is>
          <t>E2 Fluoroquimica</t>
        </is>
      </c>
      <c r="D614" s="6" t="n">
        <v>212052468</v>
      </c>
      <c r="E614" s="6" t="inlineStr">
        <is>
          <t>Estados Unidos</t>
        </is>
      </c>
      <c r="F614" s="6" t="n">
        <v>0.8831</v>
      </c>
      <c r="G614" s="6" t="n">
        <v>0</v>
      </c>
      <c r="H614" s="6" t="n">
        <v>0.8831</v>
      </c>
      <c r="I614" s="6" t="n">
        <v>20</v>
      </c>
    </row>
    <row r="615">
      <c r="A615" s="9" t="n">
        <v>2013</v>
      </c>
      <c r="B615" s="9" t="inlineStr">
        <is>
          <t>grafito</t>
        </is>
      </c>
      <c r="C615" s="9" t="inlineStr">
        <is>
          <t>E1 Grafito natural</t>
        </is>
      </c>
      <c r="D615" s="9" t="n">
        <v>7102214</v>
      </c>
      <c r="E615" s="9" t="inlineStr">
        <is>
          <t>Estados Unidos</t>
        </is>
      </c>
      <c r="F615" s="9" t="n">
        <v>0.9641999999999999</v>
      </c>
      <c r="G615" s="9" t="n">
        <v>0</v>
      </c>
      <c r="H615" s="9" t="n">
        <v>0.9641999999999999</v>
      </c>
      <c r="I615" s="9" t="n">
        <v>6</v>
      </c>
    </row>
    <row r="616">
      <c r="A616" s="6" t="n">
        <v>2013</v>
      </c>
      <c r="B616" s="6" t="inlineStr">
        <is>
          <t>grafito</t>
        </is>
      </c>
      <c r="C616" s="6" t="inlineStr">
        <is>
          <t>E2 Grafito artificial/prep.</t>
        </is>
      </c>
      <c r="D616" s="6" t="n">
        <v>26682474</v>
      </c>
      <c r="E616" s="6" t="inlineStr">
        <is>
          <t>Brasil</t>
        </is>
      </c>
      <c r="F616" s="6" t="n">
        <v>0.4821</v>
      </c>
      <c r="G616" s="6" t="n">
        <v>0.0588</v>
      </c>
      <c r="H616" s="6" t="n">
        <v>0.2398</v>
      </c>
      <c r="I616" s="6" t="n">
        <v>26</v>
      </c>
    </row>
    <row r="617">
      <c r="A617" s="9" t="n">
        <v>2013</v>
      </c>
      <c r="B617" s="9" t="inlineStr">
        <is>
          <t>grafito</t>
        </is>
      </c>
      <c r="C617" s="9" t="inlineStr">
        <is>
          <t>E3 Electrodos/articulos de carbono</t>
        </is>
      </c>
      <c r="D617" s="9" t="n">
        <v>111947070</v>
      </c>
      <c r="E617" s="9" t="inlineStr">
        <is>
          <t>Estados Unidos</t>
        </is>
      </c>
      <c r="F617" s="9" t="n">
        <v>0.4013</v>
      </c>
      <c r="G617" s="9" t="n">
        <v>0.0255</v>
      </c>
      <c r="H617" s="9" t="n">
        <v>0.4013</v>
      </c>
      <c r="I617" s="9" t="n">
        <v>47</v>
      </c>
    </row>
    <row r="618">
      <c r="A618" s="6" t="n">
        <v>2013</v>
      </c>
      <c r="B618" s="6" t="inlineStr">
        <is>
          <t>manganeso</t>
        </is>
      </c>
      <c r="C618" s="6" t="inlineStr">
        <is>
          <t>E1 Mena/concentrado</t>
        </is>
      </c>
      <c r="D618" s="6" t="n">
        <v>11065299</v>
      </c>
      <c r="E618" s="6" t="inlineStr">
        <is>
          <t>Espana</t>
        </is>
      </c>
      <c r="F618" s="6" t="n">
        <v>0.4176</v>
      </c>
      <c r="G618" s="6" t="n">
        <v>0.006</v>
      </c>
      <c r="H618" s="6" t="n">
        <v>0.324</v>
      </c>
      <c r="I618" s="6" t="n">
        <v>11</v>
      </c>
    </row>
    <row r="619">
      <c r="A619" s="9" t="n">
        <v>2013</v>
      </c>
      <c r="B619" s="9" t="inlineStr">
        <is>
          <t>manganeso</t>
        </is>
      </c>
      <c r="C619" s="9" t="inlineStr">
        <is>
          <t>E2 Ferroaleaciones</t>
        </is>
      </c>
      <c r="D619" s="9" t="n">
        <v>51491781</v>
      </c>
      <c r="E619" s="9" t="inlineStr">
        <is>
          <t>Estados Unidos</t>
        </is>
      </c>
      <c r="F619" s="9" t="n">
        <v>0.6696</v>
      </c>
      <c r="G619" s="9" t="n">
        <v>0</v>
      </c>
      <c r="H619" s="9" t="n">
        <v>0.6696</v>
      </c>
      <c r="I619" s="9" t="n">
        <v>32</v>
      </c>
    </row>
    <row r="620">
      <c r="A620" s="6" t="n">
        <v>2013</v>
      </c>
      <c r="B620" s="6" t="inlineStr">
        <is>
          <t>manganeso</t>
        </is>
      </c>
      <c r="C620" s="6" t="inlineStr">
        <is>
          <t>E3 Quimicos/metal</t>
        </is>
      </c>
      <c r="D620" s="6" t="n">
        <v>1453560</v>
      </c>
      <c r="E620" s="6" t="inlineStr">
        <is>
          <t>Espana</t>
        </is>
      </c>
      <c r="F620" s="6" t="n">
        <v>0.4823</v>
      </c>
      <c r="G620" s="6" t="n">
        <v>0</v>
      </c>
      <c r="H620" s="6" t="n">
        <v>0.0094</v>
      </c>
      <c r="I620" s="6" t="n">
        <v>17</v>
      </c>
    </row>
    <row r="621">
      <c r="A621" s="9" t="n">
        <v>2013</v>
      </c>
      <c r="B621" s="9" t="inlineStr">
        <is>
          <t>oro</t>
        </is>
      </c>
      <c r="C621" s="9" t="inlineStr">
        <is>
          <t>E1 Mena/concentrado</t>
        </is>
      </c>
      <c r="D621" s="9" t="n">
        <v>228701307</v>
      </c>
      <c r="E621" s="9" t="inlineStr">
        <is>
          <t>Corea del Sur</t>
        </is>
      </c>
      <c r="F621" s="9" t="n">
        <v>0.3523</v>
      </c>
      <c r="G621" s="9" t="n">
        <v>0.2649</v>
      </c>
      <c r="H621" s="9" t="n">
        <v>0.0108</v>
      </c>
      <c r="I621" s="9" t="n">
        <v>12</v>
      </c>
    </row>
    <row r="622">
      <c r="A622" s="6" t="n">
        <v>2013</v>
      </c>
      <c r="B622" s="6" t="inlineStr">
        <is>
          <t>oro</t>
        </is>
      </c>
      <c r="C622" s="6" t="inlineStr">
        <is>
          <t>E2 Bruto/semilabrado</t>
        </is>
      </c>
      <c r="D622" s="6" t="n">
        <v>5816271418</v>
      </c>
      <c r="E622" s="6" t="inlineStr">
        <is>
          <t>Estados Unidos</t>
        </is>
      </c>
      <c r="F622" s="6" t="n">
        <v>0.6614</v>
      </c>
      <c r="G622" s="6" t="n">
        <v>0</v>
      </c>
      <c r="H622" s="6" t="n">
        <v>0.6614</v>
      </c>
      <c r="I622" s="6" t="n">
        <v>11</v>
      </c>
    </row>
    <row r="623">
      <c r="A623" s="9" t="n">
        <v>2013</v>
      </c>
      <c r="B623" s="9" t="inlineStr">
        <is>
          <t>oro-plata (manufacturas)</t>
        </is>
      </c>
      <c r="C623" s="9" t="inlineStr">
        <is>
          <t>E4 Joyeria/orfebreria</t>
        </is>
      </c>
      <c r="D623" s="9" t="n">
        <v>510580647</v>
      </c>
      <c r="E623" s="9" t="inlineStr">
        <is>
          <t>Estados Unidos</t>
        </is>
      </c>
      <c r="F623" s="9" t="n">
        <v>0.8844</v>
      </c>
      <c r="G623" s="9" t="n">
        <v>0.0001</v>
      </c>
      <c r="H623" s="9" t="n">
        <v>0.8844</v>
      </c>
      <c r="I623" s="9" t="n">
        <v>64</v>
      </c>
    </row>
    <row r="624">
      <c r="A624" s="6" t="n">
        <v>2013</v>
      </c>
      <c r="B624" s="6" t="inlineStr">
        <is>
          <t>plata</t>
        </is>
      </c>
      <c r="C624" s="6" t="inlineStr">
        <is>
          <t>E1 Mena/concentrado</t>
        </is>
      </c>
      <c r="D624" s="6" t="n">
        <v>2274437</v>
      </c>
      <c r="E624" s="6" t="inlineStr">
        <is>
          <t>Suiza</t>
        </is>
      </c>
      <c r="F624" s="6" t="n">
        <v>0.4624</v>
      </c>
      <c r="G624" s="6" t="n">
        <v>0.1647</v>
      </c>
      <c r="H624" s="6" t="n">
        <v>0.2906</v>
      </c>
      <c r="I624" s="6" t="n">
        <v>5</v>
      </c>
    </row>
    <row r="625">
      <c r="A625" s="9" t="n">
        <v>2013</v>
      </c>
      <c r="B625" s="9" t="inlineStr">
        <is>
          <t>plata</t>
        </is>
      </c>
      <c r="C625" s="9" t="inlineStr">
        <is>
          <t>E2 Bruto/semilabrado</t>
        </is>
      </c>
      <c r="D625" s="9" t="n">
        <v>3121139286</v>
      </c>
      <c r="E625" s="9" t="inlineStr">
        <is>
          <t>Estados Unidos</t>
        </is>
      </c>
      <c r="F625" s="9" t="n">
        <v>0.9193</v>
      </c>
      <c r="G625" s="9" t="n">
        <v>0</v>
      </c>
      <c r="H625" s="9" t="n">
        <v>0.9193</v>
      </c>
      <c r="I625" s="9" t="n">
        <v>29</v>
      </c>
    </row>
    <row r="626">
      <c r="A626" s="6" t="n">
        <v>2013</v>
      </c>
      <c r="B626" s="6" t="inlineStr">
        <is>
          <t>plomo</t>
        </is>
      </c>
      <c r="C626" s="6" t="inlineStr">
        <is>
          <t>E1 Mena/concentrado</t>
        </is>
      </c>
      <c r="D626" s="6" t="n">
        <v>1119233415</v>
      </c>
      <c r="E626" s="6" t="inlineStr">
        <is>
          <t>Corea del Sur</t>
        </is>
      </c>
      <c r="F626" s="6" t="n">
        <v>0.3889</v>
      </c>
      <c r="G626" s="6" t="n">
        <v>0.124</v>
      </c>
      <c r="H626" s="6" t="n">
        <v>0</v>
      </c>
      <c r="I626" s="6" t="n">
        <v>15</v>
      </c>
    </row>
    <row r="627">
      <c r="A627" s="9" t="n">
        <v>2013</v>
      </c>
      <c r="B627" s="9" t="inlineStr">
        <is>
          <t>plomo</t>
        </is>
      </c>
      <c r="C627" s="9" t="inlineStr">
        <is>
          <t>E2 Metal en bruto/refinado</t>
        </is>
      </c>
      <c r="D627" s="9" t="n">
        <v>86117556</v>
      </c>
      <c r="E627" s="9" t="inlineStr">
        <is>
          <t>Brasil</t>
        </is>
      </c>
      <c r="F627" s="9" t="n">
        <v>0.6612</v>
      </c>
      <c r="G627" s="9" t="n">
        <v>0.0048</v>
      </c>
      <c r="H627" s="9" t="n">
        <v>0</v>
      </c>
      <c r="I627" s="9" t="n">
        <v>16</v>
      </c>
    </row>
    <row r="628">
      <c r="A628" s="6" t="n">
        <v>2013</v>
      </c>
      <c r="B628" s="6" t="inlineStr">
        <is>
          <t>plomo</t>
        </is>
      </c>
      <c r="C628" s="6" t="inlineStr">
        <is>
          <t>E3 Semimanufacturas</t>
        </is>
      </c>
      <c r="D628" s="6" t="n">
        <v>44376</v>
      </c>
      <c r="E628" s="6" t="inlineStr">
        <is>
          <t>El Salvador</t>
        </is>
      </c>
      <c r="F628" s="6" t="n">
        <v>0.5073</v>
      </c>
      <c r="G628" s="6" t="n">
        <v>0</v>
      </c>
      <c r="H628" s="6" t="n">
        <v>0</v>
      </c>
      <c r="I628" s="6" t="n">
        <v>4</v>
      </c>
    </row>
    <row r="629">
      <c r="A629" s="9" t="n">
        <v>2013</v>
      </c>
      <c r="B629" s="9" t="inlineStr">
        <is>
          <t>plomo</t>
        </is>
      </c>
      <c r="C629" s="9" t="inlineStr">
        <is>
          <t>E4 Manufacturas</t>
        </is>
      </c>
      <c r="D629" s="9" t="n">
        <v>10673156</v>
      </c>
      <c r="E629" s="9" t="inlineStr">
        <is>
          <t>Canada</t>
        </is>
      </c>
      <c r="F629" s="9" t="n">
        <v>0.7113</v>
      </c>
      <c r="G629" s="9" t="n">
        <v>0</v>
      </c>
      <c r="H629" s="9" t="n">
        <v>0</v>
      </c>
      <c r="I629" s="9" t="n">
        <v>20</v>
      </c>
    </row>
    <row r="630">
      <c r="A630" s="6" t="n">
        <v>2013</v>
      </c>
      <c r="B630" s="6" t="inlineStr">
        <is>
          <t>silice</t>
        </is>
      </c>
      <c r="C630" s="6" t="inlineStr">
        <is>
          <t>E1 Arena silica/cuarzo</t>
        </is>
      </c>
      <c r="D630" s="6" t="n">
        <v>2163162</v>
      </c>
      <c r="E630" s="6" t="inlineStr">
        <is>
          <t>Estados Unidos</t>
        </is>
      </c>
      <c r="F630" s="6" t="n">
        <v>0.603</v>
      </c>
      <c r="G630" s="6" t="n">
        <v>0</v>
      </c>
      <c r="H630" s="6" t="n">
        <v>0.603</v>
      </c>
      <c r="I630" s="6" t="n">
        <v>26</v>
      </c>
    </row>
    <row r="631">
      <c r="A631" s="9" t="n">
        <v>2013</v>
      </c>
      <c r="B631" s="9" t="inlineStr">
        <is>
          <t>silice</t>
        </is>
      </c>
      <c r="C631" s="9" t="inlineStr">
        <is>
          <t>E2 Silicio/ferrosilicio/SiO2</t>
        </is>
      </c>
      <c r="D631" s="9" t="n">
        <v>5835147</v>
      </c>
      <c r="E631" s="9" t="inlineStr">
        <is>
          <t>Estados Unidos</t>
        </is>
      </c>
      <c r="F631" s="9" t="n">
        <v>0.6454</v>
      </c>
      <c r="G631" s="9" t="n">
        <v>0.0003</v>
      </c>
      <c r="H631" s="9" t="n">
        <v>0.6454</v>
      </c>
      <c r="I631" s="9" t="n">
        <v>32</v>
      </c>
    </row>
    <row r="632">
      <c r="A632" s="6" t="n">
        <v>2013</v>
      </c>
      <c r="B632" s="6" t="inlineStr">
        <is>
          <t>zinc</t>
        </is>
      </c>
      <c r="C632" s="6" t="inlineStr">
        <is>
          <t>E1 Mena/concentrado</t>
        </is>
      </c>
      <c r="D632" s="6" t="n">
        <v>409476638</v>
      </c>
      <c r="E632" s="6" t="inlineStr">
        <is>
          <t>Corea del Sur</t>
        </is>
      </c>
      <c r="F632" s="6" t="n">
        <v>0.4804</v>
      </c>
      <c r="G632" s="6" t="n">
        <v>0.0732</v>
      </c>
      <c r="H632" s="6" t="n">
        <v>0.0032</v>
      </c>
      <c r="I632" s="6" t="n">
        <v>18</v>
      </c>
    </row>
    <row r="633">
      <c r="A633" s="9" t="n">
        <v>2013</v>
      </c>
      <c r="B633" s="9" t="inlineStr">
        <is>
          <t>zinc</t>
        </is>
      </c>
      <c r="C633" s="9" t="inlineStr">
        <is>
          <t>E2 Metal en bruto/refinado</t>
        </is>
      </c>
      <c r="D633" s="9" t="n">
        <v>177382605</v>
      </c>
      <c r="E633" s="9" t="inlineStr">
        <is>
          <t>Belgica</t>
        </is>
      </c>
      <c r="F633" s="9" t="n">
        <v>0.2501</v>
      </c>
      <c r="G633" s="9" t="n">
        <v>0.064</v>
      </c>
      <c r="H633" s="9" t="n">
        <v>0</v>
      </c>
      <c r="I633" s="9" t="n">
        <v>31</v>
      </c>
    </row>
    <row r="634">
      <c r="A634" s="6" t="n">
        <v>2013</v>
      </c>
      <c r="B634" s="6" t="inlineStr">
        <is>
          <t>zinc</t>
        </is>
      </c>
      <c r="C634" s="6" t="inlineStr">
        <is>
          <t>E3 Semimanufacturas</t>
        </is>
      </c>
      <c r="D634" s="6" t="n">
        <v>612013</v>
      </c>
      <c r="E634" s="6" t="inlineStr">
        <is>
          <t>socio_699</t>
        </is>
      </c>
      <c r="F634" s="6" t="n">
        <v>0.6307</v>
      </c>
      <c r="G634" s="6" t="n">
        <v>0.0499</v>
      </c>
      <c r="H634" s="6" t="n">
        <v>0</v>
      </c>
      <c r="I634" s="6" t="n">
        <v>10</v>
      </c>
    </row>
    <row r="635">
      <c r="A635" s="9" t="n">
        <v>2013</v>
      </c>
      <c r="B635" s="9" t="inlineStr">
        <is>
          <t>zinc</t>
        </is>
      </c>
      <c r="C635" s="9" t="inlineStr">
        <is>
          <t>E4 Manufacturas</t>
        </is>
      </c>
      <c r="D635" s="9" t="n">
        <v>3138358</v>
      </c>
      <c r="E635" s="9" t="inlineStr">
        <is>
          <t>Canada</t>
        </is>
      </c>
      <c r="F635" s="9" t="n">
        <v>0.6277</v>
      </c>
      <c r="G635" s="9" t="n">
        <v>0.001</v>
      </c>
      <c r="H635" s="9" t="n">
        <v>0</v>
      </c>
      <c r="I635" s="9" t="n">
        <v>35</v>
      </c>
    </row>
    <row r="636">
      <c r="A636" s="6" t="n">
        <v>2014</v>
      </c>
      <c r="B636" s="6" t="inlineStr">
        <is>
          <t>cobre</t>
        </is>
      </c>
      <c r="C636" s="6" t="inlineStr">
        <is>
          <t>E1 Mena/concentrado</t>
        </is>
      </c>
      <c r="D636" s="6" t="n">
        <v>1170641398</v>
      </c>
      <c r="E636" s="6" t="inlineStr">
        <is>
          <t>China</t>
        </is>
      </c>
      <c r="F636" s="6" t="n">
        <v>0.8816000000000001</v>
      </c>
      <c r="G636" s="6" t="n">
        <v>0.8816000000000001</v>
      </c>
      <c r="H636" s="6" t="n">
        <v>0.0004</v>
      </c>
      <c r="I636" s="6" t="n">
        <v>5</v>
      </c>
    </row>
    <row r="637">
      <c r="A637" s="9" t="n">
        <v>2014</v>
      </c>
      <c r="B637" s="9" t="inlineStr">
        <is>
          <t>cobre</t>
        </is>
      </c>
      <c r="C637" s="9" t="inlineStr">
        <is>
          <t>E2 Metal en bruto/refinado</t>
        </is>
      </c>
      <c r="D637" s="9" t="n">
        <v>801954537</v>
      </c>
      <c r="E637" s="9" t="inlineStr">
        <is>
          <t>Estados Unidos</t>
        </is>
      </c>
      <c r="F637" s="9" t="n">
        <v>0.7803</v>
      </c>
      <c r="G637" s="9" t="n">
        <v>0.1607</v>
      </c>
      <c r="H637" s="9" t="n">
        <v>0.7803</v>
      </c>
      <c r="I637" s="9" t="n">
        <v>6</v>
      </c>
    </row>
    <row r="638">
      <c r="A638" s="6" t="n">
        <v>2014</v>
      </c>
      <c r="B638" s="6" t="inlineStr">
        <is>
          <t>cobre</t>
        </is>
      </c>
      <c r="C638" s="6" t="inlineStr">
        <is>
          <t>E3 Semimanufacturas</t>
        </is>
      </c>
      <c r="D638" s="6" t="n">
        <v>423515414</v>
      </c>
      <c r="E638" s="6" t="inlineStr">
        <is>
          <t>Estados Unidos</t>
        </is>
      </c>
      <c r="F638" s="6" t="n">
        <v>0.6692</v>
      </c>
      <c r="G638" s="6" t="n">
        <v>0.0024</v>
      </c>
      <c r="H638" s="6" t="n">
        <v>0.6692</v>
      </c>
      <c r="I638" s="6" t="n">
        <v>18</v>
      </c>
    </row>
    <row r="639">
      <c r="A639" s="9" t="n">
        <v>2014</v>
      </c>
      <c r="B639" s="9" t="inlineStr">
        <is>
          <t>cobre</t>
        </is>
      </c>
      <c r="C639" s="9" t="inlineStr">
        <is>
          <t>E4 Manufacturas</t>
        </is>
      </c>
      <c r="D639" s="9" t="n">
        <v>66180448</v>
      </c>
      <c r="E639" s="9" t="inlineStr">
        <is>
          <t>Estados Unidos</t>
        </is>
      </c>
      <c r="F639" s="9" t="n">
        <v>0.6598000000000001</v>
      </c>
      <c r="G639" s="9" t="n">
        <v>0.001</v>
      </c>
      <c r="H639" s="9" t="n">
        <v>0.6598000000000001</v>
      </c>
      <c r="I639" s="9" t="n">
        <v>27</v>
      </c>
    </row>
    <row r="640">
      <c r="A640" s="6" t="n">
        <v>2014</v>
      </c>
      <c r="B640" s="6" t="inlineStr">
        <is>
          <t>fluorita</t>
        </is>
      </c>
      <c r="C640" s="6" t="inlineStr">
        <is>
          <t>E1 Espato fluor (crudo)</t>
        </is>
      </c>
      <c r="D640" s="6" t="n">
        <v>69212880</v>
      </c>
      <c r="E640" s="6" t="inlineStr">
        <is>
          <t>Estados Unidos</t>
        </is>
      </c>
      <c r="F640" s="6" t="n">
        <v>0.9937</v>
      </c>
      <c r="G640" s="6" t="n">
        <v>0</v>
      </c>
      <c r="H640" s="6" t="n">
        <v>0.9937</v>
      </c>
      <c r="I640" s="6" t="n">
        <v>2</v>
      </c>
    </row>
    <row r="641">
      <c r="A641" s="9" t="n">
        <v>2014</v>
      </c>
      <c r="B641" s="9" t="inlineStr">
        <is>
          <t>fluorita</t>
        </is>
      </c>
      <c r="C641" s="9" t="inlineStr">
        <is>
          <t>E2 Fluoroquimica</t>
        </is>
      </c>
      <c r="D641" s="9" t="n">
        <v>186979883</v>
      </c>
      <c r="E641" s="9" t="inlineStr">
        <is>
          <t>Estados Unidos</t>
        </is>
      </c>
      <c r="F641" s="9" t="n">
        <v>1</v>
      </c>
      <c r="G641" s="9" t="n">
        <v>0</v>
      </c>
      <c r="H641" s="9" t="n">
        <v>1</v>
      </c>
      <c r="I641" s="9" t="n">
        <v>1</v>
      </c>
    </row>
    <row r="642">
      <c r="A642" s="6" t="n">
        <v>2014</v>
      </c>
      <c r="B642" s="6" t="inlineStr">
        <is>
          <t>grafito</t>
        </is>
      </c>
      <c r="C642" s="6" t="inlineStr">
        <is>
          <t>E1 Grafito natural</t>
        </is>
      </c>
      <c r="D642" s="6" t="n">
        <v>7256629</v>
      </c>
      <c r="E642" s="6" t="inlineStr">
        <is>
          <t>Estados Unidos</t>
        </is>
      </c>
      <c r="F642" s="6" t="n">
        <v>0.9761</v>
      </c>
      <c r="G642" s="6" t="n">
        <v>0</v>
      </c>
      <c r="H642" s="6" t="n">
        <v>0.9761</v>
      </c>
      <c r="I642" s="6" t="n">
        <v>2</v>
      </c>
    </row>
    <row r="643">
      <c r="A643" s="9" t="n">
        <v>2014</v>
      </c>
      <c r="B643" s="9" t="inlineStr">
        <is>
          <t>grafito</t>
        </is>
      </c>
      <c r="C643" s="9" t="inlineStr">
        <is>
          <t>E2 Grafito artificial/prep.</t>
        </is>
      </c>
      <c r="D643" s="9" t="n">
        <v>48800122</v>
      </c>
      <c r="E643" s="9" t="inlineStr">
        <is>
          <t>Brasil</t>
        </is>
      </c>
      <c r="F643" s="9" t="n">
        <v>0.7911</v>
      </c>
      <c r="G643" s="9" t="n">
        <v>0.0044</v>
      </c>
      <c r="H643" s="9" t="n">
        <v>0.1703</v>
      </c>
      <c r="I643" s="9" t="n">
        <v>9</v>
      </c>
    </row>
    <row r="644">
      <c r="A644" s="6" t="n">
        <v>2014</v>
      </c>
      <c r="B644" s="6" t="inlineStr">
        <is>
          <t>grafito</t>
        </is>
      </c>
      <c r="C644" s="6" t="inlineStr">
        <is>
          <t>E3 Electrodos/articulos de carbono</t>
        </is>
      </c>
      <c r="D644" s="6" t="n">
        <v>57777836</v>
      </c>
      <c r="E644" s="6" t="inlineStr">
        <is>
          <t>Estados Unidos</t>
        </is>
      </c>
      <c r="F644" s="6" t="n">
        <v>0.9603</v>
      </c>
      <c r="G644" s="6" t="n">
        <v>0</v>
      </c>
      <c r="H644" s="6" t="n">
        <v>0.9603</v>
      </c>
      <c r="I644" s="6" t="n">
        <v>7</v>
      </c>
    </row>
    <row r="645">
      <c r="A645" s="9" t="n">
        <v>2014</v>
      </c>
      <c r="B645" s="9" t="inlineStr">
        <is>
          <t>manganeso</t>
        </is>
      </c>
      <c r="C645" s="9" t="inlineStr">
        <is>
          <t>E1 Mena/concentrado</t>
        </is>
      </c>
      <c r="D645" s="9" t="n">
        <v>81079</v>
      </c>
      <c r="E645" s="9" t="inlineStr">
        <is>
          <t>China</t>
        </is>
      </c>
      <c r="F645" s="9" t="n">
        <v>1</v>
      </c>
      <c r="G645" s="9" t="n">
        <v>1</v>
      </c>
      <c r="H645" s="9" t="n">
        <v>0</v>
      </c>
      <c r="I645" s="9" t="n">
        <v>1</v>
      </c>
    </row>
    <row r="646">
      <c r="A646" s="6" t="n">
        <v>2014</v>
      </c>
      <c r="B646" s="6" t="inlineStr">
        <is>
          <t>manganeso</t>
        </is>
      </c>
      <c r="C646" s="6" t="inlineStr">
        <is>
          <t>E3 Quimicos/metal</t>
        </is>
      </c>
      <c r="D646" s="6" t="n">
        <v>1179788</v>
      </c>
      <c r="E646" s="6" t="inlineStr">
        <is>
          <t>Estados Unidos</t>
        </is>
      </c>
      <c r="F646" s="6" t="n">
        <v>1</v>
      </c>
      <c r="G646" s="6" t="n">
        <v>0</v>
      </c>
      <c r="H646" s="6" t="n">
        <v>1</v>
      </c>
      <c r="I646" s="6" t="n">
        <v>1</v>
      </c>
    </row>
    <row r="647">
      <c r="A647" s="9" t="n">
        <v>2014</v>
      </c>
      <c r="B647" s="9" t="inlineStr">
        <is>
          <t>oro</t>
        </is>
      </c>
      <c r="C647" s="9" t="inlineStr">
        <is>
          <t>E1 Mena/concentrado</t>
        </is>
      </c>
      <c r="D647" s="9" t="n">
        <v>123028351</v>
      </c>
      <c r="E647" s="9" t="inlineStr">
        <is>
          <t>China</t>
        </is>
      </c>
      <c r="F647" s="9" t="n">
        <v>0.9409</v>
      </c>
      <c r="G647" s="9" t="n">
        <v>0.9409</v>
      </c>
      <c r="H647" s="9" t="n">
        <v>0.0024</v>
      </c>
      <c r="I647" s="9" t="n">
        <v>3</v>
      </c>
    </row>
    <row r="648">
      <c r="A648" s="6" t="n">
        <v>2014</v>
      </c>
      <c r="B648" s="6" t="inlineStr">
        <is>
          <t>oro</t>
        </is>
      </c>
      <c r="C648" s="6" t="inlineStr">
        <is>
          <t>E2 Bruto/semilabrado</t>
        </is>
      </c>
      <c r="D648" s="6" t="n">
        <v>3439635835</v>
      </c>
      <c r="E648" s="6" t="inlineStr">
        <is>
          <t>Estados Unidos</t>
        </is>
      </c>
      <c r="F648" s="6" t="n">
        <v>0.923</v>
      </c>
      <c r="G648" s="6" t="n">
        <v>0</v>
      </c>
      <c r="H648" s="6" t="n">
        <v>0.923</v>
      </c>
      <c r="I648" s="6" t="n">
        <v>3</v>
      </c>
    </row>
    <row r="649">
      <c r="A649" s="9" t="n">
        <v>2014</v>
      </c>
      <c r="B649" s="9" t="inlineStr">
        <is>
          <t>oro-plata (manufacturas)</t>
        </is>
      </c>
      <c r="C649" s="9" t="inlineStr">
        <is>
          <t>E4 Joyeria/orfebreria</t>
        </is>
      </c>
      <c r="D649" s="9" t="n">
        <v>583564487</v>
      </c>
      <c r="E649" s="9" t="inlineStr">
        <is>
          <t>Estados Unidos</t>
        </is>
      </c>
      <c r="F649" s="9" t="n">
        <v>0.9149</v>
      </c>
      <c r="G649" s="9" t="n">
        <v>0</v>
      </c>
      <c r="H649" s="9" t="n">
        <v>0.9149</v>
      </c>
      <c r="I649" s="9" t="n">
        <v>33</v>
      </c>
    </row>
    <row r="650">
      <c r="A650" s="6" t="n">
        <v>2014</v>
      </c>
      <c r="B650" s="6" t="inlineStr">
        <is>
          <t>plata</t>
        </is>
      </c>
      <c r="C650" s="6" t="inlineStr">
        <is>
          <t>E1 Mena/concentrado</t>
        </is>
      </c>
      <c r="D650" s="6" t="n">
        <v>935178</v>
      </c>
      <c r="E650" s="6" t="inlineStr">
        <is>
          <t>Estados Unidos</t>
        </is>
      </c>
      <c r="F650" s="6" t="n">
        <v>0.9978</v>
      </c>
      <c r="G650" s="6" t="n">
        <v>0</v>
      </c>
      <c r="H650" s="6" t="n">
        <v>0.9978</v>
      </c>
      <c r="I650" s="6" t="n">
        <v>2</v>
      </c>
    </row>
    <row r="651">
      <c r="A651" s="9" t="n">
        <v>2014</v>
      </c>
      <c r="B651" s="9" t="inlineStr">
        <is>
          <t>plata</t>
        </is>
      </c>
      <c r="C651" s="9" t="inlineStr">
        <is>
          <t>E2 Bruto/semilabrado</t>
        </is>
      </c>
      <c r="D651" s="9" t="n">
        <v>2221300717</v>
      </c>
      <c r="E651" s="9" t="inlineStr">
        <is>
          <t>Estados Unidos</t>
        </is>
      </c>
      <c r="F651" s="9" t="n">
        <v>0.9722</v>
      </c>
      <c r="G651" s="9" t="n">
        <v>0</v>
      </c>
      <c r="H651" s="9" t="n">
        <v>0.9722</v>
      </c>
      <c r="I651" s="9" t="n">
        <v>7</v>
      </c>
    </row>
    <row r="652">
      <c r="A652" s="6" t="n">
        <v>2014</v>
      </c>
      <c r="B652" s="6" t="inlineStr">
        <is>
          <t>plomo</t>
        </is>
      </c>
      <c r="C652" s="6" t="inlineStr">
        <is>
          <t>E1 Mena/concentrado</t>
        </is>
      </c>
      <c r="D652" s="6" t="n">
        <v>1162916141</v>
      </c>
      <c r="E652" s="6" t="inlineStr">
        <is>
          <t>Corea del Sur</t>
        </is>
      </c>
      <c r="F652" s="6" t="n">
        <v>0.4994</v>
      </c>
      <c r="G652" s="6" t="n">
        <v>0.1536</v>
      </c>
      <c r="H652" s="6" t="n">
        <v>0</v>
      </c>
      <c r="I652" s="6" t="n">
        <v>5</v>
      </c>
    </row>
    <row r="653">
      <c r="A653" s="9" t="n">
        <v>2014</v>
      </c>
      <c r="B653" s="9" t="inlineStr">
        <is>
          <t>plomo</t>
        </is>
      </c>
      <c r="C653" s="9" t="inlineStr">
        <is>
          <t>E4 Manufacturas</t>
        </is>
      </c>
      <c r="D653" s="9" t="n">
        <v>695151</v>
      </c>
      <c r="E653" s="9" t="inlineStr">
        <is>
          <t>Chile</t>
        </is>
      </c>
      <c r="F653" s="9" t="n">
        <v>0.3653</v>
      </c>
      <c r="G653" s="9" t="n">
        <v>0</v>
      </c>
      <c r="H653" s="9" t="n">
        <v>0</v>
      </c>
      <c r="I653" s="9" t="n">
        <v>6</v>
      </c>
    </row>
    <row r="654">
      <c r="A654" s="6" t="n">
        <v>2014</v>
      </c>
      <c r="B654" s="6" t="inlineStr">
        <is>
          <t>silice</t>
        </is>
      </c>
      <c r="C654" s="6" t="inlineStr">
        <is>
          <t>E1 Arena silica/cuarzo</t>
        </is>
      </c>
      <c r="D654" s="6" t="n">
        <v>1977476</v>
      </c>
      <c r="E654" s="6" t="inlineStr">
        <is>
          <t>Estados Unidos</t>
        </is>
      </c>
      <c r="F654" s="6" t="n">
        <v>0.9287</v>
      </c>
      <c r="G654" s="6" t="n">
        <v>0</v>
      </c>
      <c r="H654" s="6" t="n">
        <v>0.9287</v>
      </c>
      <c r="I654" s="6" t="n">
        <v>4</v>
      </c>
    </row>
    <row r="655">
      <c r="A655" s="9" t="n">
        <v>2014</v>
      </c>
      <c r="B655" s="9" t="inlineStr">
        <is>
          <t>silice</t>
        </is>
      </c>
      <c r="C655" s="9" t="inlineStr">
        <is>
          <t>E2 Silicio/ferrosilicio/SiO2</t>
        </is>
      </c>
      <c r="D655" s="9" t="n">
        <v>4335048</v>
      </c>
      <c r="E655" s="9" t="inlineStr">
        <is>
          <t>Estados Unidos</t>
        </is>
      </c>
      <c r="F655" s="9" t="n">
        <v>0.8919</v>
      </c>
      <c r="G655" s="9" t="n">
        <v>0</v>
      </c>
      <c r="H655" s="9" t="n">
        <v>0.8919</v>
      </c>
      <c r="I655" s="9" t="n">
        <v>7</v>
      </c>
    </row>
    <row r="656">
      <c r="A656" s="6" t="n">
        <v>2014</v>
      </c>
      <c r="B656" s="6" t="inlineStr">
        <is>
          <t>zinc</t>
        </is>
      </c>
      <c r="C656" s="6" t="inlineStr">
        <is>
          <t>E1 Mena/concentrado</t>
        </is>
      </c>
      <c r="D656" s="6" t="n">
        <v>309233960</v>
      </c>
      <c r="E656" s="6" t="inlineStr">
        <is>
          <t>Corea del Sur</t>
        </is>
      </c>
      <c r="F656" s="6" t="n">
        <v>0.9287</v>
      </c>
      <c r="G656" s="6" t="n">
        <v>0.0699</v>
      </c>
      <c r="H656" s="6" t="n">
        <v>0.0014</v>
      </c>
      <c r="I656" s="6" t="n">
        <v>3</v>
      </c>
    </row>
    <row r="657">
      <c r="A657" s="9" t="n">
        <v>2014</v>
      </c>
      <c r="B657" s="9" t="inlineStr">
        <is>
          <t>zinc</t>
        </is>
      </c>
      <c r="C657" s="9" t="inlineStr">
        <is>
          <t>E2 Metal en bruto/refinado</t>
        </is>
      </c>
      <c r="D657" s="9" t="n">
        <v>233761843</v>
      </c>
      <c r="E657" s="9" t="inlineStr">
        <is>
          <t>Estados Unidos</t>
        </is>
      </c>
      <c r="F657" s="9" t="n">
        <v>1</v>
      </c>
      <c r="G657" s="9" t="n">
        <v>0</v>
      </c>
      <c r="H657" s="9" t="n">
        <v>1</v>
      </c>
      <c r="I657" s="9" t="n">
        <v>1</v>
      </c>
    </row>
    <row r="658">
      <c r="A658" s="6" t="n">
        <v>2014</v>
      </c>
      <c r="B658" s="6" t="inlineStr">
        <is>
          <t>zinc</t>
        </is>
      </c>
      <c r="C658" s="6" t="inlineStr">
        <is>
          <t>E4 Manufacturas</t>
        </is>
      </c>
      <c r="D658" s="6" t="n">
        <v>17071879</v>
      </c>
      <c r="E658" s="6" t="inlineStr">
        <is>
          <t>Estados Unidos</t>
        </is>
      </c>
      <c r="F658" s="6" t="n">
        <v>0.9714</v>
      </c>
      <c r="G658" s="6" t="n">
        <v>0</v>
      </c>
      <c r="H658" s="6" t="n">
        <v>0.9714</v>
      </c>
      <c r="I658" s="6" t="n">
        <v>11</v>
      </c>
    </row>
    <row r="659">
      <c r="A659" s="9" t="n">
        <v>2015</v>
      </c>
      <c r="B659" s="9" t="inlineStr">
        <is>
          <t>barita</t>
        </is>
      </c>
      <c r="C659" s="9" t="inlineStr">
        <is>
          <t>E1 Crudo/molido</t>
        </is>
      </c>
      <c r="D659" s="9" t="n">
        <v>1595323</v>
      </c>
      <c r="E659" s="9" t="inlineStr">
        <is>
          <t>Colombia</t>
        </is>
      </c>
      <c r="F659" s="9" t="n">
        <v>1</v>
      </c>
      <c r="G659" s="9" t="n">
        <v>0</v>
      </c>
      <c r="H659" s="9" t="n">
        <v>0</v>
      </c>
      <c r="I659" s="9" t="n">
        <v>1</v>
      </c>
    </row>
    <row r="660">
      <c r="A660" s="6" t="n">
        <v>2015</v>
      </c>
      <c r="B660" s="6" t="inlineStr">
        <is>
          <t>cobre</t>
        </is>
      </c>
      <c r="C660" s="6" t="inlineStr">
        <is>
          <t>E1 Mena/concentrado</t>
        </is>
      </c>
      <c r="D660" s="6" t="n">
        <v>933983883</v>
      </c>
      <c r="E660" s="6" t="inlineStr">
        <is>
          <t>China</t>
        </is>
      </c>
      <c r="F660" s="6" t="n">
        <v>0.8806</v>
      </c>
      <c r="G660" s="6" t="n">
        <v>0.8806</v>
      </c>
      <c r="H660" s="6" t="n">
        <v>0.0124</v>
      </c>
      <c r="I660" s="6" t="n">
        <v>5</v>
      </c>
    </row>
    <row r="661">
      <c r="A661" s="9" t="n">
        <v>2015</v>
      </c>
      <c r="B661" s="9" t="inlineStr">
        <is>
          <t>cobre</t>
        </is>
      </c>
      <c r="C661" s="9" t="inlineStr">
        <is>
          <t>E2 Metal en bruto/refinado</t>
        </is>
      </c>
      <c r="D661" s="9" t="n">
        <v>727229420</v>
      </c>
      <c r="E661" s="9" t="inlineStr">
        <is>
          <t>Estados Unidos</t>
        </is>
      </c>
      <c r="F661" s="9" t="n">
        <v>0.7268</v>
      </c>
      <c r="G661" s="9" t="n">
        <v>0.2058</v>
      </c>
      <c r="H661" s="9" t="n">
        <v>0.7268</v>
      </c>
      <c r="I661" s="9" t="n">
        <v>6</v>
      </c>
    </row>
    <row r="662">
      <c r="A662" s="6" t="n">
        <v>2015</v>
      </c>
      <c r="B662" s="6" t="inlineStr">
        <is>
          <t>cobre</t>
        </is>
      </c>
      <c r="C662" s="6" t="inlineStr">
        <is>
          <t>E3 Semimanufacturas</t>
        </is>
      </c>
      <c r="D662" s="6" t="n">
        <v>330099797</v>
      </c>
      <c r="E662" s="6" t="inlineStr">
        <is>
          <t>Estados Unidos</t>
        </is>
      </c>
      <c r="F662" s="6" t="n">
        <v>0.6731</v>
      </c>
      <c r="G662" s="6" t="n">
        <v>0.0007</v>
      </c>
      <c r="H662" s="6" t="n">
        <v>0.6731</v>
      </c>
      <c r="I662" s="6" t="n">
        <v>25</v>
      </c>
    </row>
    <row r="663">
      <c r="A663" s="9" t="n">
        <v>2015</v>
      </c>
      <c r="B663" s="9" t="inlineStr">
        <is>
          <t>cobre</t>
        </is>
      </c>
      <c r="C663" s="9" t="inlineStr">
        <is>
          <t>E4 Manufacturas</t>
        </is>
      </c>
      <c r="D663" s="9" t="n">
        <v>49302168</v>
      </c>
      <c r="E663" s="9" t="inlineStr">
        <is>
          <t>Estados Unidos</t>
        </is>
      </c>
      <c r="F663" s="9" t="n">
        <v>0.9733000000000001</v>
      </c>
      <c r="G663" s="9" t="n">
        <v>0.0014</v>
      </c>
      <c r="H663" s="9" t="n">
        <v>0.9733000000000001</v>
      </c>
      <c r="I663" s="9" t="n">
        <v>38</v>
      </c>
    </row>
    <row r="664">
      <c r="A664" s="6" t="n">
        <v>2015</v>
      </c>
      <c r="B664" s="6" t="inlineStr">
        <is>
          <t>fluorita</t>
        </is>
      </c>
      <c r="C664" s="6" t="inlineStr">
        <is>
          <t>E1 Espato fluor (crudo)</t>
        </is>
      </c>
      <c r="D664" s="6" t="n">
        <v>59599502</v>
      </c>
      <c r="E664" s="6" t="inlineStr">
        <is>
          <t>Estados Unidos</t>
        </is>
      </c>
      <c r="F664" s="6" t="n">
        <v>0.9933999999999999</v>
      </c>
      <c r="G664" s="6" t="n">
        <v>0</v>
      </c>
      <c r="H664" s="6" t="n">
        <v>0.9933999999999999</v>
      </c>
      <c r="I664" s="6" t="n">
        <v>2</v>
      </c>
    </row>
    <row r="665">
      <c r="A665" s="9" t="n">
        <v>2015</v>
      </c>
      <c r="B665" s="9" t="inlineStr">
        <is>
          <t>fluorita</t>
        </is>
      </c>
      <c r="C665" s="9" t="inlineStr">
        <is>
          <t>E2 Fluoroquimica</t>
        </is>
      </c>
      <c r="D665" s="9" t="n">
        <v>182427511</v>
      </c>
      <c r="E665" s="9" t="inlineStr">
        <is>
          <t>Estados Unidos</t>
        </is>
      </c>
      <c r="F665" s="9" t="n">
        <v>0.9997</v>
      </c>
      <c r="G665" s="9" t="n">
        <v>0</v>
      </c>
      <c r="H665" s="9" t="n">
        <v>0.9997</v>
      </c>
      <c r="I665" s="9" t="n">
        <v>3</v>
      </c>
    </row>
    <row r="666">
      <c r="A666" s="6" t="n">
        <v>2015</v>
      </c>
      <c r="B666" s="6" t="inlineStr">
        <is>
          <t>grafito</t>
        </is>
      </c>
      <c r="C666" s="6" t="inlineStr">
        <is>
          <t>E1 Grafito natural</t>
        </is>
      </c>
      <c r="D666" s="6" t="n">
        <v>102168</v>
      </c>
      <c r="E666" s="6" t="inlineStr">
        <is>
          <t>Guatemala</t>
        </is>
      </c>
      <c r="F666" s="6" t="n">
        <v>1</v>
      </c>
      <c r="G666" s="6" t="n">
        <v>0</v>
      </c>
      <c r="H666" s="6" t="n">
        <v>0</v>
      </c>
      <c r="I666" s="6" t="n">
        <v>1</v>
      </c>
    </row>
    <row r="667">
      <c r="A667" s="9" t="n">
        <v>2015</v>
      </c>
      <c r="B667" s="9" t="inlineStr">
        <is>
          <t>grafito</t>
        </is>
      </c>
      <c r="C667" s="9" t="inlineStr">
        <is>
          <t>E2 Grafito artificial/prep.</t>
        </is>
      </c>
      <c r="D667" s="9" t="n">
        <v>27117314</v>
      </c>
      <c r="E667" s="9" t="inlineStr">
        <is>
          <t>Brasil</t>
        </is>
      </c>
      <c r="F667" s="9" t="n">
        <v>0.7044</v>
      </c>
      <c r="G667" s="9" t="n">
        <v>0</v>
      </c>
      <c r="H667" s="9" t="n">
        <v>0.2889</v>
      </c>
      <c r="I667" s="9" t="n">
        <v>6</v>
      </c>
    </row>
    <row r="668">
      <c r="A668" s="6" t="n">
        <v>2015</v>
      </c>
      <c r="B668" s="6" t="inlineStr">
        <is>
          <t>grafito</t>
        </is>
      </c>
      <c r="C668" s="6" t="inlineStr">
        <is>
          <t>E3 Electrodos/articulos de carbono</t>
        </is>
      </c>
      <c r="D668" s="6" t="n">
        <v>79390993</v>
      </c>
      <c r="E668" s="6" t="inlineStr">
        <is>
          <t>Estados Unidos</t>
        </is>
      </c>
      <c r="F668" s="6" t="n">
        <v>0.5656</v>
      </c>
      <c r="G668" s="6" t="n">
        <v>0.0324</v>
      </c>
      <c r="H668" s="6" t="n">
        <v>0.5656</v>
      </c>
      <c r="I668" s="6" t="n">
        <v>21</v>
      </c>
    </row>
    <row r="669">
      <c r="A669" s="9" t="n">
        <v>2015</v>
      </c>
      <c r="B669" s="9" t="inlineStr">
        <is>
          <t>manganeso</t>
        </is>
      </c>
      <c r="C669" s="9" t="inlineStr">
        <is>
          <t>E2 Ferroaleaciones</t>
        </is>
      </c>
      <c r="D669" s="9" t="n">
        <v>9092986</v>
      </c>
      <c r="E669" s="9" t="inlineStr">
        <is>
          <t>Estados Unidos</t>
        </is>
      </c>
      <c r="F669" s="9" t="n">
        <v>1</v>
      </c>
      <c r="G669" s="9" t="n">
        <v>0</v>
      </c>
      <c r="H669" s="9" t="n">
        <v>1</v>
      </c>
      <c r="I669" s="9" t="n">
        <v>1</v>
      </c>
    </row>
    <row r="670">
      <c r="A670" s="6" t="n">
        <v>2015</v>
      </c>
      <c r="B670" s="6" t="inlineStr">
        <is>
          <t>oro</t>
        </is>
      </c>
      <c r="C670" s="6" t="inlineStr">
        <is>
          <t>E1 Mena/concentrado</t>
        </is>
      </c>
      <c r="D670" s="6" t="n">
        <v>271995011</v>
      </c>
      <c r="E670" s="6" t="inlineStr">
        <is>
          <t>China</t>
        </is>
      </c>
      <c r="F670" s="6" t="n">
        <v>0.4497</v>
      </c>
      <c r="G670" s="6" t="n">
        <v>0.4497</v>
      </c>
      <c r="H670" s="6" t="n">
        <v>0</v>
      </c>
      <c r="I670" s="6" t="n">
        <v>4</v>
      </c>
    </row>
    <row r="671">
      <c r="A671" s="9" t="n">
        <v>2015</v>
      </c>
      <c r="B671" s="9" t="inlineStr">
        <is>
          <t>oro</t>
        </is>
      </c>
      <c r="C671" s="9" t="inlineStr">
        <is>
          <t>E2 Bruto/semilabrado</t>
        </is>
      </c>
      <c r="D671" s="9" t="n">
        <v>2872369467</v>
      </c>
      <c r="E671" s="9" t="inlineStr">
        <is>
          <t>Estados Unidos</t>
        </is>
      </c>
      <c r="F671" s="9" t="n">
        <v>0.9883</v>
      </c>
      <c r="G671" s="9" t="n">
        <v>0</v>
      </c>
      <c r="H671" s="9" t="n">
        <v>0.9883</v>
      </c>
      <c r="I671" s="9" t="n">
        <v>2</v>
      </c>
    </row>
    <row r="672">
      <c r="A672" s="6" t="n">
        <v>2015</v>
      </c>
      <c r="B672" s="6" t="inlineStr">
        <is>
          <t>oro-plata (manufacturas)</t>
        </is>
      </c>
      <c r="C672" s="6" t="inlineStr">
        <is>
          <t>E4 Joyeria/orfebreria</t>
        </is>
      </c>
      <c r="D672" s="6" t="n">
        <v>602373143</v>
      </c>
      <c r="E672" s="6" t="inlineStr">
        <is>
          <t>Estados Unidos</t>
        </is>
      </c>
      <c r="F672" s="6" t="n">
        <v>0.9016999999999999</v>
      </c>
      <c r="G672" s="6" t="n">
        <v>0</v>
      </c>
      <c r="H672" s="6" t="n">
        <v>0.9016999999999999</v>
      </c>
      <c r="I672" s="6" t="n">
        <v>33</v>
      </c>
    </row>
    <row r="673">
      <c r="A673" s="9" t="n">
        <v>2015</v>
      </c>
      <c r="B673" s="9" t="inlineStr">
        <is>
          <t>plata</t>
        </is>
      </c>
      <c r="C673" s="9" t="inlineStr">
        <is>
          <t>E1 Mena/concentrado</t>
        </is>
      </c>
      <c r="D673" s="9" t="n">
        <v>4428927</v>
      </c>
      <c r="E673" s="9" t="inlineStr">
        <is>
          <t>China</t>
        </is>
      </c>
      <c r="F673" s="9" t="n">
        <v>0.9413</v>
      </c>
      <c r="G673" s="9" t="n">
        <v>0.9413</v>
      </c>
      <c r="H673" s="9" t="n">
        <v>0.0587</v>
      </c>
      <c r="I673" s="9" t="n">
        <v>2</v>
      </c>
    </row>
    <row r="674">
      <c r="A674" s="6" t="n">
        <v>2015</v>
      </c>
      <c r="B674" s="6" t="inlineStr">
        <is>
          <t>plata</t>
        </is>
      </c>
      <c r="C674" s="6" t="inlineStr">
        <is>
          <t>E2 Bruto/semilabrado</t>
        </is>
      </c>
      <c r="D674" s="6" t="n">
        <v>1854205755</v>
      </c>
      <c r="E674" s="6" t="inlineStr">
        <is>
          <t>Estados Unidos</t>
        </is>
      </c>
      <c r="F674" s="6" t="n">
        <v>0.9775</v>
      </c>
      <c r="G674" s="6" t="n">
        <v>0</v>
      </c>
      <c r="H674" s="6" t="n">
        <v>0.9775</v>
      </c>
      <c r="I674" s="6" t="n">
        <v>4</v>
      </c>
    </row>
    <row r="675">
      <c r="A675" s="9" t="n">
        <v>2015</v>
      </c>
      <c r="B675" s="9" t="inlineStr">
        <is>
          <t>plomo</t>
        </is>
      </c>
      <c r="C675" s="9" t="inlineStr">
        <is>
          <t>E1 Mena/concentrado</t>
        </is>
      </c>
      <c r="D675" s="9" t="n">
        <v>893177730</v>
      </c>
      <c r="E675" s="9" t="inlineStr">
        <is>
          <t>Corea del Sur</t>
        </is>
      </c>
      <c r="F675" s="9" t="n">
        <v>0.5863</v>
      </c>
      <c r="G675" s="9" t="n">
        <v>0.1463</v>
      </c>
      <c r="H675" s="9" t="n">
        <v>0</v>
      </c>
      <c r="I675" s="9" t="n">
        <v>3</v>
      </c>
    </row>
    <row r="676">
      <c r="A676" s="6" t="n">
        <v>2015</v>
      </c>
      <c r="B676" s="6" t="inlineStr">
        <is>
          <t>plomo</t>
        </is>
      </c>
      <c r="C676" s="6" t="inlineStr">
        <is>
          <t>E2 Metal en bruto/refinado</t>
        </is>
      </c>
      <c r="D676" s="6" t="n">
        <v>165850366</v>
      </c>
      <c r="E676" s="6" t="inlineStr">
        <is>
          <t>Estados Unidos</t>
        </is>
      </c>
      <c r="F676" s="6" t="n">
        <v>0.7877999999999999</v>
      </c>
      <c r="G676" s="6" t="n">
        <v>0</v>
      </c>
      <c r="H676" s="6" t="n">
        <v>0.7877999999999999</v>
      </c>
      <c r="I676" s="6" t="n">
        <v>4</v>
      </c>
    </row>
    <row r="677">
      <c r="A677" s="9" t="n">
        <v>2015</v>
      </c>
      <c r="B677" s="9" t="inlineStr">
        <is>
          <t>plomo</t>
        </is>
      </c>
      <c r="C677" s="9" t="inlineStr">
        <is>
          <t>E3 Semimanufacturas</t>
        </is>
      </c>
      <c r="D677" s="9" t="n">
        <v>132295</v>
      </c>
      <c r="E677" s="9" t="inlineStr">
        <is>
          <t>Estados Unidos</t>
        </is>
      </c>
      <c r="F677" s="9" t="n">
        <v>1</v>
      </c>
      <c r="G677" s="9" t="n">
        <v>0</v>
      </c>
      <c r="H677" s="9" t="n">
        <v>1</v>
      </c>
      <c r="I677" s="9" t="n">
        <v>1</v>
      </c>
    </row>
    <row r="678">
      <c r="A678" s="6" t="n">
        <v>2015</v>
      </c>
      <c r="B678" s="6" t="inlineStr">
        <is>
          <t>silice</t>
        </is>
      </c>
      <c r="C678" s="6" t="inlineStr">
        <is>
          <t>E1 Arena silica/cuarzo</t>
        </is>
      </c>
      <c r="D678" s="6" t="n">
        <v>2315668</v>
      </c>
      <c r="E678" s="6" t="inlineStr">
        <is>
          <t>Estados Unidos</t>
        </is>
      </c>
      <c r="F678" s="6" t="n">
        <v>0.8328</v>
      </c>
      <c r="G678" s="6" t="n">
        <v>0</v>
      </c>
      <c r="H678" s="6" t="n">
        <v>0.8328</v>
      </c>
      <c r="I678" s="6" t="n">
        <v>3</v>
      </c>
    </row>
    <row r="679">
      <c r="A679" s="9" t="n">
        <v>2015</v>
      </c>
      <c r="B679" s="9" t="inlineStr">
        <is>
          <t>silice</t>
        </is>
      </c>
      <c r="C679" s="9" t="inlineStr">
        <is>
          <t>E2 Silicio/ferrosilicio/SiO2</t>
        </is>
      </c>
      <c r="D679" s="9" t="n">
        <v>5472738</v>
      </c>
      <c r="E679" s="9" t="inlineStr">
        <is>
          <t>Estados Unidos</t>
        </is>
      </c>
      <c r="F679" s="9" t="n">
        <v>0.9025</v>
      </c>
      <c r="G679" s="9" t="n">
        <v>0</v>
      </c>
      <c r="H679" s="9" t="n">
        <v>0.9025</v>
      </c>
      <c r="I679" s="9" t="n">
        <v>7</v>
      </c>
    </row>
    <row r="680">
      <c r="A680" s="6" t="n">
        <v>2015</v>
      </c>
      <c r="B680" s="6" t="inlineStr">
        <is>
          <t>zinc</t>
        </is>
      </c>
      <c r="C680" s="6" t="inlineStr">
        <is>
          <t>E1 Mena/concentrado</t>
        </is>
      </c>
      <c r="D680" s="6" t="n">
        <v>365685096</v>
      </c>
      <c r="E680" s="6" t="inlineStr">
        <is>
          <t>Corea del Sur</t>
        </is>
      </c>
      <c r="F680" s="6" t="n">
        <v>0.7588</v>
      </c>
      <c r="G680" s="6" t="n">
        <v>0.0437</v>
      </c>
      <c r="H680" s="6" t="n">
        <v>0</v>
      </c>
      <c r="I680" s="6" t="n">
        <v>3</v>
      </c>
    </row>
    <row r="681">
      <c r="A681" s="9" t="n">
        <v>2015</v>
      </c>
      <c r="B681" s="9" t="inlineStr">
        <is>
          <t>zinc</t>
        </is>
      </c>
      <c r="C681" s="9" t="inlineStr">
        <is>
          <t>E2 Metal en bruto/refinado</t>
        </is>
      </c>
      <c r="D681" s="9" t="n">
        <v>263224660</v>
      </c>
      <c r="E681" s="9" t="inlineStr">
        <is>
          <t>Estados Unidos</t>
        </is>
      </c>
      <c r="F681" s="9" t="n">
        <v>0.7798</v>
      </c>
      <c r="G681" s="9" t="n">
        <v>0</v>
      </c>
      <c r="H681" s="9" t="n">
        <v>0.7798</v>
      </c>
      <c r="I681" s="9" t="n">
        <v>3</v>
      </c>
    </row>
    <row r="682">
      <c r="A682" s="6" t="n">
        <v>2015</v>
      </c>
      <c r="B682" s="6" t="inlineStr">
        <is>
          <t>zinc</t>
        </is>
      </c>
      <c r="C682" s="6" t="inlineStr">
        <is>
          <t>E3 Semimanufacturas</t>
        </is>
      </c>
      <c r="D682" s="6" t="n">
        <v>2498171</v>
      </c>
      <c r="E682" s="6" t="inlineStr">
        <is>
          <t>Estados Unidos</t>
        </is>
      </c>
      <c r="F682" s="6" t="n">
        <v>1</v>
      </c>
      <c r="G682" s="6" t="n">
        <v>0</v>
      </c>
      <c r="H682" s="6" t="n">
        <v>1</v>
      </c>
      <c r="I682" s="6" t="n">
        <v>1</v>
      </c>
    </row>
    <row r="683">
      <c r="A683" s="9" t="n">
        <v>2016</v>
      </c>
      <c r="B683" s="9" t="inlineStr">
        <is>
          <t>cobre</t>
        </is>
      </c>
      <c r="C683" s="9" t="inlineStr">
        <is>
          <t>E1 Mena/concentrado</t>
        </is>
      </c>
      <c r="D683" s="9" t="n">
        <v>1323559500</v>
      </c>
      <c r="E683" s="9" t="inlineStr">
        <is>
          <t>China</t>
        </is>
      </c>
      <c r="F683" s="9" t="n">
        <v>0.794</v>
      </c>
      <c r="G683" s="9" t="n">
        <v>0.794</v>
      </c>
      <c r="H683" s="9" t="n">
        <v>0</v>
      </c>
      <c r="I683" s="9" t="n">
        <v>6</v>
      </c>
    </row>
    <row r="684">
      <c r="A684" s="6" t="n">
        <v>2016</v>
      </c>
      <c r="B684" s="6" t="inlineStr">
        <is>
          <t>cobre</t>
        </is>
      </c>
      <c r="C684" s="6" t="inlineStr">
        <is>
          <t>E2 Metal en bruto/refinado</t>
        </is>
      </c>
      <c r="D684" s="6" t="n">
        <v>849212300</v>
      </c>
      <c r="E684" s="6" t="inlineStr">
        <is>
          <t>Estados Unidos</t>
        </is>
      </c>
      <c r="F684" s="6" t="n">
        <v>0.593</v>
      </c>
      <c r="G684" s="6" t="n">
        <v>0.2806</v>
      </c>
      <c r="H684" s="6" t="n">
        <v>0.593</v>
      </c>
      <c r="I684" s="6" t="n">
        <v>8</v>
      </c>
    </row>
    <row r="685">
      <c r="A685" s="9" t="n">
        <v>2016</v>
      </c>
      <c r="B685" s="9" t="inlineStr">
        <is>
          <t>cobre</t>
        </is>
      </c>
      <c r="C685" s="9" t="inlineStr">
        <is>
          <t>E3 Semimanufacturas</t>
        </is>
      </c>
      <c r="D685" s="9" t="n">
        <v>423644403</v>
      </c>
      <c r="E685" s="9" t="inlineStr">
        <is>
          <t>Estados Unidos</t>
        </is>
      </c>
      <c r="F685" s="9" t="n">
        <v>0.7544999999999999</v>
      </c>
      <c r="G685" s="9" t="n">
        <v>0.0034</v>
      </c>
      <c r="H685" s="9" t="n">
        <v>0.7544999999999999</v>
      </c>
      <c r="I685" s="9" t="n">
        <v>32</v>
      </c>
    </row>
    <row r="686">
      <c r="A686" s="6" t="n">
        <v>2016</v>
      </c>
      <c r="B686" s="6" t="inlineStr">
        <is>
          <t>cobre</t>
        </is>
      </c>
      <c r="C686" s="6" t="inlineStr">
        <is>
          <t>E4 Manufacturas</t>
        </is>
      </c>
      <c r="D686" s="6" t="n">
        <v>48502003</v>
      </c>
      <c r="E686" s="6" t="inlineStr">
        <is>
          <t>Estados Unidos</t>
        </is>
      </c>
      <c r="F686" s="6" t="n">
        <v>0.9101</v>
      </c>
      <c r="G686" s="6" t="n">
        <v>0.0001</v>
      </c>
      <c r="H686" s="6" t="n">
        <v>0.9101</v>
      </c>
      <c r="I686" s="6" t="n">
        <v>40</v>
      </c>
    </row>
    <row r="687">
      <c r="A687" s="9" t="n">
        <v>2016</v>
      </c>
      <c r="B687" s="9" t="inlineStr">
        <is>
          <t>fluorita</t>
        </is>
      </c>
      <c r="C687" s="9" t="inlineStr">
        <is>
          <t>E1 Espato fluor (crudo)</t>
        </is>
      </c>
      <c r="D687" s="9" t="n">
        <v>62572145</v>
      </c>
      <c r="E687" s="9" t="inlineStr">
        <is>
          <t>Estados Unidos</t>
        </is>
      </c>
      <c r="F687" s="9" t="n">
        <v>0.9932</v>
      </c>
      <c r="G687" s="9" t="n">
        <v>0</v>
      </c>
      <c r="H687" s="9" t="n">
        <v>0.9932</v>
      </c>
      <c r="I687" s="9" t="n">
        <v>2</v>
      </c>
    </row>
    <row r="688">
      <c r="A688" s="6" t="n">
        <v>2016</v>
      </c>
      <c r="B688" s="6" t="inlineStr">
        <is>
          <t>fluorita</t>
        </is>
      </c>
      <c r="C688" s="6" t="inlineStr">
        <is>
          <t>E2 Fluoroquimica</t>
        </is>
      </c>
      <c r="D688" s="6" t="n">
        <v>170727897</v>
      </c>
      <c r="E688" s="6" t="inlineStr">
        <is>
          <t>Estados Unidos</t>
        </is>
      </c>
      <c r="F688" s="6" t="n">
        <v>0.9999</v>
      </c>
      <c r="G688" s="6" t="n">
        <v>0</v>
      </c>
      <c r="H688" s="6" t="n">
        <v>0.9999</v>
      </c>
      <c r="I688" s="6" t="n">
        <v>2</v>
      </c>
    </row>
    <row r="689">
      <c r="A689" s="9" t="n">
        <v>2016</v>
      </c>
      <c r="B689" s="9" t="inlineStr">
        <is>
          <t>grafito</t>
        </is>
      </c>
      <c r="C689" s="9" t="inlineStr">
        <is>
          <t>E1 Grafito natural</t>
        </is>
      </c>
      <c r="D689" s="9" t="n">
        <v>3889142</v>
      </c>
      <c r="E689" s="9" t="inlineStr">
        <is>
          <t>Estados Unidos</t>
        </is>
      </c>
      <c r="F689" s="9" t="n">
        <v>0.9868</v>
      </c>
      <c r="G689" s="9" t="n">
        <v>0</v>
      </c>
      <c r="H689" s="9" t="n">
        <v>0.9868</v>
      </c>
      <c r="I689" s="9" t="n">
        <v>2</v>
      </c>
    </row>
    <row r="690">
      <c r="A690" s="6" t="n">
        <v>2016</v>
      </c>
      <c r="B690" s="6" t="inlineStr">
        <is>
          <t>grafito</t>
        </is>
      </c>
      <c r="C690" s="6" t="inlineStr">
        <is>
          <t>E2 Grafito artificial/prep.</t>
        </is>
      </c>
      <c r="D690" s="6" t="n">
        <v>29900022</v>
      </c>
      <c r="E690" s="6" t="inlineStr">
        <is>
          <t>Brasil</t>
        </is>
      </c>
      <c r="F690" s="6" t="n">
        <v>0.5949</v>
      </c>
      <c r="G690" s="6" t="n">
        <v>0.0328</v>
      </c>
      <c r="H690" s="6" t="n">
        <v>0.3653</v>
      </c>
      <c r="I690" s="6" t="n">
        <v>6</v>
      </c>
    </row>
    <row r="691">
      <c r="A691" s="9" t="n">
        <v>2016</v>
      </c>
      <c r="B691" s="9" t="inlineStr">
        <is>
          <t>grafito</t>
        </is>
      </c>
      <c r="C691" s="9" t="inlineStr">
        <is>
          <t>E3 Electrodos/articulos de carbono</t>
        </is>
      </c>
      <c r="D691" s="9" t="n">
        <v>60731754</v>
      </c>
      <c r="E691" s="9" t="inlineStr">
        <is>
          <t>Estados Unidos</t>
        </is>
      </c>
      <c r="F691" s="9" t="n">
        <v>0.6926</v>
      </c>
      <c r="G691" s="9" t="n">
        <v>0.0237</v>
      </c>
      <c r="H691" s="9" t="n">
        <v>0.6926</v>
      </c>
      <c r="I691" s="9" t="n">
        <v>20</v>
      </c>
    </row>
    <row r="692">
      <c r="A692" s="6" t="n">
        <v>2016</v>
      </c>
      <c r="B692" s="6" t="inlineStr">
        <is>
          <t>manganeso</t>
        </is>
      </c>
      <c r="C692" s="6" t="inlineStr">
        <is>
          <t>E2 Ferroaleaciones</t>
        </is>
      </c>
      <c r="D692" s="6" t="n">
        <v>33549583</v>
      </c>
      <c r="E692" s="6" t="inlineStr">
        <is>
          <t>Estados Unidos</t>
        </is>
      </c>
      <c r="F692" s="6" t="n">
        <v>0.8707</v>
      </c>
      <c r="G692" s="6" t="n">
        <v>0</v>
      </c>
      <c r="H692" s="6" t="n">
        <v>0.8707</v>
      </c>
      <c r="I692" s="6" t="n">
        <v>4</v>
      </c>
    </row>
    <row r="693">
      <c r="A693" s="9" t="n">
        <v>2016</v>
      </c>
      <c r="B693" s="9" t="inlineStr">
        <is>
          <t>oro</t>
        </is>
      </c>
      <c r="C693" s="9" t="inlineStr">
        <is>
          <t>E1 Mena/concentrado</t>
        </is>
      </c>
      <c r="D693" s="9" t="n">
        <v>248450033</v>
      </c>
      <c r="E693" s="9" t="inlineStr">
        <is>
          <t>China</t>
        </is>
      </c>
      <c r="F693" s="9" t="n">
        <v>0.5145999999999999</v>
      </c>
      <c r="G693" s="9" t="n">
        <v>0.5145999999999999</v>
      </c>
      <c r="H693" s="9" t="n">
        <v>0</v>
      </c>
      <c r="I693" s="9" t="n">
        <v>4</v>
      </c>
    </row>
    <row r="694">
      <c r="A694" s="6" t="n">
        <v>2016</v>
      </c>
      <c r="B694" s="6" t="inlineStr">
        <is>
          <t>oro</t>
        </is>
      </c>
      <c r="C694" s="6" t="inlineStr">
        <is>
          <t>E2 Bruto/semilabrado</t>
        </is>
      </c>
      <c r="D694" s="6" t="n">
        <v>3239243110</v>
      </c>
      <c r="E694" s="6" t="inlineStr">
        <is>
          <t>Estados Unidos</t>
        </is>
      </c>
      <c r="F694" s="6" t="n">
        <v>0.9893999999999999</v>
      </c>
      <c r="G694" s="6" t="n">
        <v>0</v>
      </c>
      <c r="H694" s="6" t="n">
        <v>0.9893999999999999</v>
      </c>
      <c r="I694" s="6" t="n">
        <v>3</v>
      </c>
    </row>
    <row r="695">
      <c r="A695" s="9" t="n">
        <v>2016</v>
      </c>
      <c r="B695" s="9" t="inlineStr">
        <is>
          <t>oro-plata (manufacturas)</t>
        </is>
      </c>
      <c r="C695" s="9" t="inlineStr">
        <is>
          <t>E4 Joyeria/orfebreria</t>
        </is>
      </c>
      <c r="D695" s="9" t="n">
        <v>431545958</v>
      </c>
      <c r="E695" s="9" t="inlineStr">
        <is>
          <t>Estados Unidos</t>
        </is>
      </c>
      <c r="F695" s="9" t="n">
        <v>0.8888</v>
      </c>
      <c r="G695" s="9" t="n">
        <v>0</v>
      </c>
      <c r="H695" s="9" t="n">
        <v>0.8888</v>
      </c>
      <c r="I695" s="9" t="n">
        <v>24</v>
      </c>
    </row>
    <row r="696">
      <c r="A696" s="6" t="n">
        <v>2016</v>
      </c>
      <c r="B696" s="6" t="inlineStr">
        <is>
          <t>plata</t>
        </is>
      </c>
      <c r="C696" s="6" t="inlineStr">
        <is>
          <t>E1 Mena/concentrado</t>
        </is>
      </c>
      <c r="D696" s="6" t="n">
        <v>25474960</v>
      </c>
      <c r="E696" s="6" t="inlineStr">
        <is>
          <t>China</t>
        </is>
      </c>
      <c r="F696" s="6" t="n">
        <v>0.9382</v>
      </c>
      <c r="G696" s="6" t="n">
        <v>0.9382</v>
      </c>
      <c r="H696" s="6" t="n">
        <v>0.0618</v>
      </c>
      <c r="I696" s="6" t="n">
        <v>2</v>
      </c>
    </row>
    <row r="697">
      <c r="A697" s="9" t="n">
        <v>2016</v>
      </c>
      <c r="B697" s="9" t="inlineStr">
        <is>
          <t>plata</t>
        </is>
      </c>
      <c r="C697" s="9" t="inlineStr">
        <is>
          <t>E2 Bruto/semilabrado</t>
        </is>
      </c>
      <c r="D697" s="9" t="n">
        <v>1881367958</v>
      </c>
      <c r="E697" s="9" t="inlineStr">
        <is>
          <t>Estados Unidos</t>
        </is>
      </c>
      <c r="F697" s="9" t="n">
        <v>0.9841</v>
      </c>
      <c r="G697" s="9" t="n">
        <v>0</v>
      </c>
      <c r="H697" s="9" t="n">
        <v>0.9841</v>
      </c>
      <c r="I697" s="9" t="n">
        <v>5</v>
      </c>
    </row>
    <row r="698">
      <c r="A698" s="6" t="n">
        <v>2016</v>
      </c>
      <c r="B698" s="6" t="inlineStr">
        <is>
          <t>plomo</t>
        </is>
      </c>
      <c r="C698" s="6" t="inlineStr">
        <is>
          <t>E1 Mena/concentrado</t>
        </is>
      </c>
      <c r="D698" s="6" t="n">
        <v>780501188</v>
      </c>
      <c r="E698" s="6" t="inlineStr">
        <is>
          <t>Corea del Sur</t>
        </is>
      </c>
      <c r="F698" s="6" t="n">
        <v>0.4248</v>
      </c>
      <c r="G698" s="6" t="n">
        <v>0.2024</v>
      </c>
      <c r="H698" s="6" t="n">
        <v>0</v>
      </c>
      <c r="I698" s="6" t="n">
        <v>5</v>
      </c>
    </row>
    <row r="699">
      <c r="A699" s="9" t="n">
        <v>2016</v>
      </c>
      <c r="B699" s="9" t="inlineStr">
        <is>
          <t>plomo</t>
        </is>
      </c>
      <c r="C699" s="9" t="inlineStr">
        <is>
          <t>E2 Metal en bruto/refinado</t>
        </is>
      </c>
      <c r="D699" s="9" t="n">
        <v>4290555</v>
      </c>
      <c r="E699" s="9" t="inlineStr">
        <is>
          <t>Corea del Sur</t>
        </is>
      </c>
      <c r="F699" s="9" t="n">
        <v>0.4725</v>
      </c>
      <c r="G699" s="9" t="n">
        <v>0</v>
      </c>
      <c r="H699" s="9" t="n">
        <v>0</v>
      </c>
      <c r="I699" s="9" t="n">
        <v>3</v>
      </c>
    </row>
    <row r="700">
      <c r="A700" s="6" t="n">
        <v>2016</v>
      </c>
      <c r="B700" s="6" t="inlineStr">
        <is>
          <t>plomo</t>
        </is>
      </c>
      <c r="C700" s="6" t="inlineStr">
        <is>
          <t>E3 Semimanufacturas</t>
        </is>
      </c>
      <c r="D700" s="6" t="n">
        <v>1065391</v>
      </c>
      <c r="E700" s="6" t="inlineStr">
        <is>
          <t>Estados Unidos</t>
        </is>
      </c>
      <c r="F700" s="6" t="n">
        <v>1</v>
      </c>
      <c r="G700" s="6" t="n">
        <v>0</v>
      </c>
      <c r="H700" s="6" t="n">
        <v>1</v>
      </c>
      <c r="I700" s="6" t="n">
        <v>1</v>
      </c>
    </row>
    <row r="701">
      <c r="A701" s="9" t="n">
        <v>2016</v>
      </c>
      <c r="B701" s="9" t="inlineStr">
        <is>
          <t>silice</t>
        </is>
      </c>
      <c r="C701" s="9" t="inlineStr">
        <is>
          <t>E1 Arena silica/cuarzo</t>
        </is>
      </c>
      <c r="D701" s="9" t="n">
        <v>1864350</v>
      </c>
      <c r="E701" s="9" t="inlineStr">
        <is>
          <t>Estados Unidos</t>
        </is>
      </c>
      <c r="F701" s="9" t="n">
        <v>0.8986</v>
      </c>
      <c r="G701" s="9" t="n">
        <v>0</v>
      </c>
      <c r="H701" s="9" t="n">
        <v>0.8986</v>
      </c>
      <c r="I701" s="9" t="n">
        <v>8</v>
      </c>
    </row>
    <row r="702">
      <c r="A702" s="6" t="n">
        <v>2016</v>
      </c>
      <c r="B702" s="6" t="inlineStr">
        <is>
          <t>silice</t>
        </is>
      </c>
      <c r="C702" s="6" t="inlineStr">
        <is>
          <t>E2 Silicio/ferrosilicio/SiO2</t>
        </is>
      </c>
      <c r="D702" s="6" t="n">
        <v>5166174</v>
      </c>
      <c r="E702" s="6" t="inlineStr">
        <is>
          <t>Estados Unidos</t>
        </is>
      </c>
      <c r="F702" s="6" t="n">
        <v>0.9146</v>
      </c>
      <c r="G702" s="6" t="n">
        <v>0</v>
      </c>
      <c r="H702" s="6" t="n">
        <v>0.9146</v>
      </c>
      <c r="I702" s="6" t="n">
        <v>13</v>
      </c>
    </row>
    <row r="703">
      <c r="A703" s="9" t="n">
        <v>2016</v>
      </c>
      <c r="B703" s="9" t="inlineStr">
        <is>
          <t>zinc</t>
        </is>
      </c>
      <c r="C703" s="9" t="inlineStr">
        <is>
          <t>E1 Mena/concentrado</t>
        </is>
      </c>
      <c r="D703" s="9" t="n">
        <v>564250705</v>
      </c>
      <c r="E703" s="9" t="inlineStr">
        <is>
          <t>Corea del Sur</t>
        </is>
      </c>
      <c r="F703" s="9" t="n">
        <v>0.4711</v>
      </c>
      <c r="G703" s="9" t="n">
        <v>0.0331</v>
      </c>
      <c r="H703" s="9" t="n">
        <v>0</v>
      </c>
      <c r="I703" s="9" t="n">
        <v>7</v>
      </c>
    </row>
    <row r="704">
      <c r="A704" s="6" t="n">
        <v>2016</v>
      </c>
      <c r="B704" s="6" t="inlineStr">
        <is>
          <t>zinc</t>
        </is>
      </c>
      <c r="C704" s="6" t="inlineStr">
        <is>
          <t>E2 Metal en bruto/refinado</t>
        </is>
      </c>
      <c r="D704" s="6" t="n">
        <v>199503651</v>
      </c>
      <c r="E704" s="6" t="inlineStr">
        <is>
          <t>Estados Unidos</t>
        </is>
      </c>
      <c r="F704" s="6" t="n">
        <v>0.9459</v>
      </c>
      <c r="G704" s="6" t="n">
        <v>0</v>
      </c>
      <c r="H704" s="6" t="n">
        <v>0.9459</v>
      </c>
      <c r="I704" s="6" t="n">
        <v>2</v>
      </c>
    </row>
    <row r="705">
      <c r="A705" s="9" t="n">
        <v>2016</v>
      </c>
      <c r="B705" s="9" t="inlineStr">
        <is>
          <t>zinc</t>
        </is>
      </c>
      <c r="C705" s="9" t="inlineStr">
        <is>
          <t>E3 Semimanufacturas</t>
        </is>
      </c>
      <c r="D705" s="9" t="n">
        <v>644751</v>
      </c>
      <c r="E705" s="9" t="inlineStr">
        <is>
          <t>Estados Unidos</t>
        </is>
      </c>
      <c r="F705" s="9" t="n">
        <v>1</v>
      </c>
      <c r="G705" s="9" t="n">
        <v>0</v>
      </c>
      <c r="H705" s="9" t="n">
        <v>1</v>
      </c>
      <c r="I705" s="9" t="n">
        <v>1</v>
      </c>
    </row>
    <row r="706">
      <c r="A706" s="6" t="n">
        <v>2017</v>
      </c>
      <c r="B706" s="6" t="inlineStr">
        <is>
          <t>barita</t>
        </is>
      </c>
      <c r="C706" s="6" t="inlineStr">
        <is>
          <t>E2 Quimicos de bario</t>
        </is>
      </c>
      <c r="D706" s="6" t="n">
        <v>27260</v>
      </c>
      <c r="E706" s="6" t="inlineStr">
        <is>
          <t>Espana</t>
        </is>
      </c>
      <c r="F706" s="6" t="n">
        <v>1</v>
      </c>
      <c r="G706" s="6" t="n">
        <v>0</v>
      </c>
      <c r="H706" s="6" t="n">
        <v>0</v>
      </c>
      <c r="I706" s="6" t="n">
        <v>1</v>
      </c>
    </row>
    <row r="707">
      <c r="A707" s="9" t="n">
        <v>2017</v>
      </c>
      <c r="B707" s="9" t="inlineStr">
        <is>
          <t>cobre</t>
        </is>
      </c>
      <c r="C707" s="9" t="inlineStr">
        <is>
          <t>E1 Mena/concentrado</t>
        </is>
      </c>
      <c r="D707" s="9" t="n">
        <v>1568943333</v>
      </c>
      <c r="E707" s="9" t="inlineStr">
        <is>
          <t>China</t>
        </is>
      </c>
      <c r="F707" s="9" t="n">
        <v>0.9136</v>
      </c>
      <c r="G707" s="9" t="n">
        <v>0.9136</v>
      </c>
      <c r="H707" s="9" t="n">
        <v>0.0167</v>
      </c>
      <c r="I707" s="9" t="n">
        <v>4</v>
      </c>
    </row>
    <row r="708">
      <c r="A708" s="6" t="n">
        <v>2017</v>
      </c>
      <c r="B708" s="6" t="inlineStr">
        <is>
          <t>cobre</t>
        </is>
      </c>
      <c r="C708" s="6" t="inlineStr">
        <is>
          <t>E2 Metal en bruto/refinado</t>
        </is>
      </c>
      <c r="D708" s="6" t="n">
        <v>880701469</v>
      </c>
      <c r="E708" s="6" t="inlineStr">
        <is>
          <t>Estados Unidos</t>
        </is>
      </c>
      <c r="F708" s="6" t="n">
        <v>0.5206</v>
      </c>
      <c r="G708" s="6" t="n">
        <v>0.3964</v>
      </c>
      <c r="H708" s="6" t="n">
        <v>0.5206</v>
      </c>
      <c r="I708" s="6" t="n">
        <v>4</v>
      </c>
    </row>
    <row r="709">
      <c r="A709" s="9" t="n">
        <v>2017</v>
      </c>
      <c r="B709" s="9" t="inlineStr">
        <is>
          <t>cobre</t>
        </is>
      </c>
      <c r="C709" s="9" t="inlineStr">
        <is>
          <t>E3 Semimanufacturas</t>
        </is>
      </c>
      <c r="D709" s="9" t="n">
        <v>362960989</v>
      </c>
      <c r="E709" s="9" t="inlineStr">
        <is>
          <t>Estados Unidos</t>
        </is>
      </c>
      <c r="F709" s="9" t="n">
        <v>0.6904</v>
      </c>
      <c r="G709" s="9" t="n">
        <v>0.0029</v>
      </c>
      <c r="H709" s="9" t="n">
        <v>0.6904</v>
      </c>
      <c r="I709" s="9" t="n">
        <v>29</v>
      </c>
    </row>
    <row r="710">
      <c r="A710" s="6" t="n">
        <v>2017</v>
      </c>
      <c r="B710" s="6" t="inlineStr">
        <is>
          <t>cobre</t>
        </is>
      </c>
      <c r="C710" s="6" t="inlineStr">
        <is>
          <t>E4 Manufacturas</t>
        </is>
      </c>
      <c r="D710" s="6" t="n">
        <v>48774107</v>
      </c>
      <c r="E710" s="6" t="inlineStr">
        <is>
          <t>Estados Unidos</t>
        </is>
      </c>
      <c r="F710" s="6" t="n">
        <v>0.8986</v>
      </c>
      <c r="G710" s="6" t="n">
        <v>0.0005999999999999999</v>
      </c>
      <c r="H710" s="6" t="n">
        <v>0.8986</v>
      </c>
      <c r="I710" s="6" t="n">
        <v>36</v>
      </c>
    </row>
    <row r="711">
      <c r="A711" s="9" t="n">
        <v>2017</v>
      </c>
      <c r="B711" s="9" t="inlineStr">
        <is>
          <t>fluorita</t>
        </is>
      </c>
      <c r="C711" s="9" t="inlineStr">
        <is>
          <t>E1 Espato fluor (crudo)</t>
        </is>
      </c>
      <c r="D711" s="9" t="n">
        <v>71003890</v>
      </c>
      <c r="E711" s="9" t="inlineStr">
        <is>
          <t>Estados Unidos</t>
        </is>
      </c>
      <c r="F711" s="9" t="n">
        <v>0.8663999999999999</v>
      </c>
      <c r="G711" s="9" t="n">
        <v>0</v>
      </c>
      <c r="H711" s="9" t="n">
        <v>0.8663999999999999</v>
      </c>
      <c r="I711" s="9" t="n">
        <v>6</v>
      </c>
    </row>
    <row r="712">
      <c r="A712" s="6" t="n">
        <v>2017</v>
      </c>
      <c r="B712" s="6" t="inlineStr">
        <is>
          <t>fluorita</t>
        </is>
      </c>
      <c r="C712" s="6" t="inlineStr">
        <is>
          <t>E2 Fluoroquimica</t>
        </is>
      </c>
      <c r="D712" s="6" t="n">
        <v>159772884</v>
      </c>
      <c r="E712" s="6" t="inlineStr">
        <is>
          <t>Estados Unidos</t>
        </is>
      </c>
      <c r="F712" s="6" t="n">
        <v>1</v>
      </c>
      <c r="G712" s="6" t="n">
        <v>0</v>
      </c>
      <c r="H712" s="6" t="n">
        <v>1</v>
      </c>
      <c r="I712" s="6" t="n">
        <v>1</v>
      </c>
    </row>
    <row r="713">
      <c r="A713" s="9" t="n">
        <v>2017</v>
      </c>
      <c r="B713" s="9" t="inlineStr">
        <is>
          <t>grafito</t>
        </is>
      </c>
      <c r="C713" s="9" t="inlineStr">
        <is>
          <t>E1 Grafito natural</t>
        </is>
      </c>
      <c r="D713" s="9" t="n">
        <v>5527568</v>
      </c>
      <c r="E713" s="9" t="inlineStr">
        <is>
          <t>Estados Unidos</t>
        </is>
      </c>
      <c r="F713" s="9" t="n">
        <v>0.9946</v>
      </c>
      <c r="G713" s="9" t="n">
        <v>0</v>
      </c>
      <c r="H713" s="9" t="n">
        <v>0.9946</v>
      </c>
      <c r="I713" s="9" t="n">
        <v>2</v>
      </c>
    </row>
    <row r="714">
      <c r="A714" s="6" t="n">
        <v>2017</v>
      </c>
      <c r="B714" s="6" t="inlineStr">
        <is>
          <t>grafito</t>
        </is>
      </c>
      <c r="C714" s="6" t="inlineStr">
        <is>
          <t>E2 Grafito artificial/prep.</t>
        </is>
      </c>
      <c r="D714" s="6" t="n">
        <v>7126988</v>
      </c>
      <c r="E714" s="6" t="inlineStr">
        <is>
          <t>Estados Unidos</t>
        </is>
      </c>
      <c r="F714" s="6" t="n">
        <v>0.7701</v>
      </c>
      <c r="G714" s="6" t="n">
        <v>0.2266</v>
      </c>
      <c r="H714" s="6" t="n">
        <v>0.7701</v>
      </c>
      <c r="I714" s="6" t="n">
        <v>7</v>
      </c>
    </row>
    <row r="715">
      <c r="A715" s="9" t="n">
        <v>2017</v>
      </c>
      <c r="B715" s="9" t="inlineStr">
        <is>
          <t>grafito</t>
        </is>
      </c>
      <c r="C715" s="9" t="inlineStr">
        <is>
          <t>E3 Electrodos/articulos de carbono</t>
        </is>
      </c>
      <c r="D715" s="9" t="n">
        <v>82714659</v>
      </c>
      <c r="E715" s="9" t="inlineStr">
        <is>
          <t>Estados Unidos</t>
        </is>
      </c>
      <c r="F715" s="9" t="n">
        <v>0.6661</v>
      </c>
      <c r="G715" s="9" t="n">
        <v>0.0216</v>
      </c>
      <c r="H715" s="9" t="n">
        <v>0.6661</v>
      </c>
      <c r="I715" s="9" t="n">
        <v>23</v>
      </c>
    </row>
    <row r="716">
      <c r="A716" s="6" t="n">
        <v>2017</v>
      </c>
      <c r="B716" s="6" t="inlineStr">
        <is>
          <t>manganeso</t>
        </is>
      </c>
      <c r="C716" s="6" t="inlineStr">
        <is>
          <t>E2 Ferroaleaciones</t>
        </is>
      </c>
      <c r="D716" s="6" t="n">
        <v>43493136</v>
      </c>
      <c r="E716" s="6" t="inlineStr">
        <is>
          <t>Estados Unidos</t>
        </is>
      </c>
      <c r="F716" s="6" t="n">
        <v>0.9076</v>
      </c>
      <c r="G716" s="6" t="n">
        <v>0</v>
      </c>
      <c r="H716" s="6" t="n">
        <v>0.9076</v>
      </c>
      <c r="I716" s="6" t="n">
        <v>4</v>
      </c>
    </row>
    <row r="717">
      <c r="A717" s="9" t="n">
        <v>2017</v>
      </c>
      <c r="B717" s="9" t="inlineStr">
        <is>
          <t>oro</t>
        </is>
      </c>
      <c r="C717" s="9" t="inlineStr">
        <is>
          <t>E1 Mena/concentrado</t>
        </is>
      </c>
      <c r="D717" s="9" t="n">
        <v>324859161</v>
      </c>
      <c r="E717" s="9" t="inlineStr">
        <is>
          <t>China</t>
        </is>
      </c>
      <c r="F717" s="9" t="n">
        <v>0.427</v>
      </c>
      <c r="G717" s="9" t="n">
        <v>0.427</v>
      </c>
      <c r="H717" s="9" t="n">
        <v>0</v>
      </c>
      <c r="I717" s="9" t="n">
        <v>4</v>
      </c>
    </row>
    <row r="718">
      <c r="A718" s="6" t="n">
        <v>2017</v>
      </c>
      <c r="B718" s="6" t="inlineStr">
        <is>
          <t>oro</t>
        </is>
      </c>
      <c r="C718" s="6" t="inlineStr">
        <is>
          <t>E2 Bruto/semilabrado</t>
        </is>
      </c>
      <c r="D718" s="6" t="n">
        <v>3221237216</v>
      </c>
      <c r="E718" s="6" t="inlineStr">
        <is>
          <t>Estados Unidos</t>
        </is>
      </c>
      <c r="F718" s="6" t="n">
        <v>0.9878</v>
      </c>
      <c r="G718" s="6" t="n">
        <v>0</v>
      </c>
      <c r="H718" s="6" t="n">
        <v>0.9878</v>
      </c>
      <c r="I718" s="6" t="n">
        <v>3</v>
      </c>
    </row>
    <row r="719">
      <c r="A719" s="9" t="n">
        <v>2017</v>
      </c>
      <c r="B719" s="9" t="inlineStr">
        <is>
          <t>oro-plata (manufacturas)</t>
        </is>
      </c>
      <c r="C719" s="9" t="inlineStr">
        <is>
          <t>E4 Joyeria/orfebreria</t>
        </is>
      </c>
      <c r="D719" s="9" t="n">
        <v>302267048</v>
      </c>
      <c r="E719" s="9" t="inlineStr">
        <is>
          <t>Estados Unidos</t>
        </is>
      </c>
      <c r="F719" s="9" t="n">
        <v>0.8606</v>
      </c>
      <c r="G719" s="9" t="n">
        <v>0</v>
      </c>
      <c r="H719" s="9" t="n">
        <v>0.8606</v>
      </c>
      <c r="I719" s="9" t="n">
        <v>28</v>
      </c>
    </row>
    <row r="720">
      <c r="A720" s="6" t="n">
        <v>2017</v>
      </c>
      <c r="B720" s="6" t="inlineStr">
        <is>
          <t>plata</t>
        </is>
      </c>
      <c r="C720" s="6" t="inlineStr">
        <is>
          <t>E1 Mena/concentrado</t>
        </is>
      </c>
      <c r="D720" s="6" t="n">
        <v>35742289</v>
      </c>
      <c r="E720" s="6" t="inlineStr">
        <is>
          <t>China</t>
        </is>
      </c>
      <c r="F720" s="6" t="n">
        <v>1</v>
      </c>
      <c r="G720" s="6" t="n">
        <v>1</v>
      </c>
      <c r="H720" s="6" t="n">
        <v>0</v>
      </c>
      <c r="I720" s="6" t="n">
        <v>1</v>
      </c>
    </row>
    <row r="721">
      <c r="A721" s="9" t="n">
        <v>2017</v>
      </c>
      <c r="B721" s="9" t="inlineStr">
        <is>
          <t>plata</t>
        </is>
      </c>
      <c r="C721" s="9" t="inlineStr">
        <is>
          <t>E2 Bruto/semilabrado</t>
        </is>
      </c>
      <c r="D721" s="9" t="n">
        <v>1820093056</v>
      </c>
      <c r="E721" s="9" t="inlineStr">
        <is>
          <t>Estados Unidos</t>
        </is>
      </c>
      <c r="F721" s="9" t="n">
        <v>0.9995000000000001</v>
      </c>
      <c r="G721" s="9" t="n">
        <v>0</v>
      </c>
      <c r="H721" s="9" t="n">
        <v>0.9995000000000001</v>
      </c>
      <c r="I721" s="9" t="n">
        <v>2</v>
      </c>
    </row>
    <row r="722">
      <c r="A722" s="6" t="n">
        <v>2017</v>
      </c>
      <c r="B722" s="6" t="inlineStr">
        <is>
          <t>plomo</t>
        </is>
      </c>
      <c r="C722" s="6" t="inlineStr">
        <is>
          <t>E1 Mena/concentrado</t>
        </is>
      </c>
      <c r="D722" s="6" t="n">
        <v>978705634</v>
      </c>
      <c r="E722" s="6" t="inlineStr">
        <is>
          <t>Corea del Sur</t>
        </is>
      </c>
      <c r="F722" s="6" t="n">
        <v>0.4509</v>
      </c>
      <c r="G722" s="6" t="n">
        <v>0.2309</v>
      </c>
      <c r="H722" s="6" t="n">
        <v>0</v>
      </c>
      <c r="I722" s="6" t="n">
        <v>5</v>
      </c>
    </row>
    <row r="723">
      <c r="A723" s="9" t="n">
        <v>2017</v>
      </c>
      <c r="B723" s="9" t="inlineStr">
        <is>
          <t>plomo</t>
        </is>
      </c>
      <c r="C723" s="9" t="inlineStr">
        <is>
          <t>E2 Metal en bruto/refinado</t>
        </is>
      </c>
      <c r="D723" s="9" t="n">
        <v>189087197</v>
      </c>
      <c r="E723" s="9" t="inlineStr">
        <is>
          <t>Estados Unidos</t>
        </is>
      </c>
      <c r="F723" s="9" t="n">
        <v>1</v>
      </c>
      <c r="G723" s="9" t="n">
        <v>0</v>
      </c>
      <c r="H723" s="9" t="n">
        <v>1</v>
      </c>
      <c r="I723" s="9" t="n">
        <v>1</v>
      </c>
    </row>
    <row r="724">
      <c r="A724" s="6" t="n">
        <v>2017</v>
      </c>
      <c r="B724" s="6" t="inlineStr">
        <is>
          <t>plomo</t>
        </is>
      </c>
      <c r="C724" s="6" t="inlineStr">
        <is>
          <t>E3 Semimanufacturas</t>
        </is>
      </c>
      <c r="D724" s="6" t="n">
        <v>789774</v>
      </c>
      <c r="E724" s="6" t="inlineStr">
        <is>
          <t>Estados Unidos</t>
        </is>
      </c>
      <c r="F724" s="6" t="n">
        <v>1</v>
      </c>
      <c r="G724" s="6" t="n">
        <v>0</v>
      </c>
      <c r="H724" s="6" t="n">
        <v>1</v>
      </c>
      <c r="I724" s="6" t="n">
        <v>1</v>
      </c>
    </row>
    <row r="725">
      <c r="A725" s="9" t="n">
        <v>2017</v>
      </c>
      <c r="B725" s="9" t="inlineStr">
        <is>
          <t>silice</t>
        </is>
      </c>
      <c r="C725" s="9" t="inlineStr">
        <is>
          <t>E1 Arena silica/cuarzo</t>
        </is>
      </c>
      <c r="D725" s="9" t="n">
        <v>1916205</v>
      </c>
      <c r="E725" s="9" t="inlineStr">
        <is>
          <t>Estados Unidos</t>
        </is>
      </c>
      <c r="F725" s="9" t="n">
        <v>0.9383</v>
      </c>
      <c r="G725" s="9" t="n">
        <v>0</v>
      </c>
      <c r="H725" s="9" t="n">
        <v>0.9383</v>
      </c>
      <c r="I725" s="9" t="n">
        <v>6</v>
      </c>
    </row>
    <row r="726">
      <c r="A726" s="6" t="n">
        <v>2017</v>
      </c>
      <c r="B726" s="6" t="inlineStr">
        <is>
          <t>silice</t>
        </is>
      </c>
      <c r="C726" s="6" t="inlineStr">
        <is>
          <t>E2 Silicio/ferrosilicio/SiO2</t>
        </is>
      </c>
      <c r="D726" s="6" t="n">
        <v>5121738</v>
      </c>
      <c r="E726" s="6" t="inlineStr">
        <is>
          <t>Estados Unidos</t>
        </is>
      </c>
      <c r="F726" s="6" t="n">
        <v>0.9191</v>
      </c>
      <c r="G726" s="6" t="n">
        <v>0</v>
      </c>
      <c r="H726" s="6" t="n">
        <v>0.9191</v>
      </c>
      <c r="I726" s="6" t="n">
        <v>6</v>
      </c>
    </row>
    <row r="727">
      <c r="A727" s="9" t="n">
        <v>2017</v>
      </c>
      <c r="B727" s="9" t="inlineStr">
        <is>
          <t>zinc</t>
        </is>
      </c>
      <c r="C727" s="9" t="inlineStr">
        <is>
          <t>E1 Mena/concentrado</t>
        </is>
      </c>
      <c r="D727" s="9" t="n">
        <v>640110077</v>
      </c>
      <c r="E727" s="9" t="inlineStr">
        <is>
          <t>Corea del Sur</t>
        </is>
      </c>
      <c r="F727" s="9" t="n">
        <v>0.3684</v>
      </c>
      <c r="G727" s="9" t="n">
        <v>0.0151</v>
      </c>
      <c r="H727" s="9" t="n">
        <v>0</v>
      </c>
      <c r="I727" s="9" t="n">
        <v>6</v>
      </c>
    </row>
    <row r="728">
      <c r="A728" s="6" t="n">
        <v>2017</v>
      </c>
      <c r="B728" s="6" t="inlineStr">
        <is>
          <t>zinc</t>
        </is>
      </c>
      <c r="C728" s="6" t="inlineStr">
        <is>
          <t>E2 Metal en bruto/refinado</t>
        </is>
      </c>
      <c r="D728" s="6" t="n">
        <v>22556826</v>
      </c>
      <c r="E728" s="6" t="inlineStr">
        <is>
          <t>Guatemala</t>
        </is>
      </c>
      <c r="F728" s="6" t="n">
        <v>0.7733</v>
      </c>
      <c r="G728" s="6" t="n">
        <v>0</v>
      </c>
      <c r="H728" s="6" t="n">
        <v>0</v>
      </c>
      <c r="I728" s="6" t="n">
        <v>2</v>
      </c>
    </row>
    <row r="729">
      <c r="A729" s="9" t="n">
        <v>2018</v>
      </c>
      <c r="B729" s="9" t="inlineStr">
        <is>
          <t>cobre</t>
        </is>
      </c>
      <c r="C729" s="9" t="inlineStr">
        <is>
          <t>E1 Mena/concentrado</t>
        </is>
      </c>
      <c r="D729" s="9" t="n">
        <v>2318095785</v>
      </c>
      <c r="E729" s="9" t="inlineStr">
        <is>
          <t>China</t>
        </is>
      </c>
      <c r="F729" s="9" t="n">
        <v>0.8162</v>
      </c>
      <c r="G729" s="9" t="n">
        <v>0.8162</v>
      </c>
      <c r="H729" s="9" t="n">
        <v>0.0356</v>
      </c>
      <c r="I729" s="9" t="n">
        <v>7</v>
      </c>
    </row>
    <row r="730">
      <c r="A730" s="6" t="n">
        <v>2018</v>
      </c>
      <c r="B730" s="6" t="inlineStr">
        <is>
          <t>cobre</t>
        </is>
      </c>
      <c r="C730" s="6" t="inlineStr">
        <is>
          <t>E2 Metal en bruto/refinado</t>
        </is>
      </c>
      <c r="D730" s="6" t="n">
        <v>903281960</v>
      </c>
      <c r="E730" s="6" t="inlineStr">
        <is>
          <t>Estados Unidos</t>
        </is>
      </c>
      <c r="F730" s="6" t="n">
        <v>0.4586</v>
      </c>
      <c r="G730" s="6" t="n">
        <v>0.4275</v>
      </c>
      <c r="H730" s="6" t="n">
        <v>0.4586</v>
      </c>
      <c r="I730" s="6" t="n">
        <v>5</v>
      </c>
    </row>
    <row r="731">
      <c r="A731" s="9" t="n">
        <v>2018</v>
      </c>
      <c r="B731" s="9" t="inlineStr">
        <is>
          <t>cobre</t>
        </is>
      </c>
      <c r="C731" s="9" t="inlineStr">
        <is>
          <t>E3 Semimanufacturas</t>
        </is>
      </c>
      <c r="D731" s="9" t="n">
        <v>322794240</v>
      </c>
      <c r="E731" s="9" t="inlineStr">
        <is>
          <t>Estados Unidos</t>
        </is>
      </c>
      <c r="F731" s="9" t="n">
        <v>0.6382</v>
      </c>
      <c r="G731" s="9" t="n">
        <v>0.0005</v>
      </c>
      <c r="H731" s="9" t="n">
        <v>0.6382</v>
      </c>
      <c r="I731" s="9" t="n">
        <v>26</v>
      </c>
    </row>
    <row r="732">
      <c r="A732" s="6" t="n">
        <v>2018</v>
      </c>
      <c r="B732" s="6" t="inlineStr">
        <is>
          <t>cobre</t>
        </is>
      </c>
      <c r="C732" s="6" t="inlineStr">
        <is>
          <t>E4 Manufacturas</t>
        </is>
      </c>
      <c r="D732" s="6" t="n">
        <v>49219257</v>
      </c>
      <c r="E732" s="6" t="inlineStr">
        <is>
          <t>Estados Unidos</t>
        </is>
      </c>
      <c r="F732" s="6" t="n">
        <v>0.9391</v>
      </c>
      <c r="G732" s="6" t="n">
        <v>0.0031</v>
      </c>
      <c r="H732" s="6" t="n">
        <v>0.9391</v>
      </c>
      <c r="I732" s="6" t="n">
        <v>39</v>
      </c>
    </row>
    <row r="733">
      <c r="A733" s="9" t="n">
        <v>2018</v>
      </c>
      <c r="B733" s="9" t="inlineStr">
        <is>
          <t>fluorita</t>
        </is>
      </c>
      <c r="C733" s="9" t="inlineStr">
        <is>
          <t>E1 Espato fluor (crudo)</t>
        </is>
      </c>
      <c r="D733" s="9" t="n">
        <v>73420659</v>
      </c>
      <c r="E733" s="9" t="inlineStr">
        <is>
          <t>Estados Unidos</t>
        </is>
      </c>
      <c r="F733" s="9" t="n">
        <v>0.992</v>
      </c>
      <c r="G733" s="9" t="n">
        <v>0</v>
      </c>
      <c r="H733" s="9" t="n">
        <v>0.992</v>
      </c>
      <c r="I733" s="9" t="n">
        <v>2</v>
      </c>
    </row>
    <row r="734">
      <c r="A734" s="6" t="n">
        <v>2018</v>
      </c>
      <c r="B734" s="6" t="inlineStr">
        <is>
          <t>fluorita</t>
        </is>
      </c>
      <c r="C734" s="6" t="inlineStr">
        <is>
          <t>E2 Fluoroquimica</t>
        </is>
      </c>
      <c r="D734" s="6" t="n">
        <v>162083915</v>
      </c>
      <c r="E734" s="6" t="inlineStr">
        <is>
          <t>Estados Unidos</t>
        </is>
      </c>
      <c r="F734" s="6" t="n">
        <v>1</v>
      </c>
      <c r="G734" s="6" t="n">
        <v>0</v>
      </c>
      <c r="H734" s="6" t="n">
        <v>1</v>
      </c>
      <c r="I734" s="6" t="n">
        <v>1</v>
      </c>
    </row>
    <row r="735">
      <c r="A735" s="9" t="n">
        <v>2018</v>
      </c>
      <c r="B735" s="9" t="inlineStr">
        <is>
          <t>grafito</t>
        </is>
      </c>
      <c r="C735" s="9" t="inlineStr">
        <is>
          <t>E1 Grafito natural</t>
        </is>
      </c>
      <c r="D735" s="9" t="n">
        <v>5558473</v>
      </c>
      <c r="E735" s="9" t="inlineStr">
        <is>
          <t>Estados Unidos</t>
        </is>
      </c>
      <c r="F735" s="9" t="n">
        <v>0.9962</v>
      </c>
      <c r="G735" s="9" t="n">
        <v>0</v>
      </c>
      <c r="H735" s="9" t="n">
        <v>0.9962</v>
      </c>
      <c r="I735" s="9" t="n">
        <v>2</v>
      </c>
    </row>
    <row r="736">
      <c r="A736" s="6" t="n">
        <v>2018</v>
      </c>
      <c r="B736" s="6" t="inlineStr">
        <is>
          <t>grafito</t>
        </is>
      </c>
      <c r="C736" s="6" t="inlineStr">
        <is>
          <t>E2 Grafito artificial/prep.</t>
        </is>
      </c>
      <c r="D736" s="6" t="n">
        <v>31848785</v>
      </c>
      <c r="E736" s="6" t="inlineStr">
        <is>
          <t>Estados Unidos</t>
        </is>
      </c>
      <c r="F736" s="6" t="n">
        <v>0.5615</v>
      </c>
      <c r="G736" s="6" t="n">
        <v>0.0766</v>
      </c>
      <c r="H736" s="6" t="n">
        <v>0.5615</v>
      </c>
      <c r="I736" s="6" t="n">
        <v>7</v>
      </c>
    </row>
    <row r="737">
      <c r="A737" s="9" t="n">
        <v>2018</v>
      </c>
      <c r="B737" s="9" t="inlineStr">
        <is>
          <t>grafito</t>
        </is>
      </c>
      <c r="C737" s="9" t="inlineStr">
        <is>
          <t>E3 Electrodos/articulos de carbono</t>
        </is>
      </c>
      <c r="D737" s="9" t="n">
        <v>156134480</v>
      </c>
      <c r="E737" s="9" t="inlineStr">
        <is>
          <t>Estados Unidos</t>
        </is>
      </c>
      <c r="F737" s="9" t="n">
        <v>0.6148</v>
      </c>
      <c r="G737" s="9" t="n">
        <v>0.0094</v>
      </c>
      <c r="H737" s="9" t="n">
        <v>0.6148</v>
      </c>
      <c r="I737" s="9" t="n">
        <v>21</v>
      </c>
    </row>
    <row r="738">
      <c r="A738" s="6" t="n">
        <v>2018</v>
      </c>
      <c r="B738" s="6" t="inlineStr">
        <is>
          <t>manganeso</t>
        </is>
      </c>
      <c r="C738" s="6" t="inlineStr">
        <is>
          <t>E2 Ferroaleaciones</t>
        </is>
      </c>
      <c r="D738" s="6" t="n">
        <v>41067892</v>
      </c>
      <c r="E738" s="6" t="inlineStr">
        <is>
          <t>Estados Unidos</t>
        </is>
      </c>
      <c r="F738" s="6" t="n">
        <v>0.9902</v>
      </c>
      <c r="G738" s="6" t="n">
        <v>0</v>
      </c>
      <c r="H738" s="6" t="n">
        <v>0.9902</v>
      </c>
      <c r="I738" s="6" t="n">
        <v>3</v>
      </c>
    </row>
    <row r="739">
      <c r="A739" s="9" t="n">
        <v>2018</v>
      </c>
      <c r="B739" s="9" t="inlineStr">
        <is>
          <t>oro</t>
        </is>
      </c>
      <c r="C739" s="9" t="inlineStr">
        <is>
          <t>E1 Mena/concentrado</t>
        </is>
      </c>
      <c r="D739" s="9" t="n">
        <v>181351369</v>
      </c>
      <c r="E739" s="9" t="inlineStr">
        <is>
          <t>China</t>
        </is>
      </c>
      <c r="F739" s="9" t="n">
        <v>0.7072000000000001</v>
      </c>
      <c r="G739" s="9" t="n">
        <v>0.7072000000000001</v>
      </c>
      <c r="H739" s="9" t="n">
        <v>0</v>
      </c>
      <c r="I739" s="9" t="n">
        <v>4</v>
      </c>
    </row>
    <row r="740">
      <c r="A740" s="6" t="n">
        <v>2018</v>
      </c>
      <c r="B740" s="6" t="inlineStr">
        <is>
          <t>oro</t>
        </is>
      </c>
      <c r="C740" s="6" t="inlineStr">
        <is>
          <t>E2 Bruto/semilabrado</t>
        </is>
      </c>
      <c r="D740" s="6" t="n">
        <v>3201011359</v>
      </c>
      <c r="E740" s="6" t="inlineStr">
        <is>
          <t>Estados Unidos</t>
        </is>
      </c>
      <c r="F740" s="6" t="n">
        <v>0.9872</v>
      </c>
      <c r="G740" s="6" t="n">
        <v>0</v>
      </c>
      <c r="H740" s="6" t="n">
        <v>0.9872</v>
      </c>
      <c r="I740" s="6" t="n">
        <v>3</v>
      </c>
    </row>
    <row r="741">
      <c r="A741" s="9" t="n">
        <v>2018</v>
      </c>
      <c r="B741" s="9" t="inlineStr">
        <is>
          <t>oro-plata (manufacturas)</t>
        </is>
      </c>
      <c r="C741" s="9" t="inlineStr">
        <is>
          <t>E4 Joyeria/orfebreria</t>
        </is>
      </c>
      <c r="D741" s="9" t="n">
        <v>353650296</v>
      </c>
      <c r="E741" s="9" t="inlineStr">
        <is>
          <t>Estados Unidos</t>
        </is>
      </c>
      <c r="F741" s="9" t="n">
        <v>0.8824</v>
      </c>
      <c r="G741" s="9" t="n">
        <v>0</v>
      </c>
      <c r="H741" s="9" t="n">
        <v>0.8824</v>
      </c>
      <c r="I741" s="9" t="n">
        <v>31</v>
      </c>
    </row>
    <row r="742">
      <c r="A742" s="6" t="n">
        <v>2018</v>
      </c>
      <c r="B742" s="6" t="inlineStr">
        <is>
          <t>plata</t>
        </is>
      </c>
      <c r="C742" s="6" t="inlineStr">
        <is>
          <t>E1 Mena/concentrado</t>
        </is>
      </c>
      <c r="D742" s="6" t="n">
        <v>36656445</v>
      </c>
      <c r="E742" s="6" t="inlineStr">
        <is>
          <t>Alemania</t>
        </is>
      </c>
      <c r="F742" s="6" t="n">
        <v>0.7663</v>
      </c>
      <c r="G742" s="6" t="n">
        <v>0.066</v>
      </c>
      <c r="H742" s="6" t="n">
        <v>0.1677</v>
      </c>
      <c r="I742" s="6" t="n">
        <v>3</v>
      </c>
    </row>
    <row r="743">
      <c r="A743" s="9" t="n">
        <v>2018</v>
      </c>
      <c r="B743" s="9" t="inlineStr">
        <is>
          <t>plata</t>
        </is>
      </c>
      <c r="C743" s="9" t="inlineStr">
        <is>
          <t>E2 Bruto/semilabrado</t>
        </is>
      </c>
      <c r="D743" s="9" t="n">
        <v>1672071037</v>
      </c>
      <c r="E743" s="9" t="inlineStr">
        <is>
          <t>Estados Unidos</t>
        </is>
      </c>
      <c r="F743" s="9" t="n">
        <v>0.9927</v>
      </c>
      <c r="G743" s="9" t="n">
        <v>0</v>
      </c>
      <c r="H743" s="9" t="n">
        <v>0.9927</v>
      </c>
      <c r="I743" s="9" t="n">
        <v>5</v>
      </c>
    </row>
    <row r="744">
      <c r="A744" s="6" t="n">
        <v>2018</v>
      </c>
      <c r="B744" s="6" t="inlineStr">
        <is>
          <t>plomo</t>
        </is>
      </c>
      <c r="C744" s="6" t="inlineStr">
        <is>
          <t>E1 Mena/concentrado</t>
        </is>
      </c>
      <c r="D744" s="6" t="n">
        <v>770645599</v>
      </c>
      <c r="E744" s="6" t="inlineStr">
        <is>
          <t>China</t>
        </is>
      </c>
      <c r="F744" s="6" t="n">
        <v>0.4644</v>
      </c>
      <c r="G744" s="6" t="n">
        <v>0.4644</v>
      </c>
      <c r="H744" s="6" t="n">
        <v>0</v>
      </c>
      <c r="I744" s="6" t="n">
        <v>3</v>
      </c>
    </row>
    <row r="745">
      <c r="A745" s="9" t="n">
        <v>2018</v>
      </c>
      <c r="B745" s="9" t="inlineStr">
        <is>
          <t>plomo</t>
        </is>
      </c>
      <c r="C745" s="9" t="inlineStr">
        <is>
          <t>E2 Metal en bruto/refinado</t>
        </is>
      </c>
      <c r="D745" s="9" t="n">
        <v>195438439</v>
      </c>
      <c r="E745" s="9" t="inlineStr">
        <is>
          <t>Estados Unidos</t>
        </is>
      </c>
      <c r="F745" s="9" t="n">
        <v>1</v>
      </c>
      <c r="G745" s="9" t="n">
        <v>0</v>
      </c>
      <c r="H745" s="9" t="n">
        <v>1</v>
      </c>
      <c r="I745" s="9" t="n">
        <v>1</v>
      </c>
    </row>
    <row r="746">
      <c r="A746" s="6" t="n">
        <v>2018</v>
      </c>
      <c r="B746" s="6" t="inlineStr">
        <is>
          <t>plomo</t>
        </is>
      </c>
      <c r="C746" s="6" t="inlineStr">
        <is>
          <t>E3 Semimanufacturas</t>
        </is>
      </c>
      <c r="D746" s="6" t="n">
        <v>343471</v>
      </c>
      <c r="E746" s="6" t="inlineStr">
        <is>
          <t>Estados Unidos</t>
        </is>
      </c>
      <c r="F746" s="6" t="n">
        <v>1</v>
      </c>
      <c r="G746" s="6" t="n">
        <v>0</v>
      </c>
      <c r="H746" s="6" t="n">
        <v>1</v>
      </c>
      <c r="I746" s="6" t="n">
        <v>1</v>
      </c>
    </row>
    <row r="747">
      <c r="A747" s="9" t="n">
        <v>2018</v>
      </c>
      <c r="B747" s="9" t="inlineStr">
        <is>
          <t>silice</t>
        </is>
      </c>
      <c r="C747" s="9" t="inlineStr">
        <is>
          <t>E1 Arena silica/cuarzo</t>
        </is>
      </c>
      <c r="D747" s="9" t="n">
        <v>1977646</v>
      </c>
      <c r="E747" s="9" t="inlineStr">
        <is>
          <t>Estados Unidos</t>
        </is>
      </c>
      <c r="F747" s="9" t="n">
        <v>0.8818</v>
      </c>
      <c r="G747" s="9" t="n">
        <v>0</v>
      </c>
      <c r="H747" s="9" t="n">
        <v>0.8818</v>
      </c>
      <c r="I747" s="9" t="n">
        <v>8</v>
      </c>
    </row>
    <row r="748">
      <c r="A748" s="6" t="n">
        <v>2018</v>
      </c>
      <c r="B748" s="6" t="inlineStr">
        <is>
          <t>silice</t>
        </is>
      </c>
      <c r="C748" s="6" t="inlineStr">
        <is>
          <t>E2 Silicio/ferrosilicio/SiO2</t>
        </is>
      </c>
      <c r="D748" s="6" t="n">
        <v>6723754</v>
      </c>
      <c r="E748" s="6" t="inlineStr">
        <is>
          <t>Estados Unidos</t>
        </is>
      </c>
      <c r="F748" s="6" t="n">
        <v>0.859</v>
      </c>
      <c r="G748" s="6" t="n">
        <v>0</v>
      </c>
      <c r="H748" s="6" t="n">
        <v>0.859</v>
      </c>
      <c r="I748" s="6" t="n">
        <v>9</v>
      </c>
    </row>
    <row r="749">
      <c r="A749" s="9" t="n">
        <v>2018</v>
      </c>
      <c r="B749" s="9" t="inlineStr">
        <is>
          <t>zinc</t>
        </is>
      </c>
      <c r="C749" s="9" t="inlineStr">
        <is>
          <t>E1 Mena/concentrado</t>
        </is>
      </c>
      <c r="D749" s="9" t="n">
        <v>795496776</v>
      </c>
      <c r="E749" s="9" t="inlineStr">
        <is>
          <t>Corea del Sur</t>
        </is>
      </c>
      <c r="F749" s="9" t="n">
        <v>0.3474</v>
      </c>
      <c r="G749" s="9" t="n">
        <v>0.0055</v>
      </c>
      <c r="H749" s="9" t="n">
        <v>0</v>
      </c>
      <c r="I749" s="9" t="n">
        <v>6</v>
      </c>
    </row>
    <row r="750">
      <c r="A750" s="6" t="n">
        <v>2018</v>
      </c>
      <c r="B750" s="6" t="inlineStr">
        <is>
          <t>zinc</t>
        </is>
      </c>
      <c r="C750" s="6" t="inlineStr">
        <is>
          <t>E2 Metal en bruto/refinado</t>
        </is>
      </c>
      <c r="D750" s="6" t="n">
        <v>421209847</v>
      </c>
      <c r="E750" s="6" t="inlineStr">
        <is>
          <t>Estados Unidos</t>
        </is>
      </c>
      <c r="F750" s="6" t="n">
        <v>0.6937</v>
      </c>
      <c r="G750" s="6" t="n">
        <v>0</v>
      </c>
      <c r="H750" s="6" t="n">
        <v>0.6937</v>
      </c>
      <c r="I750" s="6" t="n">
        <v>5</v>
      </c>
    </row>
    <row r="751">
      <c r="A751" s="9" t="n">
        <v>2018</v>
      </c>
      <c r="B751" s="9" t="inlineStr">
        <is>
          <t>zinc</t>
        </is>
      </c>
      <c r="C751" s="9" t="inlineStr">
        <is>
          <t>E3 Semimanufacturas</t>
        </is>
      </c>
      <c r="D751" s="9" t="n">
        <v>1888419</v>
      </c>
      <c r="E751" s="9" t="inlineStr">
        <is>
          <t>Colombia</t>
        </is>
      </c>
      <c r="F751" s="9" t="n">
        <v>0.574</v>
      </c>
      <c r="G751" s="9" t="n">
        <v>0</v>
      </c>
      <c r="H751" s="9" t="n">
        <v>0.422</v>
      </c>
      <c r="I751" s="9" t="n">
        <v>3</v>
      </c>
    </row>
    <row r="752">
      <c r="A752" s="6" t="n">
        <v>2019</v>
      </c>
      <c r="B752" s="6" t="inlineStr">
        <is>
          <t>cobre</t>
        </is>
      </c>
      <c r="C752" s="6" t="inlineStr">
        <is>
          <t>E1 Mena/concentrado</t>
        </is>
      </c>
      <c r="D752" s="6" t="n">
        <v>4678537224</v>
      </c>
      <c r="E752" s="6" t="inlineStr">
        <is>
          <t>China</t>
        </is>
      </c>
      <c r="F752" s="6" t="n">
        <v>0.8839</v>
      </c>
      <c r="G752" s="6" t="n">
        <v>0.8839</v>
      </c>
      <c r="H752" s="6" t="n">
        <v>0.0591</v>
      </c>
      <c r="I752" s="6" t="n">
        <v>7</v>
      </c>
    </row>
    <row r="753">
      <c r="A753" s="9" t="n">
        <v>2019</v>
      </c>
      <c r="B753" s="9" t="inlineStr">
        <is>
          <t>cobre</t>
        </is>
      </c>
      <c r="C753" s="9" t="inlineStr">
        <is>
          <t>E2 Metal en bruto/refinado</t>
        </is>
      </c>
      <c r="D753" s="9" t="n">
        <v>1592860980</v>
      </c>
      <c r="E753" s="9" t="inlineStr">
        <is>
          <t>Estados Unidos</t>
        </is>
      </c>
      <c r="F753" s="9" t="n">
        <v>0.635</v>
      </c>
      <c r="G753" s="9" t="n">
        <v>0.2951</v>
      </c>
      <c r="H753" s="9" t="n">
        <v>0.635</v>
      </c>
      <c r="I753" s="9" t="n">
        <v>5</v>
      </c>
    </row>
    <row r="754">
      <c r="A754" s="6" t="n">
        <v>2019</v>
      </c>
      <c r="B754" s="6" t="inlineStr">
        <is>
          <t>cobre</t>
        </is>
      </c>
      <c r="C754" s="6" t="inlineStr">
        <is>
          <t>E3 Semimanufacturas</t>
        </is>
      </c>
      <c r="D754" s="6" t="n">
        <v>905181276</v>
      </c>
      <c r="E754" s="6" t="inlineStr">
        <is>
          <t>Estados Unidos</t>
        </is>
      </c>
      <c r="F754" s="6" t="n">
        <v>0.7763</v>
      </c>
      <c r="G754" s="6" t="n">
        <v>0.0001</v>
      </c>
      <c r="H754" s="6" t="n">
        <v>0.7763</v>
      </c>
      <c r="I754" s="6" t="n">
        <v>23</v>
      </c>
    </row>
    <row r="755">
      <c r="A755" s="9" t="n">
        <v>2019</v>
      </c>
      <c r="B755" s="9" t="inlineStr">
        <is>
          <t>cobre</t>
        </is>
      </c>
      <c r="C755" s="9" t="inlineStr">
        <is>
          <t>E4 Manufacturas</t>
        </is>
      </c>
      <c r="D755" s="9" t="n">
        <v>93507012</v>
      </c>
      <c r="E755" s="9" t="inlineStr">
        <is>
          <t>Estados Unidos</t>
        </is>
      </c>
      <c r="F755" s="9" t="n">
        <v>0.9131</v>
      </c>
      <c r="G755" s="9" t="n">
        <v>0.0013</v>
      </c>
      <c r="H755" s="9" t="n">
        <v>0.9131</v>
      </c>
      <c r="I755" s="9" t="n">
        <v>34</v>
      </c>
    </row>
    <row r="756">
      <c r="A756" s="6" t="n">
        <v>2019</v>
      </c>
      <c r="B756" s="6" t="inlineStr">
        <is>
          <t>fluorita</t>
        </is>
      </c>
      <c r="C756" s="6" t="inlineStr">
        <is>
          <t>E1 Espato fluor (crudo)</t>
        </is>
      </c>
      <c r="D756" s="6" t="n">
        <v>214395906</v>
      </c>
      <c r="E756" s="6" t="inlineStr">
        <is>
          <t>Estados Unidos</t>
        </is>
      </c>
      <c r="F756" s="6" t="n">
        <v>0.7318</v>
      </c>
      <c r="G756" s="6" t="n">
        <v>0.2389</v>
      </c>
      <c r="H756" s="6" t="n">
        <v>0.7318</v>
      </c>
      <c r="I756" s="6" t="n">
        <v>3</v>
      </c>
    </row>
    <row r="757">
      <c r="A757" s="9" t="n">
        <v>2019</v>
      </c>
      <c r="B757" s="9" t="inlineStr">
        <is>
          <t>fluorita</t>
        </is>
      </c>
      <c r="C757" s="9" t="inlineStr">
        <is>
          <t>E2 Fluoroquimica</t>
        </is>
      </c>
      <c r="D757" s="9" t="n">
        <v>359825898</v>
      </c>
      <c r="E757" s="9" t="inlineStr">
        <is>
          <t>Estados Unidos</t>
        </is>
      </c>
      <c r="F757" s="9" t="n">
        <v>1</v>
      </c>
      <c r="G757" s="9" t="n">
        <v>0</v>
      </c>
      <c r="H757" s="9" t="n">
        <v>1</v>
      </c>
      <c r="I757" s="9" t="n">
        <v>1</v>
      </c>
    </row>
    <row r="758">
      <c r="A758" s="6" t="n">
        <v>2019</v>
      </c>
      <c r="B758" s="6" t="inlineStr">
        <is>
          <t>grafito</t>
        </is>
      </c>
      <c r="C758" s="6" t="inlineStr">
        <is>
          <t>E2 Grafito artificial/prep.</t>
        </is>
      </c>
      <c r="D758" s="6" t="n">
        <v>113041982</v>
      </c>
      <c r="E758" s="6" t="inlineStr">
        <is>
          <t>Estados Unidos</t>
        </is>
      </c>
      <c r="F758" s="6" t="n">
        <v>0.9856</v>
      </c>
      <c r="G758" s="6" t="n">
        <v>0.0123</v>
      </c>
      <c r="H758" s="6" t="n">
        <v>0.9856</v>
      </c>
      <c r="I758" s="6" t="n">
        <v>6</v>
      </c>
    </row>
    <row r="759">
      <c r="A759" s="9" t="n">
        <v>2019</v>
      </c>
      <c r="B759" s="9" t="inlineStr">
        <is>
          <t>grafito</t>
        </is>
      </c>
      <c r="C759" s="9" t="inlineStr">
        <is>
          <t>E3 Electrodos/articulos de carbono</t>
        </is>
      </c>
      <c r="D759" s="9" t="n">
        <v>122510056</v>
      </c>
      <c r="E759" s="9" t="inlineStr">
        <is>
          <t>Francia</t>
        </is>
      </c>
      <c r="F759" s="9" t="n">
        <v>0.4476</v>
      </c>
      <c r="G759" s="9" t="n">
        <v>0.0134</v>
      </c>
      <c r="H759" s="9" t="n">
        <v>0</v>
      </c>
      <c r="I759" s="9" t="n">
        <v>21</v>
      </c>
    </row>
    <row r="760">
      <c r="A760" s="6" t="n">
        <v>2019</v>
      </c>
      <c r="B760" s="6" t="inlineStr">
        <is>
          <t>manganeso</t>
        </is>
      </c>
      <c r="C760" s="6" t="inlineStr">
        <is>
          <t>E2 Ferroaleaciones</t>
        </is>
      </c>
      <c r="D760" s="6" t="n">
        <v>91946906</v>
      </c>
      <c r="E760" s="6" t="inlineStr">
        <is>
          <t>Estados Unidos</t>
        </is>
      </c>
      <c r="F760" s="6" t="n">
        <v>0.9502</v>
      </c>
      <c r="G760" s="6" t="n">
        <v>0</v>
      </c>
      <c r="H760" s="6" t="n">
        <v>0.9502</v>
      </c>
      <c r="I760" s="6" t="n">
        <v>3</v>
      </c>
    </row>
    <row r="761">
      <c r="A761" s="9" t="n">
        <v>2019</v>
      </c>
      <c r="B761" s="9" t="inlineStr">
        <is>
          <t>oro</t>
        </is>
      </c>
      <c r="C761" s="9" t="inlineStr">
        <is>
          <t>E1 Mena/concentrado</t>
        </is>
      </c>
      <c r="D761" s="9" t="n">
        <v>435438792</v>
      </c>
      <c r="E761" s="9" t="inlineStr">
        <is>
          <t>China</t>
        </is>
      </c>
      <c r="F761" s="9" t="n">
        <v>0.8033</v>
      </c>
      <c r="G761" s="9" t="n">
        <v>0.8033</v>
      </c>
      <c r="H761" s="9" t="n">
        <v>0</v>
      </c>
      <c r="I761" s="9" t="n">
        <v>2</v>
      </c>
    </row>
    <row r="762">
      <c r="A762" s="6" t="n">
        <v>2019</v>
      </c>
      <c r="B762" s="6" t="inlineStr">
        <is>
          <t>oro</t>
        </is>
      </c>
      <c r="C762" s="6" t="inlineStr">
        <is>
          <t>E2 Bruto/semilabrado</t>
        </is>
      </c>
      <c r="D762" s="6" t="n">
        <v>6536302078</v>
      </c>
      <c r="E762" s="6" t="inlineStr">
        <is>
          <t>Estados Unidos</t>
        </is>
      </c>
      <c r="F762" s="6" t="n">
        <v>0.9024</v>
      </c>
      <c r="G762" s="6" t="n">
        <v>0</v>
      </c>
      <c r="H762" s="6" t="n">
        <v>0.9024</v>
      </c>
      <c r="I762" s="6" t="n">
        <v>4</v>
      </c>
    </row>
    <row r="763">
      <c r="A763" s="9" t="n">
        <v>2019</v>
      </c>
      <c r="B763" s="9" t="inlineStr">
        <is>
          <t>oro-plata (manufacturas)</t>
        </is>
      </c>
      <c r="C763" s="9" t="inlineStr">
        <is>
          <t>E4 Joyeria/orfebreria</t>
        </is>
      </c>
      <c r="D763" s="9" t="n">
        <v>623073934</v>
      </c>
      <c r="E763" s="9" t="inlineStr">
        <is>
          <t>Estados Unidos</t>
        </is>
      </c>
      <c r="F763" s="9" t="n">
        <v>0.8733</v>
      </c>
      <c r="G763" s="9" t="n">
        <v>0</v>
      </c>
      <c r="H763" s="9" t="n">
        <v>0.8733</v>
      </c>
      <c r="I763" s="9" t="n">
        <v>25</v>
      </c>
    </row>
    <row r="764">
      <c r="A764" s="6" t="n">
        <v>2019</v>
      </c>
      <c r="B764" s="6" t="inlineStr">
        <is>
          <t>plata</t>
        </is>
      </c>
      <c r="C764" s="6" t="inlineStr">
        <is>
          <t>E1 Mena/concentrado</t>
        </is>
      </c>
      <c r="D764" s="6" t="n">
        <v>63854712</v>
      </c>
      <c r="E764" s="6" t="inlineStr">
        <is>
          <t>Alemania</t>
        </is>
      </c>
      <c r="F764" s="6" t="n">
        <v>0.7786999999999999</v>
      </c>
      <c r="G764" s="6" t="n">
        <v>0.2213</v>
      </c>
      <c r="H764" s="6" t="n">
        <v>0</v>
      </c>
      <c r="I764" s="6" t="n">
        <v>2</v>
      </c>
    </row>
    <row r="765">
      <c r="A765" s="9" t="n">
        <v>2019</v>
      </c>
      <c r="B765" s="9" t="inlineStr">
        <is>
          <t>plata</t>
        </is>
      </c>
      <c r="C765" s="9" t="inlineStr">
        <is>
          <t>E2 Bruto/semilabrado</t>
        </is>
      </c>
      <c r="D765" s="9" t="n">
        <v>3763281042</v>
      </c>
      <c r="E765" s="9" t="inlineStr">
        <is>
          <t>Estados Unidos</t>
        </is>
      </c>
      <c r="F765" s="9" t="n">
        <v>0.9805</v>
      </c>
      <c r="G765" s="9" t="n">
        <v>0</v>
      </c>
      <c r="H765" s="9" t="n">
        <v>0.9805</v>
      </c>
      <c r="I765" s="9" t="n">
        <v>5</v>
      </c>
    </row>
    <row r="766">
      <c r="A766" s="6" t="n">
        <v>2019</v>
      </c>
      <c r="B766" s="6" t="inlineStr">
        <is>
          <t>plomo</t>
        </is>
      </c>
      <c r="C766" s="6" t="inlineStr">
        <is>
          <t>E1 Mena/concentrado</t>
        </is>
      </c>
      <c r="D766" s="6" t="n">
        <v>1478243464</v>
      </c>
      <c r="E766" s="6" t="inlineStr">
        <is>
          <t>China</t>
        </is>
      </c>
      <c r="F766" s="6" t="n">
        <v>0.4848</v>
      </c>
      <c r="G766" s="6" t="n">
        <v>0.4848</v>
      </c>
      <c r="H766" s="6" t="n">
        <v>0</v>
      </c>
      <c r="I766" s="6" t="n">
        <v>4</v>
      </c>
    </row>
    <row r="767">
      <c r="A767" s="9" t="n">
        <v>2019</v>
      </c>
      <c r="B767" s="9" t="inlineStr">
        <is>
          <t>plomo</t>
        </is>
      </c>
      <c r="C767" s="9" t="inlineStr">
        <is>
          <t>E2 Metal en bruto/refinado</t>
        </is>
      </c>
      <c r="D767" s="9" t="n">
        <v>38897250</v>
      </c>
      <c r="E767" s="9" t="inlineStr">
        <is>
          <t>Brasil</t>
        </is>
      </c>
      <c r="F767" s="9" t="n">
        <v>0.9457</v>
      </c>
      <c r="G767" s="9" t="n">
        <v>0</v>
      </c>
      <c r="H767" s="9" t="n">
        <v>0</v>
      </c>
      <c r="I767" s="9" t="n">
        <v>3</v>
      </c>
    </row>
    <row r="768">
      <c r="A768" s="6" t="n">
        <v>2019</v>
      </c>
      <c r="B768" s="6" t="inlineStr">
        <is>
          <t>plomo</t>
        </is>
      </c>
      <c r="C768" s="6" t="inlineStr">
        <is>
          <t>E3 Semimanufacturas</t>
        </is>
      </c>
      <c r="D768" s="6" t="n">
        <v>2299660</v>
      </c>
      <c r="E768" s="6" t="inlineStr">
        <is>
          <t>Estados Unidos</t>
        </is>
      </c>
      <c r="F768" s="6" t="n">
        <v>1</v>
      </c>
      <c r="G768" s="6" t="n">
        <v>0</v>
      </c>
      <c r="H768" s="6" t="n">
        <v>1</v>
      </c>
      <c r="I768" s="6" t="n">
        <v>1</v>
      </c>
    </row>
    <row r="769">
      <c r="A769" s="9" t="n">
        <v>2019</v>
      </c>
      <c r="B769" s="9" t="inlineStr">
        <is>
          <t>silice</t>
        </is>
      </c>
      <c r="C769" s="9" t="inlineStr">
        <is>
          <t>E1 Arena silica/cuarzo</t>
        </is>
      </c>
      <c r="D769" s="9" t="n">
        <v>3177186</v>
      </c>
      <c r="E769" s="9" t="inlineStr">
        <is>
          <t>Estados Unidos</t>
        </is>
      </c>
      <c r="F769" s="9" t="n">
        <v>0.7719</v>
      </c>
      <c r="G769" s="9" t="n">
        <v>0</v>
      </c>
      <c r="H769" s="9" t="n">
        <v>0.7719</v>
      </c>
      <c r="I769" s="9" t="n">
        <v>6</v>
      </c>
    </row>
    <row r="770">
      <c r="A770" s="6" t="n">
        <v>2019</v>
      </c>
      <c r="B770" s="6" t="inlineStr">
        <is>
          <t>silice</t>
        </is>
      </c>
      <c r="C770" s="6" t="inlineStr">
        <is>
          <t>E2 Silicio/ferrosilicio/SiO2</t>
        </is>
      </c>
      <c r="D770" s="6" t="n">
        <v>15583422</v>
      </c>
      <c r="E770" s="6" t="inlineStr">
        <is>
          <t>Estados Unidos</t>
        </is>
      </c>
      <c r="F770" s="6" t="n">
        <v>0.8453000000000001</v>
      </c>
      <c r="G770" s="6" t="n">
        <v>0</v>
      </c>
      <c r="H770" s="6" t="n">
        <v>0.8453000000000001</v>
      </c>
      <c r="I770" s="6" t="n">
        <v>13</v>
      </c>
    </row>
    <row r="771">
      <c r="A771" s="9" t="n">
        <v>2019</v>
      </c>
      <c r="B771" s="9" t="inlineStr">
        <is>
          <t>zinc</t>
        </is>
      </c>
      <c r="C771" s="9" t="inlineStr">
        <is>
          <t>E1 Mena/concentrado</t>
        </is>
      </c>
      <c r="D771" s="9" t="n">
        <v>1311446918</v>
      </c>
      <c r="E771" s="9" t="inlineStr">
        <is>
          <t>Corea del Sur</t>
        </is>
      </c>
      <c r="F771" s="9" t="n">
        <v>0.4246</v>
      </c>
      <c r="G771" s="9" t="n">
        <v>0.0561</v>
      </c>
      <c r="H771" s="9" t="n">
        <v>0</v>
      </c>
      <c r="I771" s="9" t="n">
        <v>7</v>
      </c>
    </row>
    <row r="772">
      <c r="A772" s="6" t="n">
        <v>2019</v>
      </c>
      <c r="B772" s="6" t="inlineStr">
        <is>
          <t>zinc</t>
        </is>
      </c>
      <c r="C772" s="6" t="inlineStr">
        <is>
          <t>E2 Metal en bruto/refinado</t>
        </is>
      </c>
      <c r="D772" s="6" t="n">
        <v>47572348</v>
      </c>
      <c r="E772" s="6" t="inlineStr">
        <is>
          <t>China</t>
        </is>
      </c>
      <c r="F772" s="6" t="n">
        <v>0.4546</v>
      </c>
      <c r="G772" s="6" t="n">
        <v>0.4546</v>
      </c>
      <c r="H772" s="6" t="n">
        <v>0</v>
      </c>
      <c r="I772" s="6" t="n">
        <v>3</v>
      </c>
    </row>
    <row r="773">
      <c r="A773" s="9" t="n">
        <v>2020</v>
      </c>
      <c r="B773" s="9" t="inlineStr">
        <is>
          <t>cobre</t>
        </is>
      </c>
      <c r="C773" s="9" t="inlineStr">
        <is>
          <t>E1 Mena/concentrado</t>
        </is>
      </c>
      <c r="D773" s="9" t="n">
        <v>2878626776</v>
      </c>
      <c r="E773" s="9" t="inlineStr">
        <is>
          <t>China</t>
        </is>
      </c>
      <c r="F773" s="9" t="n">
        <v>0.9498</v>
      </c>
      <c r="G773" s="9" t="n">
        <v>0.9498</v>
      </c>
      <c r="H773" s="9" t="n">
        <v>0</v>
      </c>
      <c r="I773" s="9" t="n">
        <v>6</v>
      </c>
    </row>
    <row r="774">
      <c r="A774" s="6" t="n">
        <v>2020</v>
      </c>
      <c r="B774" s="6" t="inlineStr">
        <is>
          <t>cobre</t>
        </is>
      </c>
      <c r="C774" s="6" t="inlineStr">
        <is>
          <t>E2 Metal en bruto/refinado</t>
        </is>
      </c>
      <c r="D774" s="6" t="n">
        <v>813642511</v>
      </c>
      <c r="E774" s="6" t="inlineStr">
        <is>
          <t>Estados Unidos</t>
        </is>
      </c>
      <c r="F774" s="6" t="n">
        <v>0.6991000000000001</v>
      </c>
      <c r="G774" s="6" t="n">
        <v>0.2381</v>
      </c>
      <c r="H774" s="6" t="n">
        <v>0.6991000000000001</v>
      </c>
      <c r="I774" s="6" t="n">
        <v>7</v>
      </c>
    </row>
    <row r="775">
      <c r="A775" s="9" t="n">
        <v>2020</v>
      </c>
      <c r="B775" s="9" t="inlineStr">
        <is>
          <t>cobre</t>
        </is>
      </c>
      <c r="C775" s="9" t="inlineStr">
        <is>
          <t>E3 Semimanufacturas</t>
        </is>
      </c>
      <c r="D775" s="9" t="n">
        <v>408408126</v>
      </c>
      <c r="E775" s="9" t="inlineStr">
        <is>
          <t>Estados Unidos</t>
        </is>
      </c>
      <c r="F775" s="9" t="n">
        <v>0.7206</v>
      </c>
      <c r="G775" s="9" t="n">
        <v>0</v>
      </c>
      <c r="H775" s="9" t="n">
        <v>0.7206</v>
      </c>
      <c r="I775" s="9" t="n">
        <v>26</v>
      </c>
    </row>
    <row r="776">
      <c r="A776" s="6" t="n">
        <v>2020</v>
      </c>
      <c r="B776" s="6" t="inlineStr">
        <is>
          <t>cobre</t>
        </is>
      </c>
      <c r="C776" s="6" t="inlineStr">
        <is>
          <t>E4 Manufacturas</t>
        </is>
      </c>
      <c r="D776" s="6" t="n">
        <v>52901534</v>
      </c>
      <c r="E776" s="6" t="inlineStr">
        <is>
          <t>Estados Unidos</t>
        </is>
      </c>
      <c r="F776" s="6" t="n">
        <v>0.9408</v>
      </c>
      <c r="G776" s="6" t="n">
        <v>0.0038</v>
      </c>
      <c r="H776" s="6" t="n">
        <v>0.9408</v>
      </c>
      <c r="I776" s="6" t="n">
        <v>40</v>
      </c>
    </row>
    <row r="777">
      <c r="A777" s="9" t="n">
        <v>2020</v>
      </c>
      <c r="B777" s="9" t="inlineStr">
        <is>
          <t>fluorita</t>
        </is>
      </c>
      <c r="C777" s="9" t="inlineStr">
        <is>
          <t>E1 Espato fluor (crudo)</t>
        </is>
      </c>
      <c r="D777" s="9" t="n">
        <v>77026577</v>
      </c>
      <c r="E777" s="9" t="inlineStr">
        <is>
          <t>Estados Unidos</t>
        </is>
      </c>
      <c r="F777" s="9" t="n">
        <v>0.9844000000000001</v>
      </c>
      <c r="G777" s="9" t="n">
        <v>0</v>
      </c>
      <c r="H777" s="9" t="n">
        <v>0.9844000000000001</v>
      </c>
      <c r="I777" s="9" t="n">
        <v>3</v>
      </c>
    </row>
    <row r="778">
      <c r="A778" s="6" t="n">
        <v>2020</v>
      </c>
      <c r="B778" s="6" t="inlineStr">
        <is>
          <t>fluorita</t>
        </is>
      </c>
      <c r="C778" s="6" t="inlineStr">
        <is>
          <t>E2 Fluoroquimica</t>
        </is>
      </c>
      <c r="D778" s="6" t="n">
        <v>144847687</v>
      </c>
      <c r="E778" s="6" t="inlineStr">
        <is>
          <t>Estados Unidos</t>
        </is>
      </c>
      <c r="F778" s="6" t="n">
        <v>1</v>
      </c>
      <c r="G778" s="6" t="n">
        <v>0</v>
      </c>
      <c r="H778" s="6" t="n">
        <v>1</v>
      </c>
      <c r="I778" s="6" t="n">
        <v>1</v>
      </c>
    </row>
    <row r="779">
      <c r="A779" s="9" t="n">
        <v>2020</v>
      </c>
      <c r="B779" s="9" t="inlineStr">
        <is>
          <t>grafito</t>
        </is>
      </c>
      <c r="C779" s="9" t="inlineStr">
        <is>
          <t>E2 Grafito artificial/prep.</t>
        </is>
      </c>
      <c r="D779" s="9" t="n">
        <v>45267805</v>
      </c>
      <c r="E779" s="9" t="inlineStr">
        <is>
          <t>Estados Unidos</t>
        </is>
      </c>
      <c r="F779" s="9" t="n">
        <v>0.7982</v>
      </c>
      <c r="G779" s="9" t="n">
        <v>0</v>
      </c>
      <c r="H779" s="9" t="n">
        <v>0.7982</v>
      </c>
      <c r="I779" s="9" t="n">
        <v>5</v>
      </c>
    </row>
    <row r="780">
      <c r="A780" s="6" t="n">
        <v>2020</v>
      </c>
      <c r="B780" s="6" t="inlineStr">
        <is>
          <t>grafito</t>
        </is>
      </c>
      <c r="C780" s="6" t="inlineStr">
        <is>
          <t>E3 Electrodos/articulos de carbono</t>
        </is>
      </c>
      <c r="D780" s="6" t="n">
        <v>108236298</v>
      </c>
      <c r="E780" s="6" t="inlineStr">
        <is>
          <t>Estados Unidos</t>
        </is>
      </c>
      <c r="F780" s="6" t="n">
        <v>0.7367</v>
      </c>
      <c r="G780" s="6" t="n">
        <v>0.0071</v>
      </c>
      <c r="H780" s="6" t="n">
        <v>0.7367</v>
      </c>
      <c r="I780" s="6" t="n">
        <v>22</v>
      </c>
    </row>
    <row r="781">
      <c r="A781" s="9" t="n">
        <v>2020</v>
      </c>
      <c r="B781" s="9" t="inlineStr">
        <is>
          <t>manganeso</t>
        </is>
      </c>
      <c r="C781" s="9" t="inlineStr">
        <is>
          <t>E2 Ferroaleaciones</t>
        </is>
      </c>
      <c r="D781" s="9" t="n">
        <v>20023807</v>
      </c>
      <c r="E781" s="9" t="inlineStr">
        <is>
          <t>Estados Unidos</t>
        </is>
      </c>
      <c r="F781" s="9" t="n">
        <v>0.9189000000000001</v>
      </c>
      <c r="G781" s="9" t="n">
        <v>0</v>
      </c>
      <c r="H781" s="9" t="n">
        <v>0.9189000000000001</v>
      </c>
      <c r="I781" s="9" t="n">
        <v>4</v>
      </c>
    </row>
    <row r="782">
      <c r="A782" s="6" t="n">
        <v>2020</v>
      </c>
      <c r="B782" s="6" t="inlineStr">
        <is>
          <t>oro</t>
        </is>
      </c>
      <c r="C782" s="6" t="inlineStr">
        <is>
          <t>E1 Mena/concentrado</t>
        </is>
      </c>
      <c r="D782" s="6" t="n">
        <v>321417297</v>
      </c>
      <c r="E782" s="6" t="inlineStr">
        <is>
          <t>Corea del Sur</t>
        </is>
      </c>
      <c r="F782" s="6" t="n">
        <v>0.536</v>
      </c>
      <c r="G782" s="6" t="n">
        <v>0.265</v>
      </c>
      <c r="H782" s="6" t="n">
        <v>0</v>
      </c>
      <c r="I782" s="6" t="n">
        <v>5</v>
      </c>
    </row>
    <row r="783">
      <c r="A783" s="9" t="n">
        <v>2020</v>
      </c>
      <c r="B783" s="9" t="inlineStr">
        <is>
          <t>oro</t>
        </is>
      </c>
      <c r="C783" s="9" t="inlineStr">
        <is>
          <t>E2 Bruto/semilabrado</t>
        </is>
      </c>
      <c r="D783" s="9" t="n">
        <v>3488850587</v>
      </c>
      <c r="E783" s="9" t="inlineStr">
        <is>
          <t>Estados Unidos</t>
        </is>
      </c>
      <c r="F783" s="9" t="n">
        <v>0.8699</v>
      </c>
      <c r="G783" s="9" t="n">
        <v>0</v>
      </c>
      <c r="H783" s="9" t="n">
        <v>0.8699</v>
      </c>
      <c r="I783" s="9" t="n">
        <v>4</v>
      </c>
    </row>
    <row r="784">
      <c r="A784" s="6" t="n">
        <v>2020</v>
      </c>
      <c r="B784" s="6" t="inlineStr">
        <is>
          <t>oro-plata (manufacturas)</t>
        </is>
      </c>
      <c r="C784" s="6" t="inlineStr">
        <is>
          <t>E4 Joyeria/orfebreria</t>
        </is>
      </c>
      <c r="D784" s="6" t="n">
        <v>262580578</v>
      </c>
      <c r="E784" s="6" t="inlineStr">
        <is>
          <t>Estados Unidos</t>
        </is>
      </c>
      <c r="F784" s="6" t="n">
        <v>0.8877</v>
      </c>
      <c r="G784" s="6" t="n">
        <v>0</v>
      </c>
      <c r="H784" s="6" t="n">
        <v>0.8877</v>
      </c>
      <c r="I784" s="6" t="n">
        <v>20</v>
      </c>
    </row>
    <row r="785">
      <c r="A785" s="9" t="n">
        <v>2020</v>
      </c>
      <c r="B785" s="9" t="inlineStr">
        <is>
          <t>plata</t>
        </is>
      </c>
      <c r="C785" s="9" t="inlineStr">
        <is>
          <t>E1 Mena/concentrado</t>
        </is>
      </c>
      <c r="D785" s="9" t="n">
        <v>146951579</v>
      </c>
      <c r="E785" s="9" t="inlineStr">
        <is>
          <t>Corea del Sur</t>
        </is>
      </c>
      <c r="F785" s="9" t="n">
        <v>0.3065</v>
      </c>
      <c r="G785" s="9" t="n">
        <v>0.1735</v>
      </c>
      <c r="H785" s="9" t="n">
        <v>0</v>
      </c>
      <c r="I785" s="9" t="n">
        <v>5</v>
      </c>
    </row>
    <row r="786">
      <c r="A786" s="6" t="n">
        <v>2020</v>
      </c>
      <c r="B786" s="6" t="inlineStr">
        <is>
          <t>plata</t>
        </is>
      </c>
      <c r="C786" s="6" t="inlineStr">
        <is>
          <t>E2 Bruto/semilabrado</t>
        </is>
      </c>
      <c r="D786" s="6" t="n">
        <v>2155928215</v>
      </c>
      <c r="E786" s="6" t="inlineStr">
        <is>
          <t>Estados Unidos</t>
        </is>
      </c>
      <c r="F786" s="6" t="n">
        <v>0.9497</v>
      </c>
      <c r="G786" s="6" t="n">
        <v>0</v>
      </c>
      <c r="H786" s="6" t="n">
        <v>0.9497</v>
      </c>
      <c r="I786" s="6" t="n">
        <v>6</v>
      </c>
    </row>
    <row r="787">
      <c r="A787" s="9" t="n">
        <v>2020</v>
      </c>
      <c r="B787" s="9" t="inlineStr">
        <is>
          <t>plomo</t>
        </is>
      </c>
      <c r="C787" s="9" t="inlineStr">
        <is>
          <t>E1 Mena/concentrado</t>
        </is>
      </c>
      <c r="D787" s="9" t="n">
        <v>1482644734</v>
      </c>
      <c r="E787" s="9" t="inlineStr">
        <is>
          <t>Corea del Sur</t>
        </is>
      </c>
      <c r="F787" s="9" t="n">
        <v>0.533</v>
      </c>
      <c r="G787" s="9" t="n">
        <v>0.3281</v>
      </c>
      <c r="H787" s="9" t="n">
        <v>0</v>
      </c>
      <c r="I787" s="9" t="n">
        <v>4</v>
      </c>
    </row>
    <row r="788">
      <c r="A788" s="6" t="n">
        <v>2020</v>
      </c>
      <c r="B788" s="6" t="inlineStr">
        <is>
          <t>plomo</t>
        </is>
      </c>
      <c r="C788" s="6" t="inlineStr">
        <is>
          <t>E2 Metal en bruto/refinado</t>
        </is>
      </c>
      <c r="D788" s="6" t="n">
        <v>144734176</v>
      </c>
      <c r="E788" s="6" t="inlineStr">
        <is>
          <t>Estados Unidos</t>
        </is>
      </c>
      <c r="F788" s="6" t="n">
        <v>0.8103</v>
      </c>
      <c r="G788" s="6" t="n">
        <v>0</v>
      </c>
      <c r="H788" s="6" t="n">
        <v>0.8103</v>
      </c>
      <c r="I788" s="6" t="n">
        <v>5</v>
      </c>
    </row>
    <row r="789">
      <c r="A789" s="9" t="n">
        <v>2020</v>
      </c>
      <c r="B789" s="9" t="inlineStr">
        <is>
          <t>plomo</t>
        </is>
      </c>
      <c r="C789" s="9" t="inlineStr">
        <is>
          <t>E3 Semimanufacturas</t>
        </is>
      </c>
      <c r="D789" s="9" t="n">
        <v>283760</v>
      </c>
      <c r="E789" s="9" t="inlineStr">
        <is>
          <t>Estados Unidos</t>
        </is>
      </c>
      <c r="F789" s="9" t="n">
        <v>0.9913999999999999</v>
      </c>
      <c r="G789" s="9" t="n">
        <v>0</v>
      </c>
      <c r="H789" s="9" t="n">
        <v>0.9913999999999999</v>
      </c>
      <c r="I789" s="9" t="n">
        <v>2</v>
      </c>
    </row>
    <row r="790">
      <c r="A790" s="6" t="n">
        <v>2020</v>
      </c>
      <c r="B790" s="6" t="inlineStr">
        <is>
          <t>plomo</t>
        </is>
      </c>
      <c r="C790" s="6" t="inlineStr">
        <is>
          <t>E4 Manufacturas</t>
        </is>
      </c>
      <c r="D790" s="6" t="n">
        <v>1014870</v>
      </c>
      <c r="E790" s="6" t="inlineStr">
        <is>
          <t>Estados Unidos</t>
        </is>
      </c>
      <c r="F790" s="6" t="n">
        <v>0.8617</v>
      </c>
      <c r="G790" s="6" t="n">
        <v>0</v>
      </c>
      <c r="H790" s="6" t="n">
        <v>0.8617</v>
      </c>
      <c r="I790" s="6" t="n">
        <v>3</v>
      </c>
    </row>
    <row r="791">
      <c r="A791" s="9" t="n">
        <v>2020</v>
      </c>
      <c r="B791" s="9" t="inlineStr">
        <is>
          <t>silice</t>
        </is>
      </c>
      <c r="C791" s="9" t="inlineStr">
        <is>
          <t>E1 Arena silica/cuarzo</t>
        </is>
      </c>
      <c r="D791" s="9" t="n">
        <v>1391684</v>
      </c>
      <c r="E791" s="9" t="inlineStr">
        <is>
          <t>Estados Unidos</t>
        </is>
      </c>
      <c r="F791" s="9" t="n">
        <v>0.9843</v>
      </c>
      <c r="G791" s="9" t="n">
        <v>0</v>
      </c>
      <c r="H791" s="9" t="n">
        <v>0.9843</v>
      </c>
      <c r="I791" s="9" t="n">
        <v>5</v>
      </c>
    </row>
    <row r="792">
      <c r="A792" s="6" t="n">
        <v>2020</v>
      </c>
      <c r="B792" s="6" t="inlineStr">
        <is>
          <t>silice</t>
        </is>
      </c>
      <c r="C792" s="6" t="inlineStr">
        <is>
          <t>E2 Silicio/ferrosilicio/SiO2</t>
        </is>
      </c>
      <c r="D792" s="6" t="n">
        <v>7400256</v>
      </c>
      <c r="E792" s="6" t="inlineStr">
        <is>
          <t>Estados Unidos</t>
        </is>
      </c>
      <c r="F792" s="6" t="n">
        <v>0.9024</v>
      </c>
      <c r="G792" s="6" t="n">
        <v>0</v>
      </c>
      <c r="H792" s="6" t="n">
        <v>0.9024</v>
      </c>
      <c r="I792" s="6" t="n">
        <v>5</v>
      </c>
    </row>
    <row r="793">
      <c r="A793" s="9" t="n">
        <v>2020</v>
      </c>
      <c r="B793" s="9" t="inlineStr">
        <is>
          <t>zinc</t>
        </is>
      </c>
      <c r="C793" s="9" t="inlineStr">
        <is>
          <t>E1 Mena/concentrado</t>
        </is>
      </c>
      <c r="D793" s="9" t="n">
        <v>646136225</v>
      </c>
      <c r="E793" s="9" t="inlineStr">
        <is>
          <t>Corea del Sur</t>
        </is>
      </c>
      <c r="F793" s="9" t="n">
        <v>0.4723</v>
      </c>
      <c r="G793" s="9" t="n">
        <v>0.0014</v>
      </c>
      <c r="H793" s="9" t="n">
        <v>0</v>
      </c>
      <c r="I793" s="9" t="n">
        <v>7</v>
      </c>
    </row>
    <row r="794">
      <c r="A794" s="6" t="n">
        <v>2020</v>
      </c>
      <c r="B794" s="6" t="inlineStr">
        <is>
          <t>zinc</t>
        </is>
      </c>
      <c r="C794" s="6" t="inlineStr">
        <is>
          <t>E2 Metal en bruto/refinado</t>
        </is>
      </c>
      <c r="D794" s="6" t="n">
        <v>337374838</v>
      </c>
      <c r="E794" s="6" t="inlineStr">
        <is>
          <t>Estados Unidos</t>
        </is>
      </c>
      <c r="F794" s="6" t="n">
        <v>0.8861</v>
      </c>
      <c r="G794" s="6" t="n">
        <v>0.0612</v>
      </c>
      <c r="H794" s="6" t="n">
        <v>0.8861</v>
      </c>
      <c r="I794" s="6" t="n">
        <v>4</v>
      </c>
    </row>
    <row r="795">
      <c r="A795" s="9" t="n">
        <v>2020</v>
      </c>
      <c r="B795" s="9" t="inlineStr">
        <is>
          <t>zinc</t>
        </is>
      </c>
      <c r="C795" s="9" t="inlineStr">
        <is>
          <t>E3 Semimanufacturas</t>
        </is>
      </c>
      <c r="D795" s="9" t="n">
        <v>803368</v>
      </c>
      <c r="E795" s="9" t="inlineStr">
        <is>
          <t>Colombia</t>
        </is>
      </c>
      <c r="F795" s="9" t="n">
        <v>1</v>
      </c>
      <c r="G795" s="9" t="n">
        <v>0</v>
      </c>
      <c r="H795" s="9" t="n">
        <v>0</v>
      </c>
      <c r="I795" s="9" t="n">
        <v>1</v>
      </c>
    </row>
    <row r="796">
      <c r="A796" s="6" t="n">
        <v>2021</v>
      </c>
      <c r="B796" s="6" t="inlineStr">
        <is>
          <t>barita</t>
        </is>
      </c>
      <c r="C796" s="6" t="inlineStr">
        <is>
          <t>E1 Crudo/molido</t>
        </is>
      </c>
      <c r="D796" s="6" t="n">
        <v>19124233</v>
      </c>
      <c r="E796" s="6" t="inlineStr">
        <is>
          <t>Estados Unidos</t>
        </is>
      </c>
      <c r="F796" s="6" t="n">
        <v>1</v>
      </c>
      <c r="G796" s="6" t="n">
        <v>0</v>
      </c>
      <c r="H796" s="6" t="n">
        <v>1</v>
      </c>
      <c r="I796" s="6" t="n">
        <v>1</v>
      </c>
    </row>
    <row r="797">
      <c r="A797" s="9" t="n">
        <v>2021</v>
      </c>
      <c r="B797" s="9" t="inlineStr">
        <is>
          <t>cobre</t>
        </is>
      </c>
      <c r="C797" s="9" t="inlineStr">
        <is>
          <t>E1 Mena/concentrado</t>
        </is>
      </c>
      <c r="D797" s="9" t="n">
        <v>3420948513</v>
      </c>
      <c r="E797" s="9" t="inlineStr">
        <is>
          <t>China</t>
        </is>
      </c>
      <c r="F797" s="9" t="n">
        <v>0.98</v>
      </c>
      <c r="G797" s="9" t="n">
        <v>0.98</v>
      </c>
      <c r="H797" s="9" t="n">
        <v>0</v>
      </c>
      <c r="I797" s="9" t="n">
        <v>3</v>
      </c>
    </row>
    <row r="798">
      <c r="A798" s="6" t="n">
        <v>2021</v>
      </c>
      <c r="B798" s="6" t="inlineStr">
        <is>
          <t>cobre</t>
        </is>
      </c>
      <c r="C798" s="6" t="inlineStr">
        <is>
          <t>E2 Metal en bruto/refinado</t>
        </is>
      </c>
      <c r="D798" s="6" t="n">
        <v>966254109</v>
      </c>
      <c r="E798" s="6" t="inlineStr">
        <is>
          <t>Estados Unidos</t>
        </is>
      </c>
      <c r="F798" s="6" t="n">
        <v>0.8255</v>
      </c>
      <c r="G798" s="6" t="n">
        <v>0.1607</v>
      </c>
      <c r="H798" s="6" t="n">
        <v>0.8255</v>
      </c>
      <c r="I798" s="6" t="n">
        <v>3</v>
      </c>
    </row>
    <row r="799">
      <c r="A799" s="9" t="n">
        <v>2021</v>
      </c>
      <c r="B799" s="9" t="inlineStr">
        <is>
          <t>cobre</t>
        </is>
      </c>
      <c r="C799" s="9" t="inlineStr">
        <is>
          <t>E3 Semimanufacturas</t>
        </is>
      </c>
      <c r="D799" s="9" t="n">
        <v>519982902</v>
      </c>
      <c r="E799" s="9" t="inlineStr">
        <is>
          <t>Estados Unidos</t>
        </is>
      </c>
      <c r="F799" s="9" t="n">
        <v>0.8175</v>
      </c>
      <c r="G799" s="9" t="n">
        <v>0</v>
      </c>
      <c r="H799" s="9" t="n">
        <v>0.8175</v>
      </c>
      <c r="I799" s="9" t="n">
        <v>22</v>
      </c>
    </row>
    <row r="800">
      <c r="A800" s="6" t="n">
        <v>2021</v>
      </c>
      <c r="B800" s="6" t="inlineStr">
        <is>
          <t>cobre</t>
        </is>
      </c>
      <c r="C800" s="6" t="inlineStr">
        <is>
          <t>E4 Manufacturas</t>
        </is>
      </c>
      <c r="D800" s="6" t="n">
        <v>78214998</v>
      </c>
      <c r="E800" s="6" t="inlineStr">
        <is>
          <t>Estados Unidos</t>
        </is>
      </c>
      <c r="F800" s="6" t="n">
        <v>0.8481</v>
      </c>
      <c r="G800" s="6" t="n">
        <v>0.1114</v>
      </c>
      <c r="H800" s="6" t="n">
        <v>0.8481</v>
      </c>
      <c r="I800" s="6" t="n">
        <v>31</v>
      </c>
    </row>
    <row r="801">
      <c r="A801" s="9" t="n">
        <v>2021</v>
      </c>
      <c r="B801" s="9" t="inlineStr">
        <is>
          <t>fluorita</t>
        </is>
      </c>
      <c r="C801" s="9" t="inlineStr">
        <is>
          <t>E1 Espato fluor (crudo)</t>
        </is>
      </c>
      <c r="D801" s="9" t="n">
        <v>91633901</v>
      </c>
      <c r="E801" s="9" t="inlineStr">
        <is>
          <t>Estados Unidos</t>
        </is>
      </c>
      <c r="F801" s="9" t="n">
        <v>0.9866</v>
      </c>
      <c r="G801" s="9" t="n">
        <v>0</v>
      </c>
      <c r="H801" s="9" t="n">
        <v>0.9866</v>
      </c>
      <c r="I801" s="9" t="n">
        <v>2</v>
      </c>
    </row>
    <row r="802">
      <c r="A802" s="6" t="n">
        <v>2021</v>
      </c>
      <c r="B802" s="6" t="inlineStr">
        <is>
          <t>fluorita</t>
        </is>
      </c>
      <c r="C802" s="6" t="inlineStr">
        <is>
          <t>E2 Fluoroquimica</t>
        </is>
      </c>
      <c r="D802" s="6" t="n">
        <v>18807660</v>
      </c>
      <c r="E802" s="6" t="inlineStr">
        <is>
          <t>Estados Unidos</t>
        </is>
      </c>
      <c r="F802" s="6" t="n">
        <v>1</v>
      </c>
      <c r="G802" s="6" t="n">
        <v>0</v>
      </c>
      <c r="H802" s="6" t="n">
        <v>1</v>
      </c>
      <c r="I802" s="6" t="n">
        <v>1</v>
      </c>
    </row>
    <row r="803">
      <c r="A803" s="9" t="n">
        <v>2021</v>
      </c>
      <c r="B803" s="9" t="inlineStr">
        <is>
          <t>grafito</t>
        </is>
      </c>
      <c r="C803" s="9" t="inlineStr">
        <is>
          <t>E1 Grafito natural</t>
        </is>
      </c>
      <c r="D803" s="9" t="n">
        <v>2113261</v>
      </c>
      <c r="E803" s="9" t="inlineStr">
        <is>
          <t>Estados Unidos</t>
        </is>
      </c>
      <c r="F803" s="9" t="n">
        <v>1</v>
      </c>
      <c r="G803" s="9" t="n">
        <v>0</v>
      </c>
      <c r="H803" s="9" t="n">
        <v>1</v>
      </c>
      <c r="I803" s="9" t="n">
        <v>1</v>
      </c>
    </row>
    <row r="804">
      <c r="A804" s="6" t="n">
        <v>2021</v>
      </c>
      <c r="B804" s="6" t="inlineStr">
        <is>
          <t>grafito</t>
        </is>
      </c>
      <c r="C804" s="6" t="inlineStr">
        <is>
          <t>E2 Grafito artificial/prep.</t>
        </is>
      </c>
      <c r="D804" s="6" t="n">
        <v>51084472</v>
      </c>
      <c r="E804" s="6" t="inlineStr">
        <is>
          <t>Estados Unidos</t>
        </is>
      </c>
      <c r="F804" s="6" t="n">
        <v>0.9944</v>
      </c>
      <c r="G804" s="6" t="n">
        <v>0.0045</v>
      </c>
      <c r="H804" s="6" t="n">
        <v>0.9944</v>
      </c>
      <c r="I804" s="6" t="n">
        <v>4</v>
      </c>
    </row>
    <row r="805">
      <c r="A805" s="9" t="n">
        <v>2021</v>
      </c>
      <c r="B805" s="9" t="inlineStr">
        <is>
          <t>grafito</t>
        </is>
      </c>
      <c r="C805" s="9" t="inlineStr">
        <is>
          <t>E3 Electrodos/articulos de carbono</t>
        </is>
      </c>
      <c r="D805" s="9" t="n">
        <v>105949967</v>
      </c>
      <c r="E805" s="9" t="inlineStr">
        <is>
          <t>Estados Unidos</t>
        </is>
      </c>
      <c r="F805" s="9" t="n">
        <v>0.9391</v>
      </c>
      <c r="G805" s="9" t="n">
        <v>0.0012</v>
      </c>
      <c r="H805" s="9" t="n">
        <v>0.9391</v>
      </c>
      <c r="I805" s="9" t="n">
        <v>15</v>
      </c>
    </row>
    <row r="806">
      <c r="A806" s="6" t="n">
        <v>2021</v>
      </c>
      <c r="B806" s="6" t="inlineStr">
        <is>
          <t>manganeso</t>
        </is>
      </c>
      <c r="C806" s="6" t="inlineStr">
        <is>
          <t>E2 Ferroaleaciones</t>
        </is>
      </c>
      <c r="D806" s="6" t="n">
        <v>19983315</v>
      </c>
      <c r="E806" s="6" t="inlineStr">
        <is>
          <t>Estados Unidos</t>
        </is>
      </c>
      <c r="F806" s="6" t="n">
        <v>0.9981</v>
      </c>
      <c r="G806" s="6" t="n">
        <v>0</v>
      </c>
      <c r="H806" s="6" t="n">
        <v>0.9981</v>
      </c>
      <c r="I806" s="6" t="n">
        <v>2</v>
      </c>
    </row>
    <row r="807">
      <c r="A807" s="9" t="n">
        <v>2021</v>
      </c>
      <c r="B807" s="9" t="inlineStr">
        <is>
          <t>oro</t>
        </is>
      </c>
      <c r="C807" s="9" t="inlineStr">
        <is>
          <t>E1 Mena/concentrado</t>
        </is>
      </c>
      <c r="D807" s="9" t="n">
        <v>2952263</v>
      </c>
      <c r="E807" s="9" t="inlineStr">
        <is>
          <t>China</t>
        </is>
      </c>
      <c r="F807" s="9" t="n">
        <v>1</v>
      </c>
      <c r="G807" s="9" t="n">
        <v>1</v>
      </c>
      <c r="H807" s="9" t="n">
        <v>0</v>
      </c>
      <c r="I807" s="9" t="n">
        <v>1</v>
      </c>
    </row>
    <row r="808">
      <c r="A808" s="6" t="n">
        <v>2021</v>
      </c>
      <c r="B808" s="6" t="inlineStr">
        <is>
          <t>oro</t>
        </is>
      </c>
      <c r="C808" s="6" t="inlineStr">
        <is>
          <t>E2 Bruto/semilabrado</t>
        </is>
      </c>
      <c r="D808" s="6" t="n">
        <v>3413974349</v>
      </c>
      <c r="E808" s="6" t="inlineStr">
        <is>
          <t>Estados Unidos</t>
        </is>
      </c>
      <c r="F808" s="6" t="n">
        <v>0.7542</v>
      </c>
      <c r="G808" s="6" t="n">
        <v>0</v>
      </c>
      <c r="H808" s="6" t="n">
        <v>0.7542</v>
      </c>
      <c r="I808" s="6" t="n">
        <v>3</v>
      </c>
    </row>
    <row r="809">
      <c r="A809" s="9" t="n">
        <v>2021</v>
      </c>
      <c r="B809" s="9" t="inlineStr">
        <is>
          <t>oro-plata (manufacturas)</t>
        </is>
      </c>
      <c r="C809" s="9" t="inlineStr">
        <is>
          <t>E4 Joyeria/orfebreria</t>
        </is>
      </c>
      <c r="D809" s="9" t="n">
        <v>455993823</v>
      </c>
      <c r="E809" s="9" t="inlineStr">
        <is>
          <t>Estados Unidos</t>
        </is>
      </c>
      <c r="F809" s="9" t="n">
        <v>0.9257</v>
      </c>
      <c r="G809" s="9" t="n">
        <v>0</v>
      </c>
      <c r="H809" s="9" t="n">
        <v>0.9257</v>
      </c>
      <c r="I809" s="9" t="n">
        <v>18</v>
      </c>
    </row>
    <row r="810">
      <c r="A810" s="6" t="n">
        <v>2021</v>
      </c>
      <c r="B810" s="6" t="inlineStr">
        <is>
          <t>plata</t>
        </is>
      </c>
      <c r="C810" s="6" t="inlineStr">
        <is>
          <t>E1 Mena/concentrado</t>
        </is>
      </c>
      <c r="D810" s="6" t="n">
        <v>28657175</v>
      </c>
      <c r="E810" s="6" t="inlineStr">
        <is>
          <t>Corea del Sur</t>
        </is>
      </c>
      <c r="F810" s="6" t="n">
        <v>0.4982</v>
      </c>
      <c r="G810" s="6" t="n">
        <v>0.3511</v>
      </c>
      <c r="H810" s="6" t="n">
        <v>0.1507</v>
      </c>
      <c r="I810" s="6" t="n">
        <v>3</v>
      </c>
    </row>
    <row r="811">
      <c r="A811" s="9" t="n">
        <v>2021</v>
      </c>
      <c r="B811" s="9" t="inlineStr">
        <is>
          <t>plata</t>
        </is>
      </c>
      <c r="C811" s="9" t="inlineStr">
        <is>
          <t>E2 Bruto/semilabrado</t>
        </is>
      </c>
      <c r="D811" s="9" t="n">
        <v>2543070260</v>
      </c>
      <c r="E811" s="9" t="inlineStr">
        <is>
          <t>Estados Unidos</t>
        </is>
      </c>
      <c r="F811" s="9" t="n">
        <v>0.9996</v>
      </c>
      <c r="G811" s="9" t="n">
        <v>0</v>
      </c>
      <c r="H811" s="9" t="n">
        <v>0.9996</v>
      </c>
      <c r="I811" s="9" t="n">
        <v>3</v>
      </c>
    </row>
    <row r="812">
      <c r="A812" s="6" t="n">
        <v>2021</v>
      </c>
      <c r="B812" s="6" t="inlineStr">
        <is>
          <t>plomo</t>
        </is>
      </c>
      <c r="C812" s="6" t="inlineStr">
        <is>
          <t>E1 Mena/concentrado</t>
        </is>
      </c>
      <c r="D812" s="6" t="n">
        <v>833273184</v>
      </c>
      <c r="E812" s="6" t="inlineStr">
        <is>
          <t>China</t>
        </is>
      </c>
      <c r="F812" s="6" t="n">
        <v>1</v>
      </c>
      <c r="G812" s="6" t="n">
        <v>1</v>
      </c>
      <c r="H812" s="6" t="n">
        <v>0</v>
      </c>
      <c r="I812" s="6" t="n">
        <v>1</v>
      </c>
    </row>
    <row r="813">
      <c r="A813" s="9" t="n">
        <v>2021</v>
      </c>
      <c r="B813" s="9" t="inlineStr">
        <is>
          <t>plomo</t>
        </is>
      </c>
      <c r="C813" s="9" t="inlineStr">
        <is>
          <t>E2 Metal en bruto/refinado</t>
        </is>
      </c>
      <c r="D813" s="9" t="n">
        <v>169751570</v>
      </c>
      <c r="E813" s="9" t="inlineStr">
        <is>
          <t>Estados Unidos</t>
        </is>
      </c>
      <c r="F813" s="9" t="n">
        <v>0.9462</v>
      </c>
      <c r="G813" s="9" t="n">
        <v>0</v>
      </c>
      <c r="H813" s="9" t="n">
        <v>0.9462</v>
      </c>
      <c r="I813" s="9" t="n">
        <v>2</v>
      </c>
    </row>
    <row r="814">
      <c r="A814" s="6" t="n">
        <v>2021</v>
      </c>
      <c r="B814" s="6" t="inlineStr">
        <is>
          <t>plomo</t>
        </is>
      </c>
      <c r="C814" s="6" t="inlineStr">
        <is>
          <t>E4 Manufacturas</t>
        </is>
      </c>
      <c r="D814" s="6" t="n">
        <v>1101224</v>
      </c>
      <c r="E814" s="6" t="inlineStr">
        <is>
          <t>Estados Unidos</t>
        </is>
      </c>
      <c r="F814" s="6" t="n">
        <v>0.8976</v>
      </c>
      <c r="G814" s="6" t="n">
        <v>0</v>
      </c>
      <c r="H814" s="6" t="n">
        <v>0.8976</v>
      </c>
      <c r="I814" s="6" t="n">
        <v>2</v>
      </c>
    </row>
    <row r="815">
      <c r="A815" s="9" t="n">
        <v>2021</v>
      </c>
      <c r="B815" s="9" t="inlineStr">
        <is>
          <t>silice</t>
        </is>
      </c>
      <c r="C815" s="9" t="inlineStr">
        <is>
          <t>E1 Arena silica/cuarzo</t>
        </is>
      </c>
      <c r="D815" s="9" t="n">
        <v>2535528</v>
      </c>
      <c r="E815" s="9" t="inlineStr">
        <is>
          <t>Estados Unidos</t>
        </is>
      </c>
      <c r="F815" s="9" t="n">
        <v>0.9643</v>
      </c>
      <c r="G815" s="9" t="n">
        <v>0</v>
      </c>
      <c r="H815" s="9" t="n">
        <v>0.9643</v>
      </c>
      <c r="I815" s="9" t="n">
        <v>3</v>
      </c>
    </row>
    <row r="816">
      <c r="A816" s="6" t="n">
        <v>2021</v>
      </c>
      <c r="B816" s="6" t="inlineStr">
        <is>
          <t>silice</t>
        </is>
      </c>
      <c r="C816" s="6" t="inlineStr">
        <is>
          <t>E2 Silicio/ferrosilicio/SiO2</t>
        </is>
      </c>
      <c r="D816" s="6" t="n">
        <v>11198288</v>
      </c>
      <c r="E816" s="6" t="inlineStr">
        <is>
          <t>Estados Unidos</t>
        </is>
      </c>
      <c r="F816" s="6" t="n">
        <v>0.9606</v>
      </c>
      <c r="G816" s="6" t="n">
        <v>0</v>
      </c>
      <c r="H816" s="6" t="n">
        <v>0.9606</v>
      </c>
      <c r="I816" s="6" t="n">
        <v>5</v>
      </c>
    </row>
    <row r="817">
      <c r="A817" s="9" t="n">
        <v>2021</v>
      </c>
      <c r="B817" s="9" t="inlineStr">
        <is>
          <t>zinc</t>
        </is>
      </c>
      <c r="C817" s="9" t="inlineStr">
        <is>
          <t>E1 Mena/concentrado</t>
        </is>
      </c>
      <c r="D817" s="9" t="n">
        <v>248335725</v>
      </c>
      <c r="E817" s="9" t="inlineStr">
        <is>
          <t>Corea del Sur</t>
        </is>
      </c>
      <c r="F817" s="9" t="n">
        <v>0.7475000000000001</v>
      </c>
      <c r="G817" s="9" t="n">
        <v>0</v>
      </c>
      <c r="H817" s="9" t="n">
        <v>0</v>
      </c>
      <c r="I817" s="9" t="n">
        <v>3</v>
      </c>
    </row>
    <row r="818">
      <c r="A818" s="6" t="n">
        <v>2021</v>
      </c>
      <c r="B818" s="6" t="inlineStr">
        <is>
          <t>zinc</t>
        </is>
      </c>
      <c r="C818" s="6" t="inlineStr">
        <is>
          <t>E2 Metal en bruto/refinado</t>
        </is>
      </c>
      <c r="D818" s="6" t="n">
        <v>288767583</v>
      </c>
      <c r="E818" s="6" t="inlineStr">
        <is>
          <t>Estados Unidos</t>
        </is>
      </c>
      <c r="F818" s="6" t="n">
        <v>0.9325</v>
      </c>
      <c r="G818" s="6" t="n">
        <v>0</v>
      </c>
      <c r="H818" s="6" t="n">
        <v>0.9325</v>
      </c>
      <c r="I818" s="6" t="n">
        <v>3</v>
      </c>
    </row>
    <row r="819">
      <c r="A819" s="9" t="n">
        <v>2021</v>
      </c>
      <c r="B819" s="9" t="inlineStr">
        <is>
          <t>zinc</t>
        </is>
      </c>
      <c r="C819" s="9" t="inlineStr">
        <is>
          <t>E3 Semimanufacturas</t>
        </is>
      </c>
      <c r="D819" s="9" t="n">
        <v>50953</v>
      </c>
      <c r="E819" s="9" t="inlineStr">
        <is>
          <t>Estados Unidos</t>
        </is>
      </c>
      <c r="F819" s="9" t="n">
        <v>1</v>
      </c>
      <c r="G819" s="9" t="n">
        <v>0</v>
      </c>
      <c r="H819" s="9" t="n">
        <v>1</v>
      </c>
      <c r="I819" s="9" t="n">
        <v>1</v>
      </c>
    </row>
    <row r="820">
      <c r="A820" s="6" t="n">
        <v>2021</v>
      </c>
      <c r="B820" s="6" t="inlineStr">
        <is>
          <t>zinc</t>
        </is>
      </c>
      <c r="C820" s="6" t="inlineStr">
        <is>
          <t>E4 Manufacturas</t>
        </is>
      </c>
      <c r="D820" s="6" t="n">
        <v>4209656</v>
      </c>
      <c r="E820" s="6" t="inlineStr">
        <is>
          <t>Estados Unidos</t>
        </is>
      </c>
      <c r="F820" s="6" t="n">
        <v>0.861</v>
      </c>
      <c r="G820" s="6" t="n">
        <v>0</v>
      </c>
      <c r="H820" s="6" t="n">
        <v>0.861</v>
      </c>
      <c r="I820" s="6" t="n">
        <v>16</v>
      </c>
    </row>
    <row r="821">
      <c r="A821" s="9" t="n">
        <v>2022</v>
      </c>
      <c r="B821" s="9" t="inlineStr">
        <is>
          <t>barita</t>
        </is>
      </c>
      <c r="C821" s="9" t="inlineStr">
        <is>
          <t>E1 Crudo/molido</t>
        </is>
      </c>
      <c r="D821" s="9" t="n">
        <v>27236605</v>
      </c>
      <c r="E821" s="9" t="inlineStr">
        <is>
          <t>Estados Unidos</t>
        </is>
      </c>
      <c r="F821" s="9" t="n">
        <v>1</v>
      </c>
      <c r="G821" s="9" t="n">
        <v>0</v>
      </c>
      <c r="H821" s="9" t="n">
        <v>1</v>
      </c>
      <c r="I821" s="9" t="n">
        <v>1</v>
      </c>
    </row>
    <row r="822">
      <c r="A822" s="6" t="n">
        <v>2022</v>
      </c>
      <c r="B822" s="6" t="inlineStr">
        <is>
          <t>cobre</t>
        </is>
      </c>
      <c r="C822" s="6" t="inlineStr">
        <is>
          <t>E1 Mena/concentrado</t>
        </is>
      </c>
      <c r="D822" s="6" t="n">
        <v>3137587661</v>
      </c>
      <c r="E822" s="6" t="inlineStr">
        <is>
          <t>China</t>
        </is>
      </c>
      <c r="F822" s="6" t="n">
        <v>0.9388</v>
      </c>
      <c r="G822" s="6" t="n">
        <v>0.9388</v>
      </c>
      <c r="H822" s="6" t="n">
        <v>0</v>
      </c>
      <c r="I822" s="6" t="n">
        <v>4</v>
      </c>
    </row>
    <row r="823">
      <c r="A823" s="9" t="n">
        <v>2022</v>
      </c>
      <c r="B823" s="9" t="inlineStr">
        <is>
          <t>cobre</t>
        </is>
      </c>
      <c r="C823" s="9" t="inlineStr">
        <is>
          <t>E2 Metal en bruto/refinado</t>
        </is>
      </c>
      <c r="D823" s="9" t="n">
        <v>873308606</v>
      </c>
      <c r="E823" s="9" t="inlineStr">
        <is>
          <t>Estados Unidos</t>
        </is>
      </c>
      <c r="F823" s="9" t="n">
        <v>0.7687</v>
      </c>
      <c r="G823" s="9" t="n">
        <v>0.1972</v>
      </c>
      <c r="H823" s="9" t="n">
        <v>0.7687</v>
      </c>
      <c r="I823" s="9" t="n">
        <v>3</v>
      </c>
    </row>
    <row r="824">
      <c r="A824" s="6" t="n">
        <v>2022</v>
      </c>
      <c r="B824" s="6" t="inlineStr">
        <is>
          <t>cobre</t>
        </is>
      </c>
      <c r="C824" s="6" t="inlineStr">
        <is>
          <t>E3 Semimanufacturas</t>
        </is>
      </c>
      <c r="D824" s="6" t="n">
        <v>627341853</v>
      </c>
      <c r="E824" s="6" t="inlineStr">
        <is>
          <t>Estados Unidos</t>
        </is>
      </c>
      <c r="F824" s="6" t="n">
        <v>0.8618</v>
      </c>
      <c r="G824" s="6" t="n">
        <v>0</v>
      </c>
      <c r="H824" s="6" t="n">
        <v>0.8618</v>
      </c>
      <c r="I824" s="6" t="n">
        <v>24</v>
      </c>
    </row>
    <row r="825">
      <c r="A825" s="9" t="n">
        <v>2022</v>
      </c>
      <c r="B825" s="9" t="inlineStr">
        <is>
          <t>cobre</t>
        </is>
      </c>
      <c r="C825" s="9" t="inlineStr">
        <is>
          <t>E4 Manufacturas</t>
        </is>
      </c>
      <c r="D825" s="9" t="n">
        <v>84431303</v>
      </c>
      <c r="E825" s="9" t="inlineStr">
        <is>
          <t>Estados Unidos</t>
        </is>
      </c>
      <c r="F825" s="9" t="n">
        <v>0.8591</v>
      </c>
      <c r="G825" s="9" t="n">
        <v>0.1</v>
      </c>
      <c r="H825" s="9" t="n">
        <v>0.8591</v>
      </c>
      <c r="I825" s="9" t="n">
        <v>27</v>
      </c>
    </row>
    <row r="826">
      <c r="A826" s="6" t="n">
        <v>2022</v>
      </c>
      <c r="B826" s="6" t="inlineStr">
        <is>
          <t>fluorita</t>
        </is>
      </c>
      <c r="C826" s="6" t="inlineStr">
        <is>
          <t>E1 Espato fluor (crudo)</t>
        </is>
      </c>
      <c r="D826" s="6" t="n">
        <v>55800331</v>
      </c>
      <c r="E826" s="6" t="inlineStr">
        <is>
          <t>Estados Unidos</t>
        </is>
      </c>
      <c r="F826" s="6" t="n">
        <v>0.9852</v>
      </c>
      <c r="G826" s="6" t="n">
        <v>0</v>
      </c>
      <c r="H826" s="6" t="n">
        <v>0.9852</v>
      </c>
      <c r="I826" s="6" t="n">
        <v>3</v>
      </c>
    </row>
    <row r="827">
      <c r="A827" s="9" t="n">
        <v>2022</v>
      </c>
      <c r="B827" s="9" t="inlineStr">
        <is>
          <t>fluorita</t>
        </is>
      </c>
      <c r="C827" s="9" t="inlineStr">
        <is>
          <t>E2 Fluoroquimica</t>
        </is>
      </c>
      <c r="D827" s="9" t="n">
        <v>3964092</v>
      </c>
      <c r="E827" s="9" t="inlineStr">
        <is>
          <t>Estados Unidos</t>
        </is>
      </c>
      <c r="F827" s="9" t="n">
        <v>1</v>
      </c>
      <c r="G827" s="9" t="n">
        <v>0</v>
      </c>
      <c r="H827" s="9" t="n">
        <v>1</v>
      </c>
      <c r="I827" s="9" t="n">
        <v>1</v>
      </c>
    </row>
    <row r="828">
      <c r="A828" s="6" t="n">
        <v>2022</v>
      </c>
      <c r="B828" s="6" t="inlineStr">
        <is>
          <t>grafito</t>
        </is>
      </c>
      <c r="C828" s="6" t="inlineStr">
        <is>
          <t>E1 Grafito natural</t>
        </is>
      </c>
      <c r="D828" s="6" t="n">
        <v>3434484</v>
      </c>
      <c r="E828" s="6" t="inlineStr">
        <is>
          <t>Estados Unidos</t>
        </is>
      </c>
      <c r="F828" s="6" t="n">
        <v>1</v>
      </c>
      <c r="G828" s="6" t="n">
        <v>0</v>
      </c>
      <c r="H828" s="6" t="n">
        <v>1</v>
      </c>
      <c r="I828" s="6" t="n">
        <v>1</v>
      </c>
    </row>
    <row r="829">
      <c r="A829" s="9" t="n">
        <v>2022</v>
      </c>
      <c r="B829" s="9" t="inlineStr">
        <is>
          <t>grafito</t>
        </is>
      </c>
      <c r="C829" s="9" t="inlineStr">
        <is>
          <t>E2 Grafito artificial/prep.</t>
        </is>
      </c>
      <c r="D829" s="9" t="n">
        <v>75419392</v>
      </c>
      <c r="E829" s="9" t="inlineStr">
        <is>
          <t>Estados Unidos</t>
        </is>
      </c>
      <c r="F829" s="9" t="n">
        <v>1</v>
      </c>
      <c r="G829" s="9" t="n">
        <v>0</v>
      </c>
      <c r="H829" s="9" t="n">
        <v>1</v>
      </c>
      <c r="I829" s="9" t="n">
        <v>1</v>
      </c>
    </row>
    <row r="830">
      <c r="A830" s="6" t="n">
        <v>2022</v>
      </c>
      <c r="B830" s="6" t="inlineStr">
        <is>
          <t>grafito</t>
        </is>
      </c>
      <c r="C830" s="6" t="inlineStr">
        <is>
          <t>E3 Electrodos/articulos de carbono</t>
        </is>
      </c>
      <c r="D830" s="6" t="n">
        <v>101454322</v>
      </c>
      <c r="E830" s="6" t="inlineStr">
        <is>
          <t>Estados Unidos</t>
        </is>
      </c>
      <c r="F830" s="6" t="n">
        <v>0.9627</v>
      </c>
      <c r="G830" s="6" t="n">
        <v>0</v>
      </c>
      <c r="H830" s="6" t="n">
        <v>0.9627</v>
      </c>
      <c r="I830" s="6" t="n">
        <v>15</v>
      </c>
    </row>
    <row r="831">
      <c r="A831" s="9" t="n">
        <v>2022</v>
      </c>
      <c r="B831" s="9" t="inlineStr">
        <is>
          <t>manganeso</t>
        </is>
      </c>
      <c r="C831" s="9" t="inlineStr">
        <is>
          <t>E2 Ferroaleaciones</t>
        </is>
      </c>
      <c r="D831" s="9" t="n">
        <v>11736794</v>
      </c>
      <c r="E831" s="9" t="inlineStr">
        <is>
          <t>Estados Unidos</t>
        </is>
      </c>
      <c r="F831" s="9" t="n">
        <v>1</v>
      </c>
      <c r="G831" s="9" t="n">
        <v>0</v>
      </c>
      <c r="H831" s="9" t="n">
        <v>1</v>
      </c>
      <c r="I831" s="9" t="n">
        <v>1</v>
      </c>
    </row>
    <row r="832">
      <c r="A832" s="6" t="n">
        <v>2022</v>
      </c>
      <c r="B832" s="6" t="inlineStr">
        <is>
          <t>oro</t>
        </is>
      </c>
      <c r="C832" s="6" t="inlineStr">
        <is>
          <t>E1 Mena/concentrado</t>
        </is>
      </c>
      <c r="D832" s="6" t="n">
        <v>18427502</v>
      </c>
      <c r="E832" s="6" t="inlineStr">
        <is>
          <t>Corea del Sur</t>
        </is>
      </c>
      <c r="F832" s="6" t="n">
        <v>1</v>
      </c>
      <c r="G832" s="6" t="n">
        <v>0</v>
      </c>
      <c r="H832" s="6" t="n">
        <v>0</v>
      </c>
      <c r="I832" s="6" t="n">
        <v>1</v>
      </c>
    </row>
    <row r="833">
      <c r="A833" s="9" t="n">
        <v>2022</v>
      </c>
      <c r="B833" s="9" t="inlineStr">
        <is>
          <t>oro</t>
        </is>
      </c>
      <c r="C833" s="9" t="inlineStr">
        <is>
          <t>E2 Bruto/semilabrado</t>
        </is>
      </c>
      <c r="D833" s="9" t="n">
        <v>3098803603</v>
      </c>
      <c r="E833" s="9" t="inlineStr">
        <is>
          <t>Estados Unidos</t>
        </is>
      </c>
      <c r="F833" s="9" t="n">
        <v>0.7584</v>
      </c>
      <c r="G833" s="9" t="n">
        <v>0</v>
      </c>
      <c r="H833" s="9" t="n">
        <v>0.7584</v>
      </c>
      <c r="I833" s="9" t="n">
        <v>2</v>
      </c>
    </row>
    <row r="834">
      <c r="A834" s="6" t="n">
        <v>2022</v>
      </c>
      <c r="B834" s="6" t="inlineStr">
        <is>
          <t>oro-plata (manufacturas)</t>
        </is>
      </c>
      <c r="C834" s="6" t="inlineStr">
        <is>
          <t>E4 Joyeria/orfebreria</t>
        </is>
      </c>
      <c r="D834" s="6" t="n">
        <v>447652908</v>
      </c>
      <c r="E834" s="6" t="inlineStr">
        <is>
          <t>Estados Unidos</t>
        </is>
      </c>
      <c r="F834" s="6" t="n">
        <v>0.9067</v>
      </c>
      <c r="G834" s="6" t="n">
        <v>0</v>
      </c>
      <c r="H834" s="6" t="n">
        <v>0.9067</v>
      </c>
      <c r="I834" s="6" t="n">
        <v>19</v>
      </c>
    </row>
    <row r="835">
      <c r="A835" s="9" t="n">
        <v>2022</v>
      </c>
      <c r="B835" s="9" t="inlineStr">
        <is>
          <t>plata</t>
        </is>
      </c>
      <c r="C835" s="9" t="inlineStr">
        <is>
          <t>E1 Mena/concentrado</t>
        </is>
      </c>
      <c r="D835" s="9" t="n">
        <v>88920958</v>
      </c>
      <c r="E835" s="9" t="inlineStr">
        <is>
          <t>Corea del Sur</t>
        </is>
      </c>
      <c r="F835" s="9" t="n">
        <v>0.4755</v>
      </c>
      <c r="G835" s="9" t="n">
        <v>0</v>
      </c>
      <c r="H835" s="9" t="n">
        <v>0.0924</v>
      </c>
      <c r="I835" s="9" t="n">
        <v>4</v>
      </c>
    </row>
    <row r="836">
      <c r="A836" s="6" t="n">
        <v>2022</v>
      </c>
      <c r="B836" s="6" t="inlineStr">
        <is>
          <t>plata</t>
        </is>
      </c>
      <c r="C836" s="6" t="inlineStr">
        <is>
          <t>E2 Bruto/semilabrado</t>
        </is>
      </c>
      <c r="D836" s="6" t="n">
        <v>2282303905</v>
      </c>
      <c r="E836" s="6" t="inlineStr">
        <is>
          <t>Estados Unidos</t>
        </is>
      </c>
      <c r="F836" s="6" t="n">
        <v>0.9611</v>
      </c>
      <c r="G836" s="6" t="n">
        <v>0</v>
      </c>
      <c r="H836" s="6" t="n">
        <v>0.9611</v>
      </c>
      <c r="I836" s="6" t="n">
        <v>2</v>
      </c>
    </row>
    <row r="837">
      <c r="A837" s="9" t="n">
        <v>2022</v>
      </c>
      <c r="B837" s="9" t="inlineStr">
        <is>
          <t>plomo</t>
        </is>
      </c>
      <c r="C837" s="9" t="inlineStr">
        <is>
          <t>E1 Mena/concentrado</t>
        </is>
      </c>
      <c r="D837" s="9" t="n">
        <v>746165144</v>
      </c>
      <c r="E837" s="9" t="inlineStr">
        <is>
          <t>China</t>
        </is>
      </c>
      <c r="F837" s="9" t="n">
        <v>1</v>
      </c>
      <c r="G837" s="9" t="n">
        <v>1</v>
      </c>
      <c r="H837" s="9" t="n">
        <v>0</v>
      </c>
      <c r="I837" s="9" t="n">
        <v>1</v>
      </c>
    </row>
    <row r="838">
      <c r="A838" s="6" t="n">
        <v>2022</v>
      </c>
      <c r="B838" s="6" t="inlineStr">
        <is>
          <t>plomo</t>
        </is>
      </c>
      <c r="C838" s="6" t="inlineStr">
        <is>
          <t>E2 Metal en bruto/refinado</t>
        </is>
      </c>
      <c r="D838" s="6" t="n">
        <v>197623384</v>
      </c>
      <c r="E838" s="6" t="inlineStr">
        <is>
          <t>Estados Unidos</t>
        </is>
      </c>
      <c r="F838" s="6" t="n">
        <v>0.8628</v>
      </c>
      <c r="G838" s="6" t="n">
        <v>0</v>
      </c>
      <c r="H838" s="6" t="n">
        <v>0.8628</v>
      </c>
      <c r="I838" s="6" t="n">
        <v>2</v>
      </c>
    </row>
    <row r="839">
      <c r="A839" s="9" t="n">
        <v>2022</v>
      </c>
      <c r="B839" s="9" t="inlineStr">
        <is>
          <t>plomo</t>
        </is>
      </c>
      <c r="C839" s="9" t="inlineStr">
        <is>
          <t>E3 Semimanufacturas</t>
        </is>
      </c>
      <c r="D839" s="9" t="n">
        <v>79999</v>
      </c>
      <c r="E839" s="9" t="inlineStr">
        <is>
          <t>Estados Unidos</t>
        </is>
      </c>
      <c r="F839" s="9" t="n">
        <v>1</v>
      </c>
      <c r="G839" s="9" t="n">
        <v>0</v>
      </c>
      <c r="H839" s="9" t="n">
        <v>1</v>
      </c>
      <c r="I839" s="9" t="n">
        <v>1</v>
      </c>
    </row>
    <row r="840">
      <c r="A840" s="6" t="n">
        <v>2022</v>
      </c>
      <c r="B840" s="6" t="inlineStr">
        <is>
          <t>plomo</t>
        </is>
      </c>
      <c r="C840" s="6" t="inlineStr">
        <is>
          <t>E4 Manufacturas</t>
        </is>
      </c>
      <c r="D840" s="6" t="n">
        <v>2254570</v>
      </c>
      <c r="E840" s="6" t="inlineStr">
        <is>
          <t>Estados Unidos</t>
        </is>
      </c>
      <c r="F840" s="6" t="n">
        <v>0.9636</v>
      </c>
      <c r="G840" s="6" t="n">
        <v>0</v>
      </c>
      <c r="H840" s="6" t="n">
        <v>0.9636</v>
      </c>
      <c r="I840" s="6" t="n">
        <v>2</v>
      </c>
    </row>
    <row r="841">
      <c r="A841" s="9" t="n">
        <v>2022</v>
      </c>
      <c r="B841" s="9" t="inlineStr">
        <is>
          <t>silice</t>
        </is>
      </c>
      <c r="C841" s="9" t="inlineStr">
        <is>
          <t>E1 Arena silica/cuarzo</t>
        </is>
      </c>
      <c r="D841" s="9" t="n">
        <v>3108781</v>
      </c>
      <c r="E841" s="9" t="inlineStr">
        <is>
          <t>Estados Unidos</t>
        </is>
      </c>
      <c r="F841" s="9" t="n">
        <v>0.9692</v>
      </c>
      <c r="G841" s="9" t="n">
        <v>0</v>
      </c>
      <c r="H841" s="9" t="n">
        <v>0.9692</v>
      </c>
      <c r="I841" s="9" t="n">
        <v>4</v>
      </c>
    </row>
    <row r="842">
      <c r="A842" s="6" t="n">
        <v>2022</v>
      </c>
      <c r="B842" s="6" t="inlineStr">
        <is>
          <t>silice</t>
        </is>
      </c>
      <c r="C842" s="6" t="inlineStr">
        <is>
          <t>E2 Silicio/ferrosilicio/SiO2</t>
        </is>
      </c>
      <c r="D842" s="6" t="n">
        <v>10001150</v>
      </c>
      <c r="E842" s="6" t="inlineStr">
        <is>
          <t>Estados Unidos</t>
        </is>
      </c>
      <c r="F842" s="6" t="n">
        <v>0.9342</v>
      </c>
      <c r="G842" s="6" t="n">
        <v>0</v>
      </c>
      <c r="H842" s="6" t="n">
        <v>0.9342</v>
      </c>
      <c r="I842" s="6" t="n">
        <v>5</v>
      </c>
    </row>
    <row r="843">
      <c r="A843" s="9" t="n">
        <v>2022</v>
      </c>
      <c r="B843" s="9" t="inlineStr">
        <is>
          <t>zinc</t>
        </is>
      </c>
      <c r="C843" s="9" t="inlineStr">
        <is>
          <t>E1 Mena/concentrado</t>
        </is>
      </c>
      <c r="D843" s="9" t="n">
        <v>399116625</v>
      </c>
      <c r="E843" s="9" t="inlineStr">
        <is>
          <t>Corea del Sur</t>
        </is>
      </c>
      <c r="F843" s="9" t="n">
        <v>0.9417</v>
      </c>
      <c r="G843" s="9" t="n">
        <v>0.0583</v>
      </c>
      <c r="H843" s="9" t="n">
        <v>0</v>
      </c>
      <c r="I843" s="9" t="n">
        <v>2</v>
      </c>
    </row>
    <row r="844">
      <c r="A844" s="6" t="n">
        <v>2022</v>
      </c>
      <c r="B844" s="6" t="inlineStr">
        <is>
          <t>zinc</t>
        </is>
      </c>
      <c r="C844" s="6" t="inlineStr">
        <is>
          <t>E2 Metal en bruto/refinado</t>
        </is>
      </c>
      <c r="D844" s="6" t="n">
        <v>356460312</v>
      </c>
      <c r="E844" s="6" t="inlineStr">
        <is>
          <t>Estados Unidos</t>
        </is>
      </c>
      <c r="F844" s="6" t="n">
        <v>0.9861</v>
      </c>
      <c r="G844" s="6" t="n">
        <v>0</v>
      </c>
      <c r="H844" s="6" t="n">
        <v>0.9861</v>
      </c>
      <c r="I844" s="6" t="n">
        <v>2</v>
      </c>
    </row>
    <row r="845">
      <c r="A845" s="9" t="n">
        <v>2022</v>
      </c>
      <c r="B845" s="9" t="inlineStr">
        <is>
          <t>zinc</t>
        </is>
      </c>
      <c r="C845" s="9" t="inlineStr">
        <is>
          <t>E3 Semimanufacturas</t>
        </is>
      </c>
      <c r="D845" s="9" t="n">
        <v>444762</v>
      </c>
      <c r="E845" s="9" t="inlineStr">
        <is>
          <t>Colombia</t>
        </is>
      </c>
      <c r="F845" s="9" t="n">
        <v>0.6461</v>
      </c>
      <c r="G845" s="9" t="n">
        <v>0</v>
      </c>
      <c r="H845" s="9" t="n">
        <v>0.3539</v>
      </c>
      <c r="I845" s="9" t="n">
        <v>2</v>
      </c>
    </row>
    <row r="846">
      <c r="A846" s="6" t="n">
        <v>2022</v>
      </c>
      <c r="B846" s="6" t="inlineStr">
        <is>
          <t>zinc</t>
        </is>
      </c>
      <c r="C846" s="6" t="inlineStr">
        <is>
          <t>E4 Manufacturas</t>
        </is>
      </c>
      <c r="D846" s="6" t="n">
        <v>4577240</v>
      </c>
      <c r="E846" s="6" t="inlineStr">
        <is>
          <t>Estados Unidos</t>
        </is>
      </c>
      <c r="F846" s="6" t="n">
        <v>0.7736</v>
      </c>
      <c r="G846" s="6" t="n">
        <v>0.0004</v>
      </c>
      <c r="H846" s="6" t="n">
        <v>0.7736</v>
      </c>
      <c r="I846" s="6" t="n">
        <v>14</v>
      </c>
    </row>
    <row r="847">
      <c r="A847" s="9" t="n">
        <v>2023</v>
      </c>
      <c r="B847" s="9" t="inlineStr">
        <is>
          <t>barita</t>
        </is>
      </c>
      <c r="C847" s="9" t="inlineStr">
        <is>
          <t>E1 Crudo/molido</t>
        </is>
      </c>
      <c r="D847" s="9" t="n">
        <v>26073174</v>
      </c>
      <c r="E847" s="9" t="inlineStr">
        <is>
          <t>Estados Unidos</t>
        </is>
      </c>
      <c r="F847" s="9" t="n">
        <v>1</v>
      </c>
      <c r="G847" s="9" t="n">
        <v>0</v>
      </c>
      <c r="H847" s="9" t="n">
        <v>1</v>
      </c>
      <c r="I847" s="9" t="n">
        <v>1</v>
      </c>
    </row>
    <row r="848">
      <c r="A848" s="6" t="n">
        <v>2023</v>
      </c>
      <c r="B848" s="6" t="inlineStr">
        <is>
          <t>cobre</t>
        </is>
      </c>
      <c r="C848" s="6" t="inlineStr">
        <is>
          <t>E1 Mena/concentrado</t>
        </is>
      </c>
      <c r="D848" s="6" t="n">
        <v>3715931601</v>
      </c>
      <c r="E848" s="6" t="inlineStr">
        <is>
          <t>China</t>
        </is>
      </c>
      <c r="F848" s="6" t="n">
        <v>0.9499</v>
      </c>
      <c r="G848" s="6" t="n">
        <v>0.9499</v>
      </c>
      <c r="H848" s="6" t="n">
        <v>0</v>
      </c>
      <c r="I848" s="6" t="n">
        <v>4</v>
      </c>
    </row>
    <row r="849">
      <c r="A849" s="9" t="n">
        <v>2023</v>
      </c>
      <c r="B849" s="9" t="inlineStr">
        <is>
          <t>cobre</t>
        </is>
      </c>
      <c r="C849" s="9" t="inlineStr">
        <is>
          <t>E2 Metal en bruto/refinado</t>
        </is>
      </c>
      <c r="D849" s="9" t="n">
        <v>284447648</v>
      </c>
      <c r="E849" s="9" t="inlineStr">
        <is>
          <t>China</t>
        </is>
      </c>
      <c r="F849" s="9" t="n">
        <v>0.5272</v>
      </c>
      <c r="G849" s="9" t="n">
        <v>0.5272</v>
      </c>
      <c r="H849" s="9" t="n">
        <v>0.382</v>
      </c>
      <c r="I849" s="9" t="n">
        <v>3</v>
      </c>
    </row>
    <row r="850">
      <c r="A850" s="6" t="n">
        <v>2023</v>
      </c>
      <c r="B850" s="6" t="inlineStr">
        <is>
          <t>cobre</t>
        </is>
      </c>
      <c r="C850" s="6" t="inlineStr">
        <is>
          <t>E3 Semimanufacturas</t>
        </is>
      </c>
      <c r="D850" s="6" t="n">
        <v>559389796</v>
      </c>
      <c r="E850" s="6" t="inlineStr">
        <is>
          <t>Estados Unidos</t>
        </is>
      </c>
      <c r="F850" s="6" t="n">
        <v>0.9032</v>
      </c>
      <c r="G850" s="6" t="n">
        <v>0</v>
      </c>
      <c r="H850" s="6" t="n">
        <v>0.9032</v>
      </c>
      <c r="I850" s="6" t="n">
        <v>22</v>
      </c>
    </row>
    <row r="851">
      <c r="A851" s="9" t="n">
        <v>2023</v>
      </c>
      <c r="B851" s="9" t="inlineStr">
        <is>
          <t>cobre</t>
        </is>
      </c>
      <c r="C851" s="9" t="inlineStr">
        <is>
          <t>E4 Manufacturas</t>
        </is>
      </c>
      <c r="D851" s="9" t="n">
        <v>78136524</v>
      </c>
      <c r="E851" s="9" t="inlineStr">
        <is>
          <t>Estados Unidos</t>
        </is>
      </c>
      <c r="F851" s="9" t="n">
        <v>0.9288999999999999</v>
      </c>
      <c r="G851" s="9" t="n">
        <v>0.0058</v>
      </c>
      <c r="H851" s="9" t="n">
        <v>0.9288999999999999</v>
      </c>
      <c r="I851" s="9" t="n">
        <v>30</v>
      </c>
    </row>
    <row r="852">
      <c r="A852" s="6" t="n">
        <v>2023</v>
      </c>
      <c r="B852" s="6" t="inlineStr">
        <is>
          <t>fluorita</t>
        </is>
      </c>
      <c r="C852" s="6" t="inlineStr">
        <is>
          <t>E1 Espato fluor (crudo)</t>
        </is>
      </c>
      <c r="D852" s="6" t="n">
        <v>66031726</v>
      </c>
      <c r="E852" s="6" t="inlineStr">
        <is>
          <t>Estados Unidos</t>
        </is>
      </c>
      <c r="F852" s="6" t="n">
        <v>0.9883999999999999</v>
      </c>
      <c r="G852" s="6" t="n">
        <v>0</v>
      </c>
      <c r="H852" s="6" t="n">
        <v>0.9883999999999999</v>
      </c>
      <c r="I852" s="6" t="n">
        <v>2</v>
      </c>
    </row>
    <row r="853">
      <c r="A853" s="9" t="n">
        <v>2023</v>
      </c>
      <c r="B853" s="9" t="inlineStr">
        <is>
          <t>fluorita</t>
        </is>
      </c>
      <c r="C853" s="9" t="inlineStr">
        <is>
          <t>E2 Fluoroquimica</t>
        </is>
      </c>
      <c r="D853" s="9" t="n">
        <v>9449698</v>
      </c>
      <c r="E853" s="9" t="inlineStr">
        <is>
          <t>Estados Unidos</t>
        </is>
      </c>
      <c r="F853" s="9" t="n">
        <v>1</v>
      </c>
      <c r="G853" s="9" t="n">
        <v>0</v>
      </c>
      <c r="H853" s="9" t="n">
        <v>1</v>
      </c>
      <c r="I853" s="9" t="n">
        <v>1</v>
      </c>
    </row>
    <row r="854">
      <c r="A854" s="6" t="n">
        <v>2023</v>
      </c>
      <c r="B854" s="6" t="inlineStr">
        <is>
          <t>grafito</t>
        </is>
      </c>
      <c r="C854" s="6" t="inlineStr">
        <is>
          <t>E1 Grafito natural</t>
        </is>
      </c>
      <c r="D854" s="6" t="n">
        <v>1818565</v>
      </c>
      <c r="E854" s="6" t="inlineStr">
        <is>
          <t>Estados Unidos</t>
        </is>
      </c>
      <c r="F854" s="6" t="n">
        <v>1</v>
      </c>
      <c r="G854" s="6" t="n">
        <v>0</v>
      </c>
      <c r="H854" s="6" t="n">
        <v>1</v>
      </c>
      <c r="I854" s="6" t="n">
        <v>1</v>
      </c>
    </row>
    <row r="855">
      <c r="A855" s="9" t="n">
        <v>2023</v>
      </c>
      <c r="B855" s="9" t="inlineStr">
        <is>
          <t>grafito</t>
        </is>
      </c>
      <c r="C855" s="9" t="inlineStr">
        <is>
          <t>E2 Grafito artificial/prep.</t>
        </is>
      </c>
      <c r="D855" s="9" t="n">
        <v>60460113</v>
      </c>
      <c r="E855" s="9" t="inlineStr">
        <is>
          <t>Estados Unidos</t>
        </is>
      </c>
      <c r="F855" s="9" t="n">
        <v>0.9889</v>
      </c>
      <c r="G855" s="9" t="n">
        <v>0.002</v>
      </c>
      <c r="H855" s="9" t="n">
        <v>0.9889</v>
      </c>
      <c r="I855" s="9" t="n">
        <v>5</v>
      </c>
    </row>
    <row r="856">
      <c r="A856" s="6" t="n">
        <v>2023</v>
      </c>
      <c r="B856" s="6" t="inlineStr">
        <is>
          <t>grafito</t>
        </is>
      </c>
      <c r="C856" s="6" t="inlineStr">
        <is>
          <t>E3 Electrodos/articulos de carbono</t>
        </is>
      </c>
      <c r="D856" s="6" t="n">
        <v>84827072</v>
      </c>
      <c r="E856" s="6" t="inlineStr">
        <is>
          <t>Estados Unidos</t>
        </is>
      </c>
      <c r="F856" s="6" t="n">
        <v>0.9897</v>
      </c>
      <c r="G856" s="6" t="n">
        <v>0.0008</v>
      </c>
      <c r="H856" s="6" t="n">
        <v>0.9897</v>
      </c>
      <c r="I856" s="6" t="n">
        <v>13</v>
      </c>
    </row>
    <row r="857">
      <c r="A857" s="9" t="n">
        <v>2023</v>
      </c>
      <c r="B857" s="9" t="inlineStr">
        <is>
          <t>manganeso</t>
        </is>
      </c>
      <c r="C857" s="9" t="inlineStr">
        <is>
          <t>E2 Ferroaleaciones</t>
        </is>
      </c>
      <c r="D857" s="9" t="n">
        <v>6893582</v>
      </c>
      <c r="E857" s="9" t="inlineStr">
        <is>
          <t>Estados Unidos</t>
        </is>
      </c>
      <c r="F857" s="9" t="n">
        <v>1</v>
      </c>
      <c r="G857" s="9" t="n">
        <v>0</v>
      </c>
      <c r="H857" s="9" t="n">
        <v>1</v>
      </c>
      <c r="I857" s="9" t="n">
        <v>1</v>
      </c>
    </row>
    <row r="858">
      <c r="A858" s="6" t="n">
        <v>2023</v>
      </c>
      <c r="B858" s="6" t="inlineStr">
        <is>
          <t>oro</t>
        </is>
      </c>
      <c r="C858" s="6" t="inlineStr">
        <is>
          <t>E1 Mena/concentrado</t>
        </is>
      </c>
      <c r="D858" s="6" t="n">
        <v>28453111</v>
      </c>
      <c r="E858" s="6" t="inlineStr">
        <is>
          <t>Corea del Sur</t>
        </is>
      </c>
      <c r="F858" s="6" t="n">
        <v>0.7371</v>
      </c>
      <c r="G858" s="6" t="n">
        <v>0.2629</v>
      </c>
      <c r="H858" s="6" t="n">
        <v>0</v>
      </c>
      <c r="I858" s="6" t="n">
        <v>2</v>
      </c>
    </row>
    <row r="859">
      <c r="A859" s="9" t="n">
        <v>2023</v>
      </c>
      <c r="B859" s="9" t="inlineStr">
        <is>
          <t>oro</t>
        </is>
      </c>
      <c r="C859" s="9" t="inlineStr">
        <is>
          <t>E2 Bruto/semilabrado</t>
        </is>
      </c>
      <c r="D859" s="9" t="n">
        <v>3406294650</v>
      </c>
      <c r="E859" s="9" t="inlineStr">
        <is>
          <t>Estados Unidos</t>
        </is>
      </c>
      <c r="F859" s="9" t="n">
        <v>0.6257</v>
      </c>
      <c r="G859" s="9" t="n">
        <v>0</v>
      </c>
      <c r="H859" s="9" t="n">
        <v>0.6257</v>
      </c>
      <c r="I859" s="9" t="n">
        <v>5</v>
      </c>
    </row>
    <row r="860">
      <c r="A860" s="6" t="n">
        <v>2023</v>
      </c>
      <c r="B860" s="6" t="inlineStr">
        <is>
          <t>oro-plata (manufacturas)</t>
        </is>
      </c>
      <c r="C860" s="6" t="inlineStr">
        <is>
          <t>E4 Joyeria/orfebreria</t>
        </is>
      </c>
      <c r="D860" s="6" t="n">
        <v>405779406</v>
      </c>
      <c r="E860" s="6" t="inlineStr">
        <is>
          <t>Estados Unidos</t>
        </is>
      </c>
      <c r="F860" s="6" t="n">
        <v>0.91</v>
      </c>
      <c r="G860" s="6" t="n">
        <v>0</v>
      </c>
      <c r="H860" s="6" t="n">
        <v>0.91</v>
      </c>
      <c r="I860" s="6" t="n">
        <v>20</v>
      </c>
    </row>
    <row r="861">
      <c r="A861" s="9" t="n">
        <v>2023</v>
      </c>
      <c r="B861" s="9" t="inlineStr">
        <is>
          <t>plata</t>
        </is>
      </c>
      <c r="C861" s="9" t="inlineStr">
        <is>
          <t>E1 Mena/concentrado</t>
        </is>
      </c>
      <c r="D861" s="9" t="n">
        <v>117981985</v>
      </c>
      <c r="E861" s="9" t="inlineStr">
        <is>
          <t>Alemania</t>
        </is>
      </c>
      <c r="F861" s="9" t="n">
        <v>0.4721</v>
      </c>
      <c r="G861" s="9" t="n">
        <v>0.0256</v>
      </c>
      <c r="H861" s="9" t="n">
        <v>0</v>
      </c>
      <c r="I861" s="9" t="n">
        <v>4</v>
      </c>
    </row>
    <row r="862">
      <c r="A862" s="6" t="n">
        <v>2023</v>
      </c>
      <c r="B862" s="6" t="inlineStr">
        <is>
          <t>plata</t>
        </is>
      </c>
      <c r="C862" s="6" t="inlineStr">
        <is>
          <t>E2 Bruto/semilabrado</t>
        </is>
      </c>
      <c r="D862" s="6" t="n">
        <v>2681768790</v>
      </c>
      <c r="E862" s="6" t="inlineStr">
        <is>
          <t>Estados Unidos</t>
        </is>
      </c>
      <c r="F862" s="6" t="n">
        <v>0.9991</v>
      </c>
      <c r="G862" s="6" t="n">
        <v>0</v>
      </c>
      <c r="H862" s="6" t="n">
        <v>0.9991</v>
      </c>
      <c r="I862" s="6" t="n">
        <v>3</v>
      </c>
    </row>
    <row r="863">
      <c r="A863" s="9" t="n">
        <v>2023</v>
      </c>
      <c r="B863" s="9" t="inlineStr">
        <is>
          <t>plomo</t>
        </is>
      </c>
      <c r="C863" s="9" t="inlineStr">
        <is>
          <t>E1 Mena/concentrado</t>
        </is>
      </c>
      <c r="D863" s="9" t="n">
        <v>836925906</v>
      </c>
      <c r="E863" s="9" t="inlineStr">
        <is>
          <t>China</t>
        </is>
      </c>
      <c r="F863" s="9" t="n">
        <v>0.8762</v>
      </c>
      <c r="G863" s="9" t="n">
        <v>0.8762</v>
      </c>
      <c r="H863" s="9" t="n">
        <v>0</v>
      </c>
      <c r="I863" s="9" t="n">
        <v>2</v>
      </c>
    </row>
    <row r="864">
      <c r="A864" s="6" t="n">
        <v>2023</v>
      </c>
      <c r="B864" s="6" t="inlineStr">
        <is>
          <t>plomo</t>
        </is>
      </c>
      <c r="C864" s="6" t="inlineStr">
        <is>
          <t>E2 Metal en bruto/refinado</t>
        </is>
      </c>
      <c r="D864" s="6" t="n">
        <v>127316957</v>
      </c>
      <c r="E864" s="6" t="inlineStr">
        <is>
          <t>Estados Unidos</t>
        </is>
      </c>
      <c r="F864" s="6" t="n">
        <v>0.9457</v>
      </c>
      <c r="G864" s="6" t="n">
        <v>0</v>
      </c>
      <c r="H864" s="6" t="n">
        <v>0.9457</v>
      </c>
      <c r="I864" s="6" t="n">
        <v>3</v>
      </c>
    </row>
    <row r="865">
      <c r="A865" s="9" t="n">
        <v>2023</v>
      </c>
      <c r="B865" s="9" t="inlineStr">
        <is>
          <t>plomo</t>
        </is>
      </c>
      <c r="C865" s="9" t="inlineStr">
        <is>
          <t>E4 Manufacturas</t>
        </is>
      </c>
      <c r="D865" s="9" t="n">
        <v>1236869</v>
      </c>
      <c r="E865" s="9" t="inlineStr">
        <is>
          <t>Estados Unidos</t>
        </is>
      </c>
      <c r="F865" s="9" t="n">
        <v>0.9943</v>
      </c>
      <c r="G865" s="9" t="n">
        <v>0</v>
      </c>
      <c r="H865" s="9" t="n">
        <v>0.9943</v>
      </c>
      <c r="I865" s="9" t="n">
        <v>2</v>
      </c>
    </row>
    <row r="866">
      <c r="A866" s="6" t="n">
        <v>2023</v>
      </c>
      <c r="B866" s="6" t="inlineStr">
        <is>
          <t>silice</t>
        </is>
      </c>
      <c r="C866" s="6" t="inlineStr">
        <is>
          <t>E1 Arena silica/cuarzo</t>
        </is>
      </c>
      <c r="D866" s="6" t="n">
        <v>1897141</v>
      </c>
      <c r="E866" s="6" t="inlineStr">
        <is>
          <t>Estados Unidos</t>
        </is>
      </c>
      <c r="F866" s="6" t="n">
        <v>0.9847</v>
      </c>
      <c r="G866" s="6" t="n">
        <v>0</v>
      </c>
      <c r="H866" s="6" t="n">
        <v>0.9847</v>
      </c>
      <c r="I866" s="6" t="n">
        <v>2</v>
      </c>
    </row>
    <row r="867">
      <c r="A867" s="9" t="n">
        <v>2023</v>
      </c>
      <c r="B867" s="9" t="inlineStr">
        <is>
          <t>silice</t>
        </is>
      </c>
      <c r="C867" s="9" t="inlineStr">
        <is>
          <t>E2 Silicio/ferrosilicio/SiO2</t>
        </is>
      </c>
      <c r="D867" s="9" t="n">
        <v>6210015</v>
      </c>
      <c r="E867" s="9" t="inlineStr">
        <is>
          <t>Estados Unidos</t>
        </is>
      </c>
      <c r="F867" s="9" t="n">
        <v>0.9619</v>
      </c>
      <c r="G867" s="9" t="n">
        <v>0</v>
      </c>
      <c r="H867" s="9" t="n">
        <v>0.9619</v>
      </c>
      <c r="I867" s="9" t="n">
        <v>2</v>
      </c>
    </row>
    <row r="868">
      <c r="A868" s="6" t="n">
        <v>2023</v>
      </c>
      <c r="B868" s="6" t="inlineStr">
        <is>
          <t>zinc</t>
        </is>
      </c>
      <c r="C868" s="6" t="inlineStr">
        <is>
          <t>E1 Mena/concentrado</t>
        </is>
      </c>
      <c r="D868" s="6" t="n">
        <v>245944426</v>
      </c>
      <c r="E868" s="6" t="inlineStr">
        <is>
          <t>Corea del Sur</t>
        </is>
      </c>
      <c r="F868" s="6" t="n">
        <v>0.8943</v>
      </c>
      <c r="G868" s="6" t="n">
        <v>0</v>
      </c>
      <c r="H868" s="6" t="n">
        <v>0</v>
      </c>
      <c r="I868" s="6" t="n">
        <v>2</v>
      </c>
    </row>
    <row r="869">
      <c r="A869" s="9" t="n">
        <v>2023</v>
      </c>
      <c r="B869" s="9" t="inlineStr">
        <is>
          <t>zinc</t>
        </is>
      </c>
      <c r="C869" s="9" t="inlineStr">
        <is>
          <t>E2 Metal en bruto/refinado</t>
        </is>
      </c>
      <c r="D869" s="9" t="n">
        <v>337639196</v>
      </c>
      <c r="E869" s="9" t="inlineStr">
        <is>
          <t>Estados Unidos</t>
        </is>
      </c>
      <c r="F869" s="9" t="n">
        <v>0.8065</v>
      </c>
      <c r="G869" s="9" t="n">
        <v>0</v>
      </c>
      <c r="H869" s="9" t="n">
        <v>0.8065</v>
      </c>
      <c r="I869" s="9" t="n">
        <v>3</v>
      </c>
    </row>
    <row r="870">
      <c r="A870" s="6" t="n">
        <v>2023</v>
      </c>
      <c r="B870" s="6" t="inlineStr">
        <is>
          <t>zinc</t>
        </is>
      </c>
      <c r="C870" s="6" t="inlineStr">
        <is>
          <t>E3 Semimanufacturas</t>
        </is>
      </c>
      <c r="D870" s="6" t="n">
        <v>571407</v>
      </c>
      <c r="E870" s="6" t="inlineStr">
        <is>
          <t>Estados Unidos</t>
        </is>
      </c>
      <c r="F870" s="6" t="n">
        <v>1</v>
      </c>
      <c r="G870" s="6" t="n">
        <v>0</v>
      </c>
      <c r="H870" s="6" t="n">
        <v>1</v>
      </c>
      <c r="I870" s="6" t="n">
        <v>1</v>
      </c>
    </row>
    <row r="871">
      <c r="A871" s="9" t="n">
        <v>2023</v>
      </c>
      <c r="B871" s="9" t="inlineStr">
        <is>
          <t>zinc</t>
        </is>
      </c>
      <c r="C871" s="9" t="inlineStr">
        <is>
          <t>E4 Manufacturas</t>
        </is>
      </c>
      <c r="D871" s="9" t="n">
        <v>5267558</v>
      </c>
      <c r="E871" s="9" t="inlineStr">
        <is>
          <t>Estados Unidos</t>
        </is>
      </c>
      <c r="F871" s="9" t="n">
        <v>0.8148</v>
      </c>
      <c r="G871" s="9" t="n">
        <v>0.0009</v>
      </c>
      <c r="H871" s="9" t="n">
        <v>0.8148</v>
      </c>
      <c r="I871" s="9" t="n">
        <v>12</v>
      </c>
    </row>
    <row r="872">
      <c r="A872" s="6" t="n">
        <v>2024</v>
      </c>
      <c r="B872" s="6" t="inlineStr">
        <is>
          <t>barita</t>
        </is>
      </c>
      <c r="C872" s="6" t="inlineStr">
        <is>
          <t>E1 Crudo/molido</t>
        </is>
      </c>
      <c r="D872" s="6" t="n">
        <v>13093040</v>
      </c>
      <c r="E872" s="6" t="inlineStr">
        <is>
          <t>Estados Unidos</t>
        </is>
      </c>
      <c r="F872" s="6" t="n">
        <v>1</v>
      </c>
      <c r="G872" s="6" t="n">
        <v>0</v>
      </c>
      <c r="H872" s="6" t="n">
        <v>1</v>
      </c>
      <c r="I872" s="6" t="n">
        <v>1</v>
      </c>
    </row>
    <row r="873">
      <c r="A873" s="9" t="n">
        <v>2024</v>
      </c>
      <c r="B873" s="9" t="inlineStr">
        <is>
          <t>cobre</t>
        </is>
      </c>
      <c r="C873" s="9" t="inlineStr">
        <is>
          <t>E1 Mena/concentrado</t>
        </is>
      </c>
      <c r="D873" s="9" t="n">
        <v>3718889902</v>
      </c>
      <c r="E873" s="9" t="inlineStr">
        <is>
          <t>China</t>
        </is>
      </c>
      <c r="F873" s="9" t="n">
        <v>1</v>
      </c>
      <c r="G873" s="9" t="n">
        <v>1</v>
      </c>
      <c r="H873" s="9" t="n">
        <v>0</v>
      </c>
      <c r="I873" s="9" t="n">
        <v>1</v>
      </c>
    </row>
    <row r="874">
      <c r="A874" s="6" t="n">
        <v>2024</v>
      </c>
      <c r="B874" s="6" t="inlineStr">
        <is>
          <t>cobre</t>
        </is>
      </c>
      <c r="C874" s="6" t="inlineStr">
        <is>
          <t>E2 Metal en bruto/refinado</t>
        </is>
      </c>
      <c r="D874" s="6" t="n">
        <v>236153249</v>
      </c>
      <c r="E874" s="6" t="inlineStr">
        <is>
          <t>Estados Unidos</t>
        </is>
      </c>
      <c r="F874" s="6" t="n">
        <v>0.5834</v>
      </c>
      <c r="G874" s="6" t="n">
        <v>0.4166</v>
      </c>
      <c r="H874" s="6" t="n">
        <v>0.5834</v>
      </c>
      <c r="I874" s="6" t="n">
        <v>2</v>
      </c>
    </row>
    <row r="875">
      <c r="A875" s="9" t="n">
        <v>2024</v>
      </c>
      <c r="B875" s="9" t="inlineStr">
        <is>
          <t>cobre</t>
        </is>
      </c>
      <c r="C875" s="9" t="inlineStr">
        <is>
          <t>E3 Semimanufacturas</t>
        </is>
      </c>
      <c r="D875" s="9" t="n">
        <v>539308292</v>
      </c>
      <c r="E875" s="9" t="inlineStr">
        <is>
          <t>Estados Unidos</t>
        </is>
      </c>
      <c r="F875" s="9" t="n">
        <v>0.9283</v>
      </c>
      <c r="G875" s="9" t="n">
        <v>0.0002</v>
      </c>
      <c r="H875" s="9" t="n">
        <v>0.9283</v>
      </c>
      <c r="I875" s="9" t="n">
        <v>30</v>
      </c>
    </row>
    <row r="876">
      <c r="A876" s="6" t="n">
        <v>2024</v>
      </c>
      <c r="B876" s="6" t="inlineStr">
        <is>
          <t>cobre</t>
        </is>
      </c>
      <c r="C876" s="6" t="inlineStr">
        <is>
          <t>E4 Manufacturas</t>
        </is>
      </c>
      <c r="D876" s="6" t="n">
        <v>84012184</v>
      </c>
      <c r="E876" s="6" t="inlineStr">
        <is>
          <t>Estados Unidos</t>
        </is>
      </c>
      <c r="F876" s="6" t="n">
        <v>0.8857</v>
      </c>
      <c r="G876" s="6" t="n">
        <v>0.0201</v>
      </c>
      <c r="H876" s="6" t="n">
        <v>0.8857</v>
      </c>
      <c r="I876" s="6" t="n">
        <v>31</v>
      </c>
    </row>
    <row r="877">
      <c r="A877" s="9" t="n">
        <v>2024</v>
      </c>
      <c r="B877" s="9" t="inlineStr">
        <is>
          <t>fluorita</t>
        </is>
      </c>
      <c r="C877" s="9" t="inlineStr">
        <is>
          <t>E1 Espato fluor (crudo)</t>
        </is>
      </c>
      <c r="D877" s="9" t="n">
        <v>25305600</v>
      </c>
      <c r="E877" s="9" t="inlineStr">
        <is>
          <t>Estados Unidos</t>
        </is>
      </c>
      <c r="F877" s="9" t="n">
        <v>0.9409</v>
      </c>
      <c r="G877" s="9" t="n">
        <v>0</v>
      </c>
      <c r="H877" s="9" t="n">
        <v>0.9409</v>
      </c>
      <c r="I877" s="9" t="n">
        <v>4</v>
      </c>
    </row>
    <row r="878">
      <c r="A878" s="6" t="n">
        <v>2024</v>
      </c>
      <c r="B878" s="6" t="inlineStr">
        <is>
          <t>fluorita</t>
        </is>
      </c>
      <c r="C878" s="6" t="inlineStr">
        <is>
          <t>E2 Fluoroquimica</t>
        </is>
      </c>
      <c r="D878" s="6" t="n">
        <v>70879411</v>
      </c>
      <c r="E878" s="6" t="inlineStr">
        <is>
          <t>Estados Unidos</t>
        </is>
      </c>
      <c r="F878" s="6" t="n">
        <v>1</v>
      </c>
      <c r="G878" s="6" t="n">
        <v>0</v>
      </c>
      <c r="H878" s="6" t="n">
        <v>1</v>
      </c>
      <c r="I878" s="6" t="n">
        <v>1</v>
      </c>
    </row>
    <row r="879">
      <c r="A879" s="9" t="n">
        <v>2024</v>
      </c>
      <c r="B879" s="9" t="inlineStr">
        <is>
          <t>grafito</t>
        </is>
      </c>
      <c r="C879" s="9" t="inlineStr">
        <is>
          <t>E1 Grafito natural</t>
        </is>
      </c>
      <c r="D879" s="9" t="n">
        <v>3808739</v>
      </c>
      <c r="E879" s="9" t="inlineStr">
        <is>
          <t>Estados Unidos</t>
        </is>
      </c>
      <c r="F879" s="9" t="n">
        <v>1</v>
      </c>
      <c r="G879" s="9" t="n">
        <v>0</v>
      </c>
      <c r="H879" s="9" t="n">
        <v>1</v>
      </c>
      <c r="I879" s="9" t="n">
        <v>1</v>
      </c>
    </row>
    <row r="880">
      <c r="A880" s="6" t="n">
        <v>2024</v>
      </c>
      <c r="B880" s="6" t="inlineStr">
        <is>
          <t>grafito</t>
        </is>
      </c>
      <c r="C880" s="6" t="inlineStr">
        <is>
          <t>E2 Grafito artificial/prep.</t>
        </is>
      </c>
      <c r="D880" s="6" t="n">
        <v>34286349</v>
      </c>
      <c r="E880" s="6" t="inlineStr">
        <is>
          <t>Estados Unidos</t>
        </is>
      </c>
      <c r="F880" s="6" t="n">
        <v>0.9987</v>
      </c>
      <c r="G880" s="6" t="n">
        <v>0.0013</v>
      </c>
      <c r="H880" s="6" t="n">
        <v>0.9987</v>
      </c>
      <c r="I880" s="6" t="n">
        <v>2</v>
      </c>
    </row>
    <row r="881">
      <c r="A881" s="9" t="n">
        <v>2024</v>
      </c>
      <c r="B881" s="9" t="inlineStr">
        <is>
          <t>grafito</t>
        </is>
      </c>
      <c r="C881" s="9" t="inlineStr">
        <is>
          <t>E3 Electrodos/articulos de carbono</t>
        </is>
      </c>
      <c r="D881" s="9" t="n">
        <v>72509893</v>
      </c>
      <c r="E881" s="9" t="inlineStr">
        <is>
          <t>Estados Unidos</t>
        </is>
      </c>
      <c r="F881" s="9" t="n">
        <v>0.9651</v>
      </c>
      <c r="G881" s="9" t="n">
        <v>0</v>
      </c>
      <c r="H881" s="9" t="n">
        <v>0.9651</v>
      </c>
      <c r="I881" s="9" t="n">
        <v>12</v>
      </c>
    </row>
    <row r="882">
      <c r="A882" s="6" t="n">
        <v>2024</v>
      </c>
      <c r="B882" s="6" t="inlineStr">
        <is>
          <t>manganeso</t>
        </is>
      </c>
      <c r="C882" s="6" t="inlineStr">
        <is>
          <t>E2 Ferroaleaciones</t>
        </is>
      </c>
      <c r="D882" s="6" t="n">
        <v>14437488</v>
      </c>
      <c r="E882" s="6" t="inlineStr">
        <is>
          <t>Estados Unidos</t>
        </is>
      </c>
      <c r="F882" s="6" t="n">
        <v>1</v>
      </c>
      <c r="G882" s="6" t="n">
        <v>0</v>
      </c>
      <c r="H882" s="6" t="n">
        <v>1</v>
      </c>
      <c r="I882" s="6" t="n">
        <v>1</v>
      </c>
    </row>
    <row r="883">
      <c r="A883" s="9" t="n">
        <v>2024</v>
      </c>
      <c r="B883" s="9" t="inlineStr">
        <is>
          <t>oro</t>
        </is>
      </c>
      <c r="C883" s="9" t="inlineStr">
        <is>
          <t>E1 Mena/concentrado</t>
        </is>
      </c>
      <c r="D883" s="9" t="n">
        <v>37997871</v>
      </c>
      <c r="E883" s="9" t="inlineStr">
        <is>
          <t>China</t>
        </is>
      </c>
      <c r="F883" s="9" t="n">
        <v>0.9792999999999999</v>
      </c>
      <c r="G883" s="9" t="n">
        <v>0.9792999999999999</v>
      </c>
      <c r="H883" s="9" t="n">
        <v>0</v>
      </c>
      <c r="I883" s="9" t="n">
        <v>2</v>
      </c>
    </row>
    <row r="884">
      <c r="A884" s="6" t="n">
        <v>2024</v>
      </c>
      <c r="B884" s="6" t="inlineStr">
        <is>
          <t>oro</t>
        </is>
      </c>
      <c r="C884" s="6" t="inlineStr">
        <is>
          <t>E2 Bruto/semilabrado</t>
        </is>
      </c>
      <c r="D884" s="6" t="n">
        <v>3677031558</v>
      </c>
      <c r="E884" s="6" t="inlineStr">
        <is>
          <t>Estados Unidos</t>
        </is>
      </c>
      <c r="F884" s="6" t="n">
        <v>0.7209</v>
      </c>
      <c r="G884" s="6" t="n">
        <v>0</v>
      </c>
      <c r="H884" s="6" t="n">
        <v>0.7209</v>
      </c>
      <c r="I884" s="6" t="n">
        <v>5</v>
      </c>
    </row>
    <row r="885">
      <c r="A885" s="9" t="n">
        <v>2024</v>
      </c>
      <c r="B885" s="9" t="inlineStr">
        <is>
          <t>oro-plata (manufacturas)</t>
        </is>
      </c>
      <c r="C885" s="9" t="inlineStr">
        <is>
          <t>E4 Joyeria/orfebreria</t>
        </is>
      </c>
      <c r="D885" s="9" t="n">
        <v>399152449</v>
      </c>
      <c r="E885" s="9" t="inlineStr">
        <is>
          <t>Estados Unidos</t>
        </is>
      </c>
      <c r="F885" s="9" t="n">
        <v>0.9056</v>
      </c>
      <c r="G885" s="9" t="n">
        <v>0</v>
      </c>
      <c r="H885" s="9" t="n">
        <v>0.9056</v>
      </c>
      <c r="I885" s="9" t="n">
        <v>16</v>
      </c>
    </row>
    <row r="886">
      <c r="A886" s="6" t="n">
        <v>2024</v>
      </c>
      <c r="B886" s="6" t="inlineStr">
        <is>
          <t>plata</t>
        </is>
      </c>
      <c r="C886" s="6" t="inlineStr">
        <is>
          <t>E1 Mena/concentrado</t>
        </is>
      </c>
      <c r="D886" s="6" t="n">
        <v>185098813</v>
      </c>
      <c r="E886" s="6" t="inlineStr">
        <is>
          <t>Corea del Sur</t>
        </is>
      </c>
      <c r="F886" s="6" t="n">
        <v>0.5421</v>
      </c>
      <c r="G886" s="6" t="n">
        <v>0.2019</v>
      </c>
      <c r="H886" s="6" t="n">
        <v>0</v>
      </c>
      <c r="I886" s="6" t="n">
        <v>3</v>
      </c>
    </row>
    <row r="887">
      <c r="A887" s="9" t="n">
        <v>2024</v>
      </c>
      <c r="B887" s="9" t="inlineStr">
        <is>
          <t>plata</t>
        </is>
      </c>
      <c r="C887" s="9" t="inlineStr">
        <is>
          <t>E2 Bruto/semilabrado</t>
        </is>
      </c>
      <c r="D887" s="9" t="n">
        <v>2593776322</v>
      </c>
      <c r="E887" s="9" t="inlineStr">
        <is>
          <t>Estados Unidos</t>
        </is>
      </c>
      <c r="F887" s="9" t="n">
        <v>0.9984</v>
      </c>
      <c r="G887" s="9" t="n">
        <v>0</v>
      </c>
      <c r="H887" s="9" t="n">
        <v>0.9984</v>
      </c>
      <c r="I887" s="9" t="n">
        <v>2</v>
      </c>
    </row>
    <row r="888">
      <c r="A888" s="6" t="n">
        <v>2024</v>
      </c>
      <c r="B888" s="6" t="inlineStr">
        <is>
          <t>plomo</t>
        </is>
      </c>
      <c r="C888" s="6" t="inlineStr">
        <is>
          <t>E1 Mena/concentrado</t>
        </is>
      </c>
      <c r="D888" s="6" t="n">
        <v>1092152844</v>
      </c>
      <c r="E888" s="6" t="inlineStr">
        <is>
          <t>China</t>
        </is>
      </c>
      <c r="F888" s="6" t="n">
        <v>0.6293</v>
      </c>
      <c r="G888" s="6" t="n">
        <v>0.6293</v>
      </c>
      <c r="H888" s="6" t="n">
        <v>0</v>
      </c>
      <c r="I888" s="6" t="n">
        <v>2</v>
      </c>
    </row>
    <row r="889">
      <c r="A889" s="9" t="n">
        <v>2024</v>
      </c>
      <c r="B889" s="9" t="inlineStr">
        <is>
          <t>plomo</t>
        </is>
      </c>
      <c r="C889" s="9" t="inlineStr">
        <is>
          <t>E2 Metal en bruto/refinado</t>
        </is>
      </c>
      <c r="D889" s="9" t="n">
        <v>177590849</v>
      </c>
      <c r="E889" s="9" t="inlineStr">
        <is>
          <t>Estados Unidos</t>
        </is>
      </c>
      <c r="F889" s="9" t="n">
        <v>0.8421999999999999</v>
      </c>
      <c r="G889" s="9" t="n">
        <v>0</v>
      </c>
      <c r="H889" s="9" t="n">
        <v>0.8421999999999999</v>
      </c>
      <c r="I889" s="9" t="n">
        <v>3</v>
      </c>
    </row>
    <row r="890">
      <c r="A890" s="6" t="n">
        <v>2024</v>
      </c>
      <c r="B890" s="6" t="inlineStr">
        <is>
          <t>plomo</t>
        </is>
      </c>
      <c r="C890" s="6" t="inlineStr">
        <is>
          <t>E3 Semimanufacturas</t>
        </is>
      </c>
      <c r="D890" s="6" t="n">
        <v>61346</v>
      </c>
      <c r="E890" s="6" t="inlineStr">
        <is>
          <t>Estados Unidos</t>
        </is>
      </c>
      <c r="F890" s="6" t="n">
        <v>1</v>
      </c>
      <c r="G890" s="6" t="n">
        <v>0</v>
      </c>
      <c r="H890" s="6" t="n">
        <v>1</v>
      </c>
      <c r="I890" s="6" t="n">
        <v>1</v>
      </c>
    </row>
    <row r="891">
      <c r="A891" s="9" t="n">
        <v>2024</v>
      </c>
      <c r="B891" s="9" t="inlineStr">
        <is>
          <t>plomo</t>
        </is>
      </c>
      <c r="C891" s="9" t="inlineStr">
        <is>
          <t>E4 Manufacturas</t>
        </is>
      </c>
      <c r="D891" s="9" t="n">
        <v>36484</v>
      </c>
      <c r="E891" s="9" t="inlineStr">
        <is>
          <t>Guatemala</t>
        </is>
      </c>
      <c r="F891" s="9" t="n">
        <v>1</v>
      </c>
      <c r="G891" s="9" t="n">
        <v>0</v>
      </c>
      <c r="H891" s="9" t="n">
        <v>0</v>
      </c>
      <c r="I891" s="9" t="n">
        <v>1</v>
      </c>
    </row>
    <row r="892">
      <c r="A892" s="6" t="n">
        <v>2024</v>
      </c>
      <c r="B892" s="6" t="inlineStr">
        <is>
          <t>silice</t>
        </is>
      </c>
      <c r="C892" s="6" t="inlineStr">
        <is>
          <t>E1 Arena silica/cuarzo</t>
        </is>
      </c>
      <c r="D892" s="6" t="n">
        <v>1705312</v>
      </c>
      <c r="E892" s="6" t="inlineStr">
        <is>
          <t>Estados Unidos</t>
        </is>
      </c>
      <c r="F892" s="6" t="n">
        <v>1</v>
      </c>
      <c r="G892" s="6" t="n">
        <v>0</v>
      </c>
      <c r="H892" s="6" t="n">
        <v>1</v>
      </c>
      <c r="I892" s="6" t="n">
        <v>1</v>
      </c>
    </row>
    <row r="893">
      <c r="A893" s="9" t="n">
        <v>2024</v>
      </c>
      <c r="B893" s="9" t="inlineStr">
        <is>
          <t>silice</t>
        </is>
      </c>
      <c r="C893" s="9" t="inlineStr">
        <is>
          <t>E2 Silicio/ferrosilicio/SiO2</t>
        </is>
      </c>
      <c r="D893" s="9" t="n">
        <v>9261514</v>
      </c>
      <c r="E893" s="9" t="inlineStr">
        <is>
          <t>Estados Unidos</t>
        </is>
      </c>
      <c r="F893" s="9" t="n">
        <v>0.9466</v>
      </c>
      <c r="G893" s="9" t="n">
        <v>0</v>
      </c>
      <c r="H893" s="9" t="n">
        <v>0.9466</v>
      </c>
      <c r="I893" s="9" t="n">
        <v>3</v>
      </c>
    </row>
    <row r="894">
      <c r="A894" s="6" t="n">
        <v>2024</v>
      </c>
      <c r="B894" s="6" t="inlineStr">
        <is>
          <t>zinc</t>
        </is>
      </c>
      <c r="C894" s="6" t="inlineStr">
        <is>
          <t>E1 Mena/concentrado</t>
        </is>
      </c>
      <c r="D894" s="6" t="n">
        <v>577061971</v>
      </c>
      <c r="E894" s="6" t="inlineStr">
        <is>
          <t>Corea del Sur</t>
        </is>
      </c>
      <c r="F894" s="6" t="n">
        <v>0.6137</v>
      </c>
      <c r="G894" s="6" t="n">
        <v>0.3044</v>
      </c>
      <c r="H894" s="6" t="n">
        <v>0</v>
      </c>
      <c r="I894" s="6" t="n">
        <v>3</v>
      </c>
    </row>
    <row r="895">
      <c r="A895" s="9" t="n">
        <v>2024</v>
      </c>
      <c r="B895" s="9" t="inlineStr">
        <is>
          <t>zinc</t>
        </is>
      </c>
      <c r="C895" s="9" t="inlineStr">
        <is>
          <t>E2 Metal en bruto/refinado</t>
        </is>
      </c>
      <c r="D895" s="9" t="n">
        <v>142641025</v>
      </c>
      <c r="E895" s="9" t="inlineStr">
        <is>
          <t>Brasil</t>
        </is>
      </c>
      <c r="F895" s="9" t="n">
        <v>0.6496</v>
      </c>
      <c r="G895" s="9" t="n">
        <v>0</v>
      </c>
      <c r="H895" s="9" t="n">
        <v>0.3188</v>
      </c>
      <c r="I895" s="9" t="n">
        <v>4</v>
      </c>
    </row>
    <row r="896">
      <c r="A896" s="6" t="n">
        <v>2024</v>
      </c>
      <c r="B896" s="6" t="inlineStr">
        <is>
          <t>zinc</t>
        </is>
      </c>
      <c r="C896" s="6" t="inlineStr">
        <is>
          <t>E4 Manufacturas</t>
        </is>
      </c>
      <c r="D896" s="6" t="n">
        <v>973514</v>
      </c>
      <c r="E896" s="6" t="inlineStr">
        <is>
          <t>Guatemala</t>
        </is>
      </c>
      <c r="F896" s="6" t="n">
        <v>0.2211</v>
      </c>
      <c r="G896" s="6" t="n">
        <v>0.0152</v>
      </c>
      <c r="H896" s="6" t="n">
        <v>0</v>
      </c>
      <c r="I896" s="6" t="n">
        <v>17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8" customWidth="1" min="4" max="4"/>
    <col width="18" customWidth="1" min="5" max="5"/>
    <col width="12" customWidth="1" min="6" max="6"/>
  </cols>
  <sheetData>
    <row r="1" ht="24" customHeight="1">
      <c r="A1" s="1" t="inlineStr">
        <is>
          <t>Comercio - destinos por mineral x etapa (acumulado 2019-2024)</t>
        </is>
      </c>
    </row>
    <row r="2" ht="40" customHeight="1">
      <c r="A2" s="2" t="inlineStr">
        <is>
          <t>share_etapa = valor a ese destino / valor total de la etapa. Hallazgo: concentrado de cobre 94.7% a China.</t>
        </is>
      </c>
    </row>
    <row r="3">
      <c r="A3" s="3" t="inlineStr">
        <is>
          <t>mineral</t>
        </is>
      </c>
      <c r="B3" s="3" t="inlineStr">
        <is>
          <t>etapa</t>
        </is>
      </c>
      <c r="C3" s="3" t="inlineStr">
        <is>
          <t>pais_destino</t>
        </is>
      </c>
      <c r="D3" s="3" t="inlineStr">
        <is>
          <t>m49</t>
        </is>
      </c>
      <c r="E3" s="3" t="inlineStr">
        <is>
          <t>valor_usd_2019_2024</t>
        </is>
      </c>
      <c r="F3" s="3" t="inlineStr">
        <is>
          <t>share_etapa</t>
        </is>
      </c>
    </row>
    <row r="4">
      <c r="A4" s="6" t="inlineStr">
        <is>
          <t>barita</t>
        </is>
      </c>
      <c r="B4" s="6" t="inlineStr">
        <is>
          <t>E1 Crudo/molido</t>
        </is>
      </c>
      <c r="C4" s="6" t="inlineStr">
        <is>
          <t>Estados Unidos</t>
        </is>
      </c>
      <c r="D4" s="6" t="n">
        <v>842</v>
      </c>
      <c r="E4" s="6" t="n">
        <v>85527052</v>
      </c>
      <c r="F4" s="6" t="n">
        <v>1</v>
      </c>
    </row>
    <row r="5">
      <c r="A5" s="9" t="inlineStr">
        <is>
          <t>cobre</t>
        </is>
      </c>
      <c r="B5" s="9" t="inlineStr">
        <is>
          <t>E1 Mena/concentrado</t>
        </is>
      </c>
      <c r="C5" s="9" t="inlineStr">
        <is>
          <t>China</t>
        </is>
      </c>
      <c r="D5" s="9" t="n">
        <v>156</v>
      </c>
      <c r="E5" s="9" t="n">
        <v>20416199679</v>
      </c>
      <c r="F5" s="9" t="n">
        <v>0.9474</v>
      </c>
    </row>
    <row r="6">
      <c r="A6" s="6" t="inlineStr">
        <is>
          <t>cobre</t>
        </is>
      </c>
      <c r="B6" s="6" t="inlineStr">
        <is>
          <t>E1 Mena/concentrado</t>
        </is>
      </c>
      <c r="C6" s="6" t="inlineStr">
        <is>
          <t>Japon</t>
        </is>
      </c>
      <c r="D6" s="6" t="n">
        <v>392</v>
      </c>
      <c r="E6" s="6" t="n">
        <v>307267119</v>
      </c>
      <c r="F6" s="6" t="n">
        <v>0.0143</v>
      </c>
    </row>
    <row r="7">
      <c r="A7" s="9" t="inlineStr">
        <is>
          <t>cobre</t>
        </is>
      </c>
      <c r="B7" s="9" t="inlineStr">
        <is>
          <t>E1 Mena/concentrado</t>
        </is>
      </c>
      <c r="C7" s="9" t="inlineStr">
        <is>
          <t>Estados Unidos</t>
        </is>
      </c>
      <c r="D7" s="9" t="n">
        <v>842</v>
      </c>
      <c r="E7" s="9" t="n">
        <v>276483277</v>
      </c>
      <c r="F7" s="9" t="n">
        <v>0.0128</v>
      </c>
    </row>
    <row r="8">
      <c r="A8" s="6" t="inlineStr">
        <is>
          <t>cobre</t>
        </is>
      </c>
      <c r="B8" s="6" t="inlineStr">
        <is>
          <t>E1 Mena/concentrado</t>
        </is>
      </c>
      <c r="C8" s="6" t="inlineStr">
        <is>
          <t>Corea del Sur</t>
        </is>
      </c>
      <c r="D8" s="6" t="n">
        <v>410</v>
      </c>
      <c r="E8" s="6" t="n">
        <v>262700070</v>
      </c>
      <c r="F8" s="6" t="n">
        <v>0.0122</v>
      </c>
    </row>
    <row r="9">
      <c r="A9" s="9" t="inlineStr">
        <is>
          <t>cobre</t>
        </is>
      </c>
      <c r="B9" s="9" t="inlineStr">
        <is>
          <t>E1 Mena/concentrado</t>
        </is>
      </c>
      <c r="C9" s="9" t="inlineStr">
        <is>
          <t>Canada</t>
        </is>
      </c>
      <c r="D9" s="9" t="n">
        <v>124</v>
      </c>
      <c r="E9" s="9" t="n">
        <v>177848284</v>
      </c>
      <c r="F9" s="9" t="n">
        <v>0.0083</v>
      </c>
    </row>
    <row r="10">
      <c r="A10" s="6" t="inlineStr">
        <is>
          <t>cobre</t>
        </is>
      </c>
      <c r="B10" s="6" t="inlineStr">
        <is>
          <t>E1 Mena/concentrado</t>
        </is>
      </c>
      <c r="C10" s="6" t="inlineStr">
        <is>
          <t>socio_490</t>
        </is>
      </c>
      <c r="D10" s="6" t="n">
        <v>490</v>
      </c>
      <c r="E10" s="6" t="n">
        <v>87855057</v>
      </c>
      <c r="F10" s="6" t="n">
        <v>0.0041</v>
      </c>
    </row>
    <row r="11">
      <c r="A11" s="9" t="inlineStr">
        <is>
          <t>cobre</t>
        </is>
      </c>
      <c r="B11" s="9" t="inlineStr">
        <is>
          <t>E1 Mena/concentrado</t>
        </is>
      </c>
      <c r="C11" s="9" t="inlineStr">
        <is>
          <t>Peru</t>
        </is>
      </c>
      <c r="D11" s="9" t="n">
        <v>604</v>
      </c>
      <c r="E11" s="9" t="n">
        <v>19447858</v>
      </c>
      <c r="F11" s="9" t="n">
        <v>0.0009</v>
      </c>
    </row>
    <row r="12">
      <c r="A12" s="6" t="inlineStr">
        <is>
          <t>cobre</t>
        </is>
      </c>
      <c r="B12" s="6" t="inlineStr">
        <is>
          <t>E1 Mena/concentrado</t>
        </is>
      </c>
      <c r="C12" s="6" t="inlineStr">
        <is>
          <t>Singapur</t>
        </is>
      </c>
      <c r="D12" s="6" t="n">
        <v>702</v>
      </c>
      <c r="E12" s="6" t="n">
        <v>2005694</v>
      </c>
      <c r="F12" s="6" t="n">
        <v>0.0001</v>
      </c>
    </row>
    <row r="13">
      <c r="A13" s="9" t="inlineStr">
        <is>
          <t>cobre</t>
        </is>
      </c>
      <c r="B13" s="9" t="inlineStr">
        <is>
          <t>E1 Mena/concentrado</t>
        </is>
      </c>
      <c r="C13" s="9" t="inlineStr">
        <is>
          <t>Hong Kong</t>
        </is>
      </c>
      <c r="D13" s="9" t="n">
        <v>344</v>
      </c>
      <c r="E13" s="9" t="n">
        <v>386207</v>
      </c>
      <c r="F13" s="9" t="n">
        <v>0</v>
      </c>
    </row>
    <row r="14">
      <c r="A14" s="6" t="inlineStr">
        <is>
          <t>cobre</t>
        </is>
      </c>
      <c r="B14" s="6" t="inlineStr">
        <is>
          <t>E1 Mena/concentrado</t>
        </is>
      </c>
      <c r="C14" s="6" t="inlineStr">
        <is>
          <t>Vietnam</t>
        </is>
      </c>
      <c r="D14" s="6" t="n">
        <v>704</v>
      </c>
      <c r="E14" s="6" t="n">
        <v>328432</v>
      </c>
      <c r="F14" s="6" t="n">
        <v>0</v>
      </c>
    </row>
    <row r="15">
      <c r="A15" s="9" t="inlineStr">
        <is>
          <t>cobre</t>
        </is>
      </c>
      <c r="B15" s="9" t="inlineStr">
        <is>
          <t>E2 Metal en bruto/refinado</t>
        </is>
      </c>
      <c r="C15" s="9" t="inlineStr">
        <is>
          <t>Estados Unidos</t>
        </is>
      </c>
      <c r="D15" s="9" t="n">
        <v>842</v>
      </c>
      <c r="E15" s="9" t="n">
        <v>3295684924</v>
      </c>
      <c r="F15" s="9" t="n">
        <v>0.6914</v>
      </c>
    </row>
    <row r="16">
      <c r="A16" s="6" t="inlineStr">
        <is>
          <t>cobre</t>
        </is>
      </c>
      <c r="B16" s="6" t="inlineStr">
        <is>
          <t>E2 Metal en bruto/refinado</t>
        </is>
      </c>
      <c r="C16" s="6" t="inlineStr">
        <is>
          <t>China</t>
        </is>
      </c>
      <c r="D16" s="6" t="n">
        <v>156</v>
      </c>
      <c r="E16" s="6" t="n">
        <v>1239614636</v>
      </c>
      <c r="F16" s="6" t="n">
        <v>0.2601</v>
      </c>
    </row>
    <row r="17">
      <c r="A17" s="9" t="inlineStr">
        <is>
          <t>cobre</t>
        </is>
      </c>
      <c r="B17" s="9" t="inlineStr">
        <is>
          <t>E2 Metal en bruto/refinado</t>
        </is>
      </c>
      <c r="C17" s="9" t="inlineStr">
        <is>
          <t>Corea del Sur</t>
        </is>
      </c>
      <c r="D17" s="9" t="n">
        <v>410</v>
      </c>
      <c r="E17" s="9" t="n">
        <v>109773188</v>
      </c>
      <c r="F17" s="9" t="n">
        <v>0.023</v>
      </c>
    </row>
    <row r="18">
      <c r="A18" s="6" t="inlineStr">
        <is>
          <t>cobre</t>
        </is>
      </c>
      <c r="B18" s="6" t="inlineStr">
        <is>
          <t>E2 Metal en bruto/refinado</t>
        </is>
      </c>
      <c r="C18" s="6" t="inlineStr">
        <is>
          <t>Belgica</t>
        </is>
      </c>
      <c r="D18" s="6" t="n">
        <v>56</v>
      </c>
      <c r="E18" s="6" t="n">
        <v>77841468</v>
      </c>
      <c r="F18" s="6" t="n">
        <v>0.0163</v>
      </c>
    </row>
    <row r="19">
      <c r="A19" s="9" t="inlineStr">
        <is>
          <t>cobre</t>
        </is>
      </c>
      <c r="B19" s="9" t="inlineStr">
        <is>
          <t>E2 Metal en bruto/refinado</t>
        </is>
      </c>
      <c r="C19" s="9" t="inlineStr">
        <is>
          <t>Canada</t>
        </is>
      </c>
      <c r="D19" s="9" t="n">
        <v>124</v>
      </c>
      <c r="E19" s="9" t="n">
        <v>33391336</v>
      </c>
      <c r="F19" s="9" t="n">
        <v>0.007</v>
      </c>
    </row>
    <row r="20">
      <c r="A20" s="6" t="inlineStr">
        <is>
          <t>cobre</t>
        </is>
      </c>
      <c r="B20" s="6" t="inlineStr">
        <is>
          <t>E2 Metal en bruto/refinado</t>
        </is>
      </c>
      <c r="C20" s="6" t="inlineStr">
        <is>
          <t>Alemania</t>
        </is>
      </c>
      <c r="D20" s="6" t="n">
        <v>276</v>
      </c>
      <c r="E20" s="6" t="n">
        <v>9615556</v>
      </c>
      <c r="F20" s="6" t="n">
        <v>0.002</v>
      </c>
    </row>
    <row r="21">
      <c r="A21" s="9" t="inlineStr">
        <is>
          <t>cobre</t>
        </is>
      </c>
      <c r="B21" s="9" t="inlineStr">
        <is>
          <t>E2 Metal en bruto/refinado</t>
        </is>
      </c>
      <c r="C21" s="9" t="inlineStr">
        <is>
          <t>Hong Kong</t>
        </is>
      </c>
      <c r="D21" s="9" t="n">
        <v>344</v>
      </c>
      <c r="E21" s="9" t="n">
        <v>741721</v>
      </c>
      <c r="F21" s="9" t="n">
        <v>0.0002</v>
      </c>
    </row>
    <row r="22">
      <c r="A22" s="6" t="inlineStr">
        <is>
          <t>cobre</t>
        </is>
      </c>
      <c r="B22" s="6" t="inlineStr">
        <is>
          <t>E2 Metal en bruto/refinado</t>
        </is>
      </c>
      <c r="C22" s="6" t="inlineStr">
        <is>
          <t>Guatemala</t>
        </is>
      </c>
      <c r="D22" s="6" t="n">
        <v>320</v>
      </c>
      <c r="E22" s="6" t="n">
        <v>4274</v>
      </c>
      <c r="F22" s="6" t="n">
        <v>0</v>
      </c>
    </row>
    <row r="23">
      <c r="A23" s="9" t="inlineStr">
        <is>
          <t>cobre</t>
        </is>
      </c>
      <c r="B23" s="9" t="inlineStr">
        <is>
          <t>E3 Semimanufacturas</t>
        </is>
      </c>
      <c r="C23" s="9" t="inlineStr">
        <is>
          <t>Estados Unidos</t>
        </is>
      </c>
      <c r="D23" s="9" t="n">
        <v>842</v>
      </c>
      <c r="E23" s="9" t="n">
        <v>2968571950</v>
      </c>
      <c r="F23" s="9" t="n">
        <v>0.834</v>
      </c>
    </row>
    <row r="24">
      <c r="A24" s="6" t="inlineStr">
        <is>
          <t>cobre</t>
        </is>
      </c>
      <c r="B24" s="6" t="inlineStr">
        <is>
          <t>E3 Semimanufacturas</t>
        </is>
      </c>
      <c r="C24" s="6" t="inlineStr">
        <is>
          <t>Colombia</t>
        </is>
      </c>
      <c r="D24" s="6" t="n">
        <v>170</v>
      </c>
      <c r="E24" s="6" t="n">
        <v>178963118</v>
      </c>
      <c r="F24" s="6" t="n">
        <v>0.0503</v>
      </c>
    </row>
    <row r="25">
      <c r="A25" s="9" t="inlineStr">
        <is>
          <t>cobre</t>
        </is>
      </c>
      <c r="B25" s="9" t="inlineStr">
        <is>
          <t>E3 Semimanufacturas</t>
        </is>
      </c>
      <c r="C25" s="9" t="inlineStr">
        <is>
          <t>Chile</t>
        </is>
      </c>
      <c r="D25" s="9" t="n">
        <v>152</v>
      </c>
      <c r="E25" s="9" t="n">
        <v>104962855</v>
      </c>
      <c r="F25" s="9" t="n">
        <v>0.0295</v>
      </c>
    </row>
    <row r="26">
      <c r="A26" s="6" t="inlineStr">
        <is>
          <t>cobre</t>
        </is>
      </c>
      <c r="B26" s="6" t="inlineStr">
        <is>
          <t>E3 Semimanufacturas</t>
        </is>
      </c>
      <c r="C26" s="6" t="inlineStr">
        <is>
          <t>socio_558</t>
        </is>
      </c>
      <c r="D26" s="6" t="n">
        <v>558</v>
      </c>
      <c r="E26" s="6" t="n">
        <v>62525857</v>
      </c>
      <c r="F26" s="6" t="n">
        <v>0.0176</v>
      </c>
    </row>
    <row r="27">
      <c r="A27" s="9" t="inlineStr">
        <is>
          <t>cobre</t>
        </is>
      </c>
      <c r="B27" s="9" t="inlineStr">
        <is>
          <t>E3 Semimanufacturas</t>
        </is>
      </c>
      <c r="C27" s="9" t="inlineStr">
        <is>
          <t>Canada</t>
        </is>
      </c>
      <c r="D27" s="9" t="n">
        <v>124</v>
      </c>
      <c r="E27" s="9" t="n">
        <v>56337898</v>
      </c>
      <c r="F27" s="9" t="n">
        <v>0.0158</v>
      </c>
    </row>
    <row r="28">
      <c r="A28" s="6" t="inlineStr">
        <is>
          <t>cobre</t>
        </is>
      </c>
      <c r="B28" s="6" t="inlineStr">
        <is>
          <t>E3 Semimanufacturas</t>
        </is>
      </c>
      <c r="C28" s="6" t="inlineStr">
        <is>
          <t>Italia</t>
        </is>
      </c>
      <c r="D28" s="6" t="n">
        <v>380</v>
      </c>
      <c r="E28" s="6" t="n">
        <v>39296228</v>
      </c>
      <c r="F28" s="6" t="n">
        <v>0.011</v>
      </c>
    </row>
    <row r="29">
      <c r="A29" s="9" t="inlineStr">
        <is>
          <t>cobre</t>
        </is>
      </c>
      <c r="B29" s="9" t="inlineStr">
        <is>
          <t>E3 Semimanufacturas</t>
        </is>
      </c>
      <c r="C29" s="9" t="inlineStr">
        <is>
          <t>socio_218</t>
        </is>
      </c>
      <c r="D29" s="9" t="n">
        <v>218</v>
      </c>
      <c r="E29" s="9" t="n">
        <v>25807630</v>
      </c>
      <c r="F29" s="9" t="n">
        <v>0.0073</v>
      </c>
    </row>
    <row r="30">
      <c r="A30" s="6" t="inlineStr">
        <is>
          <t>cobre</t>
        </is>
      </c>
      <c r="B30" s="6" t="inlineStr">
        <is>
          <t>E3 Semimanufacturas</t>
        </is>
      </c>
      <c r="C30" s="6" t="inlineStr">
        <is>
          <t>Peru</t>
        </is>
      </c>
      <c r="D30" s="6" t="n">
        <v>604</v>
      </c>
      <c r="E30" s="6" t="n">
        <v>25618019</v>
      </c>
      <c r="F30" s="6" t="n">
        <v>0.0072</v>
      </c>
    </row>
    <row r="31">
      <c r="A31" s="9" t="inlineStr">
        <is>
          <t>cobre</t>
        </is>
      </c>
      <c r="B31" s="9" t="inlineStr">
        <is>
          <t>E3 Semimanufacturas</t>
        </is>
      </c>
      <c r="C31" s="9" t="inlineStr">
        <is>
          <t>Guatemala</t>
        </is>
      </c>
      <c r="D31" s="9" t="n">
        <v>320</v>
      </c>
      <c r="E31" s="9" t="n">
        <v>22041623</v>
      </c>
      <c r="F31" s="9" t="n">
        <v>0.0062</v>
      </c>
    </row>
    <row r="32">
      <c r="A32" s="6" t="inlineStr">
        <is>
          <t>cobre</t>
        </is>
      </c>
      <c r="B32" s="6" t="inlineStr">
        <is>
          <t>E3 Semimanufacturas</t>
        </is>
      </c>
      <c r="C32" s="6" t="inlineStr">
        <is>
          <t>socio_340</t>
        </is>
      </c>
      <c r="D32" s="6" t="n">
        <v>340</v>
      </c>
      <c r="E32" s="6" t="n">
        <v>21417001</v>
      </c>
      <c r="F32" s="6" t="n">
        <v>0.006</v>
      </c>
    </row>
    <row r="33">
      <c r="A33" s="9" t="inlineStr">
        <is>
          <t>cobre</t>
        </is>
      </c>
      <c r="B33" s="9" t="inlineStr">
        <is>
          <t>E3 Semimanufacturas</t>
        </is>
      </c>
      <c r="C33" s="9" t="inlineStr">
        <is>
          <t>socio_188</t>
        </is>
      </c>
      <c r="D33" s="9" t="n">
        <v>188</v>
      </c>
      <c r="E33" s="9" t="n">
        <v>18001339</v>
      </c>
      <c r="F33" s="9" t="n">
        <v>0.0051</v>
      </c>
    </row>
    <row r="34">
      <c r="A34" s="6" t="inlineStr">
        <is>
          <t>cobre</t>
        </is>
      </c>
      <c r="B34" s="6" t="inlineStr">
        <is>
          <t>E3 Semimanufacturas</t>
        </is>
      </c>
      <c r="C34" s="6" t="inlineStr">
        <is>
          <t>socio_591</t>
        </is>
      </c>
      <c r="D34" s="6" t="n">
        <v>591</v>
      </c>
      <c r="E34" s="6" t="n">
        <v>15092882</v>
      </c>
      <c r="F34" s="6" t="n">
        <v>0.0042</v>
      </c>
    </row>
    <row r="35">
      <c r="A35" s="9" t="inlineStr">
        <is>
          <t>cobre</t>
        </is>
      </c>
      <c r="B35" s="9" t="inlineStr">
        <is>
          <t>E3 Semimanufacturas</t>
        </is>
      </c>
      <c r="C35" s="9" t="inlineStr">
        <is>
          <t>socio_214</t>
        </is>
      </c>
      <c r="D35" s="9" t="n">
        <v>214</v>
      </c>
      <c r="E35" s="9" t="n">
        <v>4713101</v>
      </c>
      <c r="F35" s="9" t="n">
        <v>0.0013</v>
      </c>
    </row>
    <row r="36">
      <c r="A36" s="6" t="inlineStr">
        <is>
          <t>cobre</t>
        </is>
      </c>
      <c r="B36" s="6" t="inlineStr">
        <is>
          <t>E3 Semimanufacturas</t>
        </is>
      </c>
      <c r="C36" s="6" t="inlineStr">
        <is>
          <t>El Salvador</t>
        </is>
      </c>
      <c r="D36" s="6" t="n">
        <v>222</v>
      </c>
      <c r="E36" s="6" t="n">
        <v>4623796</v>
      </c>
      <c r="F36" s="6" t="n">
        <v>0.0013</v>
      </c>
    </row>
    <row r="37">
      <c r="A37" s="9" t="inlineStr">
        <is>
          <t>cobre</t>
        </is>
      </c>
      <c r="B37" s="9" t="inlineStr">
        <is>
          <t>E3 Semimanufacturas</t>
        </is>
      </c>
      <c r="C37" s="9" t="inlineStr">
        <is>
          <t>Reino Unido</t>
        </is>
      </c>
      <c r="D37" s="9" t="n">
        <v>826</v>
      </c>
      <c r="E37" s="9" t="n">
        <v>2721930</v>
      </c>
      <c r="F37" s="9" t="n">
        <v>0.0008</v>
      </c>
    </row>
    <row r="38">
      <c r="A38" s="6" t="inlineStr">
        <is>
          <t>cobre</t>
        </is>
      </c>
      <c r="B38" s="6" t="inlineStr">
        <is>
          <t>E3 Semimanufacturas</t>
        </is>
      </c>
      <c r="C38" s="6" t="inlineStr">
        <is>
          <t>Argentina</t>
        </is>
      </c>
      <c r="D38" s="6" t="n">
        <v>32</v>
      </c>
      <c r="E38" s="6" t="n">
        <v>2566887</v>
      </c>
      <c r="F38" s="6" t="n">
        <v>0.0007</v>
      </c>
    </row>
    <row r="39">
      <c r="A39" s="9" t="inlineStr">
        <is>
          <t>cobre</t>
        </is>
      </c>
      <c r="B39" s="9" t="inlineStr">
        <is>
          <t>E3 Semimanufacturas</t>
        </is>
      </c>
      <c r="C39" s="9" t="inlineStr">
        <is>
          <t>Brasil</t>
        </is>
      </c>
      <c r="D39" s="9" t="n">
        <v>76</v>
      </c>
      <c r="E39" s="9" t="n">
        <v>1624606</v>
      </c>
      <c r="F39" s="9" t="n">
        <v>0.0005</v>
      </c>
    </row>
    <row r="40">
      <c r="A40" s="6" t="inlineStr">
        <is>
          <t>cobre</t>
        </is>
      </c>
      <c r="B40" s="6" t="inlineStr">
        <is>
          <t>E3 Semimanufacturas</t>
        </is>
      </c>
      <c r="C40" s="6" t="inlineStr">
        <is>
          <t>socio_68</t>
        </is>
      </c>
      <c r="D40" s="6" t="n">
        <v>68</v>
      </c>
      <c r="E40" s="6" t="n">
        <v>1360561</v>
      </c>
      <c r="F40" s="6" t="n">
        <v>0.0004</v>
      </c>
    </row>
    <row r="41">
      <c r="A41" s="9" t="inlineStr">
        <is>
          <t>cobre</t>
        </is>
      </c>
      <c r="B41" s="9" t="inlineStr">
        <is>
          <t>E3 Semimanufacturas</t>
        </is>
      </c>
      <c r="C41" s="9" t="inlineStr">
        <is>
          <t>socio_862</t>
        </is>
      </c>
      <c r="D41" s="9" t="n">
        <v>862</v>
      </c>
      <c r="E41" s="9" t="n">
        <v>1205889</v>
      </c>
      <c r="F41" s="9" t="n">
        <v>0.0003</v>
      </c>
    </row>
    <row r="42">
      <c r="A42" s="6" t="inlineStr">
        <is>
          <t>cobre</t>
        </is>
      </c>
      <c r="B42" s="6" t="inlineStr">
        <is>
          <t>E3 Semimanufacturas</t>
        </is>
      </c>
      <c r="C42" s="6" t="inlineStr">
        <is>
          <t>Japon</t>
        </is>
      </c>
      <c r="D42" s="6" t="n">
        <v>392</v>
      </c>
      <c r="E42" s="6" t="n">
        <v>490884</v>
      </c>
      <c r="F42" s="6" t="n">
        <v>0.0001</v>
      </c>
    </row>
    <row r="43">
      <c r="A43" s="9" t="inlineStr">
        <is>
          <t>cobre</t>
        </is>
      </c>
      <c r="B43" s="9" t="inlineStr">
        <is>
          <t>E3 Semimanufacturas</t>
        </is>
      </c>
      <c r="C43" s="9" t="inlineStr">
        <is>
          <t>socio_192</t>
        </is>
      </c>
      <c r="D43" s="9" t="n">
        <v>192</v>
      </c>
      <c r="E43" s="9" t="n">
        <v>436302</v>
      </c>
      <c r="F43" s="9" t="n">
        <v>0.0001</v>
      </c>
    </row>
    <row r="44">
      <c r="A44" s="6" t="inlineStr">
        <is>
          <t>cobre</t>
        </is>
      </c>
      <c r="B44" s="6" t="inlineStr">
        <is>
          <t>E3 Semimanufacturas</t>
        </is>
      </c>
      <c r="C44" s="6" t="inlineStr">
        <is>
          <t>Malasia</t>
        </is>
      </c>
      <c r="D44" s="6" t="n">
        <v>458</v>
      </c>
      <c r="E44" s="6" t="n">
        <v>372304</v>
      </c>
      <c r="F44" s="6" t="n">
        <v>0.0001</v>
      </c>
    </row>
    <row r="45">
      <c r="A45" s="9" t="inlineStr">
        <is>
          <t>cobre</t>
        </is>
      </c>
      <c r="B45" s="9" t="inlineStr">
        <is>
          <t>E3 Semimanufacturas</t>
        </is>
      </c>
      <c r="C45" s="9" t="inlineStr">
        <is>
          <t>socio_858</t>
        </is>
      </c>
      <c r="D45" s="9" t="n">
        <v>858</v>
      </c>
      <c r="E45" s="9" t="n">
        <v>292872</v>
      </c>
      <c r="F45" s="9" t="n">
        <v>0.0001</v>
      </c>
    </row>
    <row r="46">
      <c r="A46" s="6" t="inlineStr">
        <is>
          <t>cobre</t>
        </is>
      </c>
      <c r="B46" s="6" t="inlineStr">
        <is>
          <t>E3 Semimanufacturas</t>
        </is>
      </c>
      <c r="C46" s="6" t="inlineStr">
        <is>
          <t>China</t>
        </is>
      </c>
      <c r="D46" s="6" t="n">
        <v>156</v>
      </c>
      <c r="E46" s="6" t="n">
        <v>232288</v>
      </c>
      <c r="F46" s="6" t="n">
        <v>0.0001</v>
      </c>
    </row>
    <row r="47">
      <c r="A47" s="9" t="inlineStr">
        <is>
          <t>cobre</t>
        </is>
      </c>
      <c r="B47" s="9" t="inlineStr">
        <is>
          <t>E3 Semimanufacturas</t>
        </is>
      </c>
      <c r="C47" s="9" t="inlineStr">
        <is>
          <t>socio_208</t>
        </is>
      </c>
      <c r="D47" s="9" t="n">
        <v>208</v>
      </c>
      <c r="E47" s="9" t="n">
        <v>123945</v>
      </c>
      <c r="F47" s="9" t="n">
        <v>0</v>
      </c>
    </row>
    <row r="48">
      <c r="A48" s="6" t="inlineStr">
        <is>
          <t>cobre</t>
        </is>
      </c>
      <c r="B48" s="6" t="inlineStr">
        <is>
          <t>E3 Semimanufacturas</t>
        </is>
      </c>
      <c r="C48" s="6" t="inlineStr">
        <is>
          <t>socio_84</t>
        </is>
      </c>
      <c r="D48" s="6" t="n">
        <v>84</v>
      </c>
      <c r="E48" s="6" t="n">
        <v>98566</v>
      </c>
      <c r="F48" s="6" t="n">
        <v>0</v>
      </c>
    </row>
    <row r="49">
      <c r="A49" s="9" t="inlineStr">
        <is>
          <t>cobre</t>
        </is>
      </c>
      <c r="B49" s="9" t="inlineStr">
        <is>
          <t>E3 Semimanufacturas</t>
        </is>
      </c>
      <c r="C49" s="9" t="inlineStr">
        <is>
          <t>socio_251</t>
        </is>
      </c>
      <c r="D49" s="9" t="n">
        <v>251</v>
      </c>
      <c r="E49" s="9" t="n">
        <v>37337</v>
      </c>
      <c r="F49" s="9" t="n">
        <v>0</v>
      </c>
    </row>
    <row r="50">
      <c r="A50" s="6" t="inlineStr">
        <is>
          <t>cobre</t>
        </is>
      </c>
      <c r="B50" s="6" t="inlineStr">
        <is>
          <t>E3 Semimanufacturas</t>
        </is>
      </c>
      <c r="C50" s="6" t="inlineStr">
        <is>
          <t>socio_699</t>
        </is>
      </c>
      <c r="D50" s="6" t="n">
        <v>699</v>
      </c>
      <c r="E50" s="6" t="n">
        <v>16615</v>
      </c>
      <c r="F50" s="6" t="n">
        <v>0</v>
      </c>
    </row>
    <row r="51">
      <c r="A51" s="9" t="inlineStr">
        <is>
          <t>cobre</t>
        </is>
      </c>
      <c r="B51" s="9" t="inlineStr">
        <is>
          <t>E3 Semimanufacturas</t>
        </is>
      </c>
      <c r="C51" s="9" t="inlineStr">
        <is>
          <t>Alemania</t>
        </is>
      </c>
      <c r="D51" s="9" t="n">
        <v>276</v>
      </c>
      <c r="E51" s="9" t="n">
        <v>16269</v>
      </c>
      <c r="F51" s="9" t="n">
        <v>0</v>
      </c>
    </row>
    <row r="52">
      <c r="A52" s="6" t="inlineStr">
        <is>
          <t>cobre</t>
        </is>
      </c>
      <c r="B52" s="6" t="inlineStr">
        <is>
          <t>E3 Semimanufacturas</t>
        </is>
      </c>
      <c r="C52" s="6" t="inlineStr">
        <is>
          <t>Arabia Saudita</t>
        </is>
      </c>
      <c r="D52" s="6" t="n">
        <v>682</v>
      </c>
      <c r="E52" s="6" t="n">
        <v>15330</v>
      </c>
      <c r="F52" s="6" t="n">
        <v>0</v>
      </c>
    </row>
    <row r="53">
      <c r="A53" s="9" t="inlineStr">
        <is>
          <t>cobre</t>
        </is>
      </c>
      <c r="B53" s="9" t="inlineStr">
        <is>
          <t>E3 Semimanufacturas</t>
        </is>
      </c>
      <c r="C53" s="9" t="inlineStr">
        <is>
          <t>socio_388</t>
        </is>
      </c>
      <c r="D53" s="9" t="n">
        <v>388</v>
      </c>
      <c r="E53" s="9" t="n">
        <v>10681</v>
      </c>
      <c r="F53" s="9" t="n">
        <v>0</v>
      </c>
    </row>
    <row r="54">
      <c r="A54" s="6" t="inlineStr">
        <is>
          <t>cobre</t>
        </is>
      </c>
      <c r="B54" s="6" t="inlineStr">
        <is>
          <t>E3 Semimanufacturas</t>
        </is>
      </c>
      <c r="C54" s="6" t="inlineStr">
        <is>
          <t>socio_600</t>
        </is>
      </c>
      <c r="D54" s="6" t="n">
        <v>600</v>
      </c>
      <c r="E54" s="6" t="n">
        <v>8444</v>
      </c>
      <c r="F54" s="6" t="n">
        <v>0</v>
      </c>
    </row>
    <row r="55">
      <c r="A55" s="9" t="inlineStr">
        <is>
          <t>cobre</t>
        </is>
      </c>
      <c r="B55" s="9" t="inlineStr">
        <is>
          <t>E3 Semimanufacturas</t>
        </is>
      </c>
      <c r="C55" s="9" t="inlineStr">
        <is>
          <t>Espana</t>
        </is>
      </c>
      <c r="D55" s="9" t="n">
        <v>724</v>
      </c>
      <c r="E55" s="9" t="n">
        <v>2968</v>
      </c>
      <c r="F55" s="9" t="n">
        <v>0</v>
      </c>
    </row>
    <row r="56">
      <c r="A56" s="6" t="inlineStr">
        <is>
          <t>cobre</t>
        </is>
      </c>
      <c r="B56" s="6" t="inlineStr">
        <is>
          <t>E3 Semimanufacturas</t>
        </is>
      </c>
      <c r="C56" s="6" t="inlineStr">
        <is>
          <t>socio_332</t>
        </is>
      </c>
      <c r="D56" s="6" t="n">
        <v>332</v>
      </c>
      <c r="E56" s="6" t="n">
        <v>1773</v>
      </c>
      <c r="F56" s="6" t="n">
        <v>0</v>
      </c>
    </row>
    <row r="57">
      <c r="A57" s="9" t="inlineStr">
        <is>
          <t>cobre</t>
        </is>
      </c>
      <c r="B57" s="9" t="inlineStr">
        <is>
          <t>E3 Semimanufacturas</t>
        </is>
      </c>
      <c r="C57" s="9" t="inlineStr">
        <is>
          <t>Australia</t>
        </is>
      </c>
      <c r="D57" s="9" t="n">
        <v>36</v>
      </c>
      <c r="E57" s="9" t="n">
        <v>1419</v>
      </c>
      <c r="F57" s="9" t="n">
        <v>0</v>
      </c>
    </row>
    <row r="58">
      <c r="A58" s="6" t="inlineStr">
        <is>
          <t>cobre</t>
        </is>
      </c>
      <c r="B58" s="6" t="inlineStr">
        <is>
          <t>E3 Semimanufacturas</t>
        </is>
      </c>
      <c r="C58" s="6" t="inlineStr">
        <is>
          <t>socio_52</t>
        </is>
      </c>
      <c r="D58" s="6" t="n">
        <v>52</v>
      </c>
      <c r="E58" s="6" t="n">
        <v>1078</v>
      </c>
      <c r="F58" s="6" t="n">
        <v>0</v>
      </c>
    </row>
    <row r="59">
      <c r="A59" s="9" t="inlineStr">
        <is>
          <t>cobre</t>
        </is>
      </c>
      <c r="B59" s="9" t="inlineStr">
        <is>
          <t>E4 Manufacturas</t>
        </is>
      </c>
      <c r="C59" s="9" t="inlineStr">
        <is>
          <t>Estados Unidos</t>
        </is>
      </c>
      <c r="D59" s="9" t="n">
        <v>842</v>
      </c>
      <c r="E59" s="9" t="n">
        <v>421014413</v>
      </c>
      <c r="F59" s="9" t="n">
        <v>0.8935</v>
      </c>
    </row>
    <row r="60">
      <c r="A60" s="6" t="inlineStr">
        <is>
          <t>cobre</t>
        </is>
      </c>
      <c r="B60" s="6" t="inlineStr">
        <is>
          <t>E4 Manufacturas</t>
        </is>
      </c>
      <c r="C60" s="6" t="inlineStr">
        <is>
          <t>China</t>
        </is>
      </c>
      <c r="D60" s="6" t="n">
        <v>156</v>
      </c>
      <c r="E60" s="6" t="n">
        <v>19616635</v>
      </c>
      <c r="F60" s="6" t="n">
        <v>0.0416</v>
      </c>
    </row>
    <row r="61">
      <c r="A61" s="9" t="inlineStr">
        <is>
          <t>cobre</t>
        </is>
      </c>
      <c r="B61" s="9" t="inlineStr">
        <is>
          <t>E4 Manufacturas</t>
        </is>
      </c>
      <c r="C61" s="9" t="inlineStr">
        <is>
          <t>socio_251</t>
        </is>
      </c>
      <c r="D61" s="9" t="n">
        <v>251</v>
      </c>
      <c r="E61" s="9" t="n">
        <v>8204389</v>
      </c>
      <c r="F61" s="9" t="n">
        <v>0.0174</v>
      </c>
    </row>
    <row r="62">
      <c r="A62" s="6" t="inlineStr">
        <is>
          <t>cobre</t>
        </is>
      </c>
      <c r="B62" s="6" t="inlineStr">
        <is>
          <t>E4 Manufacturas</t>
        </is>
      </c>
      <c r="C62" s="6" t="inlineStr">
        <is>
          <t>Canada</t>
        </is>
      </c>
      <c r="D62" s="6" t="n">
        <v>124</v>
      </c>
      <c r="E62" s="6" t="n">
        <v>4384240</v>
      </c>
      <c r="F62" s="6" t="n">
        <v>0.009299999999999999</v>
      </c>
    </row>
    <row r="63">
      <c r="A63" s="9" t="inlineStr">
        <is>
          <t>cobre</t>
        </is>
      </c>
      <c r="B63" s="9" t="inlineStr">
        <is>
          <t>E4 Manufacturas</t>
        </is>
      </c>
      <c r="C63" s="9" t="inlineStr">
        <is>
          <t>Guatemala</t>
        </is>
      </c>
      <c r="D63" s="9" t="n">
        <v>320</v>
      </c>
      <c r="E63" s="9" t="n">
        <v>2930881</v>
      </c>
      <c r="F63" s="9" t="n">
        <v>0.0062</v>
      </c>
    </row>
    <row r="64">
      <c r="A64" s="6" t="inlineStr">
        <is>
          <t>cobre</t>
        </is>
      </c>
      <c r="B64" s="6" t="inlineStr">
        <is>
          <t>E4 Manufacturas</t>
        </is>
      </c>
      <c r="C64" s="6" t="inlineStr">
        <is>
          <t>socio_188</t>
        </is>
      </c>
      <c r="D64" s="6" t="n">
        <v>188</v>
      </c>
      <c r="E64" s="6" t="n">
        <v>1957201</v>
      </c>
      <c r="F64" s="6" t="n">
        <v>0.0042</v>
      </c>
    </row>
    <row r="65">
      <c r="A65" s="9" t="inlineStr">
        <is>
          <t>cobre</t>
        </is>
      </c>
      <c r="B65" s="9" t="inlineStr">
        <is>
          <t>E4 Manufacturas</t>
        </is>
      </c>
      <c r="C65" s="9" t="inlineStr">
        <is>
          <t>Peru</t>
        </is>
      </c>
      <c r="D65" s="9" t="n">
        <v>604</v>
      </c>
      <c r="E65" s="9" t="n">
        <v>1917056</v>
      </c>
      <c r="F65" s="9" t="n">
        <v>0.0041</v>
      </c>
    </row>
    <row r="66">
      <c r="A66" s="6" t="inlineStr">
        <is>
          <t>cobre</t>
        </is>
      </c>
      <c r="B66" s="6" t="inlineStr">
        <is>
          <t>E4 Manufacturas</t>
        </is>
      </c>
      <c r="C66" s="6" t="inlineStr">
        <is>
          <t>socio_214</t>
        </is>
      </c>
      <c r="D66" s="6" t="n">
        <v>214</v>
      </c>
      <c r="E66" s="6" t="n">
        <v>1675108</v>
      </c>
      <c r="F66" s="6" t="n">
        <v>0.0036</v>
      </c>
    </row>
    <row r="67">
      <c r="A67" s="9" t="inlineStr">
        <is>
          <t>cobre</t>
        </is>
      </c>
      <c r="B67" s="9" t="inlineStr">
        <is>
          <t>E4 Manufacturas</t>
        </is>
      </c>
      <c r="C67" s="9" t="inlineStr">
        <is>
          <t>Malasia</t>
        </is>
      </c>
      <c r="D67" s="9" t="n">
        <v>458</v>
      </c>
      <c r="E67" s="9" t="n">
        <v>1608414</v>
      </c>
      <c r="F67" s="9" t="n">
        <v>0.0034</v>
      </c>
    </row>
    <row r="68">
      <c r="A68" s="6" t="inlineStr">
        <is>
          <t>cobre</t>
        </is>
      </c>
      <c r="B68" s="6" t="inlineStr">
        <is>
          <t>E4 Manufacturas</t>
        </is>
      </c>
      <c r="C68" s="6" t="inlineStr">
        <is>
          <t>Colombia</t>
        </is>
      </c>
      <c r="D68" s="6" t="n">
        <v>170</v>
      </c>
      <c r="E68" s="6" t="n">
        <v>1112421</v>
      </c>
      <c r="F68" s="6" t="n">
        <v>0.0024</v>
      </c>
    </row>
    <row r="69">
      <c r="A69" s="9" t="inlineStr">
        <is>
          <t>cobre</t>
        </is>
      </c>
      <c r="B69" s="9" t="inlineStr">
        <is>
          <t>E4 Manufacturas</t>
        </is>
      </c>
      <c r="C69" s="9" t="inlineStr">
        <is>
          <t>Alemania</t>
        </is>
      </c>
      <c r="D69" s="9" t="n">
        <v>276</v>
      </c>
      <c r="E69" s="9" t="n">
        <v>746362</v>
      </c>
      <c r="F69" s="9" t="n">
        <v>0.0016</v>
      </c>
    </row>
    <row r="70">
      <c r="A70" s="6" t="inlineStr">
        <is>
          <t>cobre</t>
        </is>
      </c>
      <c r="B70" s="6" t="inlineStr">
        <is>
          <t>E4 Manufacturas</t>
        </is>
      </c>
      <c r="C70" s="6" t="inlineStr">
        <is>
          <t>Chile</t>
        </is>
      </c>
      <c r="D70" s="6" t="n">
        <v>152</v>
      </c>
      <c r="E70" s="6" t="n">
        <v>717696</v>
      </c>
      <c r="F70" s="6" t="n">
        <v>0.0015</v>
      </c>
    </row>
    <row r="71">
      <c r="A71" s="9" t="inlineStr">
        <is>
          <t>cobre</t>
        </is>
      </c>
      <c r="B71" s="9" t="inlineStr">
        <is>
          <t>E4 Manufacturas</t>
        </is>
      </c>
      <c r="C71" s="9" t="inlineStr">
        <is>
          <t>socio_340</t>
        </is>
      </c>
      <c r="D71" s="9" t="n">
        <v>340</v>
      </c>
      <c r="E71" s="9" t="n">
        <v>692484</v>
      </c>
      <c r="F71" s="9" t="n">
        <v>0.0015</v>
      </c>
    </row>
    <row r="72">
      <c r="A72" s="6" t="inlineStr">
        <is>
          <t>cobre</t>
        </is>
      </c>
      <c r="B72" s="6" t="inlineStr">
        <is>
          <t>E4 Manufacturas</t>
        </is>
      </c>
      <c r="C72" s="6" t="inlineStr">
        <is>
          <t>socio_558</t>
        </is>
      </c>
      <c r="D72" s="6" t="n">
        <v>558</v>
      </c>
      <c r="E72" s="6" t="n">
        <v>626634</v>
      </c>
      <c r="F72" s="6" t="n">
        <v>0.0013</v>
      </c>
    </row>
    <row r="73">
      <c r="A73" s="9" t="inlineStr">
        <is>
          <t>cobre</t>
        </is>
      </c>
      <c r="B73" s="9" t="inlineStr">
        <is>
          <t>E4 Manufacturas</t>
        </is>
      </c>
      <c r="C73" s="9" t="inlineStr">
        <is>
          <t>socio_490</t>
        </is>
      </c>
      <c r="D73" s="9" t="n">
        <v>490</v>
      </c>
      <c r="E73" s="9" t="n">
        <v>611183</v>
      </c>
      <c r="F73" s="9" t="n">
        <v>0.0013</v>
      </c>
    </row>
    <row r="74">
      <c r="A74" s="6" t="inlineStr">
        <is>
          <t>cobre</t>
        </is>
      </c>
      <c r="B74" s="6" t="inlineStr">
        <is>
          <t>E4 Manufacturas</t>
        </is>
      </c>
      <c r="C74" s="6" t="inlineStr">
        <is>
          <t>socio_591</t>
        </is>
      </c>
      <c r="D74" s="6" t="n">
        <v>591</v>
      </c>
      <c r="E74" s="6" t="n">
        <v>592537</v>
      </c>
      <c r="F74" s="6" t="n">
        <v>0.0013</v>
      </c>
    </row>
    <row r="75">
      <c r="A75" s="9" t="inlineStr">
        <is>
          <t>cobre</t>
        </is>
      </c>
      <c r="B75" s="9" t="inlineStr">
        <is>
          <t>E4 Manufacturas</t>
        </is>
      </c>
      <c r="C75" s="9" t="inlineStr">
        <is>
          <t>El Salvador</t>
        </is>
      </c>
      <c r="D75" s="9" t="n">
        <v>222</v>
      </c>
      <c r="E75" s="9" t="n">
        <v>391278</v>
      </c>
      <c r="F75" s="9" t="n">
        <v>0.0008</v>
      </c>
    </row>
    <row r="76">
      <c r="A76" s="6" t="inlineStr">
        <is>
          <t>cobre</t>
        </is>
      </c>
      <c r="B76" s="6" t="inlineStr">
        <is>
          <t>E4 Manufacturas</t>
        </is>
      </c>
      <c r="C76" s="6" t="inlineStr">
        <is>
          <t>socio_218</t>
        </is>
      </c>
      <c r="D76" s="6" t="n">
        <v>218</v>
      </c>
      <c r="E76" s="6" t="n">
        <v>389178</v>
      </c>
      <c r="F76" s="6" t="n">
        <v>0.0008</v>
      </c>
    </row>
    <row r="77">
      <c r="A77" s="9" t="inlineStr">
        <is>
          <t>cobre</t>
        </is>
      </c>
      <c r="B77" s="9" t="inlineStr">
        <is>
          <t>E4 Manufacturas</t>
        </is>
      </c>
      <c r="C77" s="9" t="inlineStr">
        <is>
          <t>socio_699</t>
        </is>
      </c>
      <c r="D77" s="9" t="n">
        <v>699</v>
      </c>
      <c r="E77" s="9" t="n">
        <v>323009</v>
      </c>
      <c r="F77" s="9" t="n">
        <v>0.0007</v>
      </c>
    </row>
    <row r="78">
      <c r="A78" s="6" t="inlineStr">
        <is>
          <t>cobre</t>
        </is>
      </c>
      <c r="B78" s="6" t="inlineStr">
        <is>
          <t>E4 Manufacturas</t>
        </is>
      </c>
      <c r="C78" s="6" t="inlineStr">
        <is>
          <t>Brasil</t>
        </is>
      </c>
      <c r="D78" s="6" t="n">
        <v>76</v>
      </c>
      <c r="E78" s="6" t="n">
        <v>303052</v>
      </c>
      <c r="F78" s="6" t="n">
        <v>0.0005999999999999999</v>
      </c>
    </row>
    <row r="79">
      <c r="A79" s="9" t="inlineStr">
        <is>
          <t>cobre</t>
        </is>
      </c>
      <c r="B79" s="9" t="inlineStr">
        <is>
          <t>E4 Manufacturas</t>
        </is>
      </c>
      <c r="C79" s="9" t="inlineStr">
        <is>
          <t>Tailandia</t>
        </is>
      </c>
      <c r="D79" s="9" t="n">
        <v>764</v>
      </c>
      <c r="E79" s="9" t="n">
        <v>285126</v>
      </c>
      <c r="F79" s="9" t="n">
        <v>0.0005999999999999999</v>
      </c>
    </row>
    <row r="80">
      <c r="A80" s="6" t="inlineStr">
        <is>
          <t>cobre</t>
        </is>
      </c>
      <c r="B80" s="6" t="inlineStr">
        <is>
          <t>E4 Manufacturas</t>
        </is>
      </c>
      <c r="C80" s="6" t="inlineStr">
        <is>
          <t>Chequia</t>
        </is>
      </c>
      <c r="D80" s="6" t="n">
        <v>203</v>
      </c>
      <c r="E80" s="6" t="n">
        <v>131117</v>
      </c>
      <c r="F80" s="6" t="n">
        <v>0.0003</v>
      </c>
    </row>
    <row r="81">
      <c r="A81" s="9" t="inlineStr">
        <is>
          <t>cobre</t>
        </is>
      </c>
      <c r="B81" s="9" t="inlineStr">
        <is>
          <t>E4 Manufacturas</t>
        </is>
      </c>
      <c r="C81" s="9" t="inlineStr">
        <is>
          <t>Japon</t>
        </is>
      </c>
      <c r="D81" s="9" t="n">
        <v>392</v>
      </c>
      <c r="E81" s="9" t="n">
        <v>112725</v>
      </c>
      <c r="F81" s="9" t="n">
        <v>0.0002</v>
      </c>
    </row>
    <row r="82">
      <c r="A82" s="6" t="inlineStr">
        <is>
          <t>cobre</t>
        </is>
      </c>
      <c r="B82" s="6" t="inlineStr">
        <is>
          <t>E4 Manufacturas</t>
        </is>
      </c>
      <c r="C82" s="6" t="inlineStr">
        <is>
          <t>Arabia Saudita</t>
        </is>
      </c>
      <c r="D82" s="6" t="n">
        <v>682</v>
      </c>
      <c r="E82" s="6" t="n">
        <v>106818</v>
      </c>
      <c r="F82" s="6" t="n">
        <v>0.0002</v>
      </c>
    </row>
    <row r="83">
      <c r="A83" s="9" t="inlineStr">
        <is>
          <t>cobre</t>
        </is>
      </c>
      <c r="B83" s="9" t="inlineStr">
        <is>
          <t>E4 Manufacturas</t>
        </is>
      </c>
      <c r="C83" s="9" t="inlineStr">
        <is>
          <t>socio_192</t>
        </is>
      </c>
      <c r="D83" s="9" t="n">
        <v>192</v>
      </c>
      <c r="E83" s="9" t="n">
        <v>99427</v>
      </c>
      <c r="F83" s="9" t="n">
        <v>0.0002</v>
      </c>
    </row>
    <row r="84">
      <c r="A84" s="6" t="inlineStr">
        <is>
          <t>cobre</t>
        </is>
      </c>
      <c r="B84" s="6" t="inlineStr">
        <is>
          <t>E4 Manufacturas</t>
        </is>
      </c>
      <c r="C84" s="6" t="inlineStr">
        <is>
          <t>Singapur</t>
        </is>
      </c>
      <c r="D84" s="6" t="n">
        <v>702</v>
      </c>
      <c r="E84" s="6" t="n">
        <v>85248</v>
      </c>
      <c r="F84" s="6" t="n">
        <v>0.0002</v>
      </c>
    </row>
    <row r="85">
      <c r="A85" s="9" t="inlineStr">
        <is>
          <t>cobre</t>
        </is>
      </c>
      <c r="B85" s="9" t="inlineStr">
        <is>
          <t>E4 Manufacturas</t>
        </is>
      </c>
      <c r="C85" s="9" t="inlineStr">
        <is>
          <t>Emiratos Arabes</t>
        </is>
      </c>
      <c r="D85" s="9" t="n">
        <v>784</v>
      </c>
      <c r="E85" s="9" t="n">
        <v>82789</v>
      </c>
      <c r="F85" s="9" t="n">
        <v>0.0002</v>
      </c>
    </row>
    <row r="86">
      <c r="A86" s="6" t="inlineStr">
        <is>
          <t>cobre</t>
        </is>
      </c>
      <c r="B86" s="6" t="inlineStr">
        <is>
          <t>E4 Manufacturas</t>
        </is>
      </c>
      <c r="C86" s="6" t="inlineStr">
        <is>
          <t>Hong Kong</t>
        </is>
      </c>
      <c r="D86" s="6" t="n">
        <v>344</v>
      </c>
      <c r="E86" s="6" t="n">
        <v>81570</v>
      </c>
      <c r="F86" s="6" t="n">
        <v>0.0002</v>
      </c>
    </row>
    <row r="87">
      <c r="A87" s="9" t="inlineStr">
        <is>
          <t>cobre</t>
        </is>
      </c>
      <c r="B87" s="9" t="inlineStr">
        <is>
          <t>E4 Manufacturas</t>
        </is>
      </c>
      <c r="C87" s="9" t="inlineStr">
        <is>
          <t>Corea del Sur</t>
        </is>
      </c>
      <c r="D87" s="9" t="n">
        <v>410</v>
      </c>
      <c r="E87" s="9" t="n">
        <v>75631</v>
      </c>
      <c r="F87" s="9" t="n">
        <v>0.0002</v>
      </c>
    </row>
    <row r="88">
      <c r="A88" s="6" t="inlineStr">
        <is>
          <t>cobre</t>
        </is>
      </c>
      <c r="B88" s="6" t="inlineStr">
        <is>
          <t>E4 Manufacturas</t>
        </is>
      </c>
      <c r="C88" s="6" t="inlineStr">
        <is>
          <t>Australia</t>
        </is>
      </c>
      <c r="D88" s="6" t="n">
        <v>36</v>
      </c>
      <c r="E88" s="6" t="n">
        <v>56037</v>
      </c>
      <c r="F88" s="6" t="n">
        <v>0.0001</v>
      </c>
    </row>
    <row r="89">
      <c r="A89" s="9" t="inlineStr">
        <is>
          <t>cobre</t>
        </is>
      </c>
      <c r="B89" s="9" t="inlineStr">
        <is>
          <t>E4 Manufacturas</t>
        </is>
      </c>
      <c r="C89" s="9" t="inlineStr">
        <is>
          <t>Reino Unido</t>
        </is>
      </c>
      <c r="D89" s="9" t="n">
        <v>826</v>
      </c>
      <c r="E89" s="9" t="n">
        <v>53602</v>
      </c>
      <c r="F89" s="9" t="n">
        <v>0.0001</v>
      </c>
    </row>
    <row r="90">
      <c r="A90" s="6" t="inlineStr">
        <is>
          <t>cobre</t>
        </is>
      </c>
      <c r="B90" s="6" t="inlineStr">
        <is>
          <t>E4 Manufacturas</t>
        </is>
      </c>
      <c r="C90" s="6" t="inlineStr">
        <is>
          <t>Italia</t>
        </is>
      </c>
      <c r="D90" s="6" t="n">
        <v>380</v>
      </c>
      <c r="E90" s="6" t="n">
        <v>43735</v>
      </c>
      <c r="F90" s="6" t="n">
        <v>0.0001</v>
      </c>
    </row>
    <row r="91">
      <c r="A91" s="9" t="inlineStr">
        <is>
          <t>cobre</t>
        </is>
      </c>
      <c r="B91" s="9" t="inlineStr">
        <is>
          <t>E4 Manufacturas</t>
        </is>
      </c>
      <c r="C91" s="9" t="inlineStr">
        <is>
          <t>socio_84</t>
        </is>
      </c>
      <c r="D91" s="9" t="n">
        <v>84</v>
      </c>
      <c r="E91" s="9" t="n">
        <v>35427</v>
      </c>
      <c r="F91" s="9" t="n">
        <v>0.0001</v>
      </c>
    </row>
    <row r="92">
      <c r="A92" s="6" t="inlineStr">
        <is>
          <t>cobre</t>
        </is>
      </c>
      <c r="B92" s="6" t="inlineStr">
        <is>
          <t>E4 Manufacturas</t>
        </is>
      </c>
      <c r="C92" s="6" t="inlineStr">
        <is>
          <t>socio_348</t>
        </is>
      </c>
      <c r="D92" s="6" t="n">
        <v>348</v>
      </c>
      <c r="E92" s="6" t="n">
        <v>24363</v>
      </c>
      <c r="F92" s="6" t="n">
        <v>0.0001</v>
      </c>
    </row>
    <row r="93">
      <c r="A93" s="9" t="inlineStr">
        <is>
          <t>cobre</t>
        </is>
      </c>
      <c r="B93" s="9" t="inlineStr">
        <is>
          <t>E4 Manufacturas</t>
        </is>
      </c>
      <c r="C93" s="9" t="inlineStr">
        <is>
          <t>socio_858</t>
        </is>
      </c>
      <c r="D93" s="9" t="n">
        <v>858</v>
      </c>
      <c r="E93" s="9" t="n">
        <v>19930</v>
      </c>
      <c r="F93" s="9" t="n">
        <v>0</v>
      </c>
    </row>
    <row r="94">
      <c r="A94" s="6" t="inlineStr">
        <is>
          <t>cobre</t>
        </is>
      </c>
      <c r="B94" s="6" t="inlineStr">
        <is>
          <t>E4 Manufacturas</t>
        </is>
      </c>
      <c r="C94" s="6" t="inlineStr">
        <is>
          <t>Paises Bajos</t>
        </is>
      </c>
      <c r="D94" s="6" t="n">
        <v>528</v>
      </c>
      <c r="E94" s="6" t="n">
        <v>18789</v>
      </c>
      <c r="F94" s="6" t="n">
        <v>0</v>
      </c>
    </row>
    <row r="95">
      <c r="A95" s="9" t="inlineStr">
        <is>
          <t>cobre</t>
        </is>
      </c>
      <c r="B95" s="9" t="inlineStr">
        <is>
          <t>E4 Manufacturas</t>
        </is>
      </c>
      <c r="C95" s="9" t="inlineStr">
        <is>
          <t>Espana</t>
        </is>
      </c>
      <c r="D95" s="9" t="n">
        <v>724</v>
      </c>
      <c r="E95" s="9" t="n">
        <v>17730</v>
      </c>
      <c r="F95" s="9" t="n">
        <v>0</v>
      </c>
    </row>
    <row r="96">
      <c r="A96" s="6" t="inlineStr">
        <is>
          <t>cobre</t>
        </is>
      </c>
      <c r="B96" s="6" t="inlineStr">
        <is>
          <t>E4 Manufacturas</t>
        </is>
      </c>
      <c r="C96" s="6" t="inlineStr">
        <is>
          <t>Belgica</t>
        </is>
      </c>
      <c r="D96" s="6" t="n">
        <v>56</v>
      </c>
      <c r="E96" s="6" t="n">
        <v>14784</v>
      </c>
      <c r="F96" s="6" t="n">
        <v>0</v>
      </c>
    </row>
    <row r="97">
      <c r="A97" s="9" t="inlineStr">
        <is>
          <t>cobre</t>
        </is>
      </c>
      <c r="B97" s="9" t="inlineStr">
        <is>
          <t>E4 Manufacturas</t>
        </is>
      </c>
      <c r="C97" s="9" t="inlineStr">
        <is>
          <t>Argentina</t>
        </is>
      </c>
      <c r="D97" s="9" t="n">
        <v>32</v>
      </c>
      <c r="E97" s="9" t="n">
        <v>12472</v>
      </c>
      <c r="F97" s="9" t="n">
        <v>0</v>
      </c>
    </row>
    <row r="98">
      <c r="A98" s="6" t="inlineStr">
        <is>
          <t>cobre</t>
        </is>
      </c>
      <c r="B98" s="6" t="inlineStr">
        <is>
          <t>E4 Manufacturas</t>
        </is>
      </c>
      <c r="C98" s="6" t="inlineStr">
        <is>
          <t>socio_862</t>
        </is>
      </c>
      <c r="D98" s="6" t="n">
        <v>862</v>
      </c>
      <c r="E98" s="6" t="n">
        <v>9846</v>
      </c>
      <c r="F98" s="6" t="n">
        <v>0</v>
      </c>
    </row>
    <row r="99">
      <c r="A99" s="9" t="inlineStr">
        <is>
          <t>cobre</t>
        </is>
      </c>
      <c r="B99" s="9" t="inlineStr">
        <is>
          <t>E4 Manufacturas</t>
        </is>
      </c>
      <c r="C99" s="9" t="inlineStr">
        <is>
          <t>socio_68</t>
        </is>
      </c>
      <c r="D99" s="9" t="n">
        <v>68</v>
      </c>
      <c r="E99" s="9" t="n">
        <v>5912</v>
      </c>
      <c r="F99" s="9" t="n">
        <v>0</v>
      </c>
    </row>
    <row r="100">
      <c r="A100" s="6" t="inlineStr">
        <is>
          <t>cobre</t>
        </is>
      </c>
      <c r="B100" s="6" t="inlineStr">
        <is>
          <t>E4 Manufacturas</t>
        </is>
      </c>
      <c r="C100" s="6" t="inlineStr">
        <is>
          <t>socio_643</t>
        </is>
      </c>
      <c r="D100" s="6" t="n">
        <v>643</v>
      </c>
      <c r="E100" s="6" t="n">
        <v>5416</v>
      </c>
      <c r="F100" s="6" t="n">
        <v>0</v>
      </c>
    </row>
    <row r="101">
      <c r="A101" s="9" t="inlineStr">
        <is>
          <t>cobre</t>
        </is>
      </c>
      <c r="B101" s="9" t="inlineStr">
        <is>
          <t>E4 Manufacturas</t>
        </is>
      </c>
      <c r="C101" s="9" t="inlineStr">
        <is>
          <t>socio_388</t>
        </is>
      </c>
      <c r="D101" s="9" t="n">
        <v>388</v>
      </c>
      <c r="E101" s="9" t="n">
        <v>5012</v>
      </c>
      <c r="F101" s="9" t="n">
        <v>0</v>
      </c>
    </row>
    <row r="102">
      <c r="A102" s="6" t="inlineStr">
        <is>
          <t>cobre</t>
        </is>
      </c>
      <c r="B102" s="6" t="inlineStr">
        <is>
          <t>E4 Manufacturas</t>
        </is>
      </c>
      <c r="C102" s="6" t="inlineStr">
        <is>
          <t>socio_600</t>
        </is>
      </c>
      <c r="D102" s="6" t="n">
        <v>600</v>
      </c>
      <c r="E102" s="6" t="n">
        <v>3212</v>
      </c>
      <c r="F102" s="6" t="n">
        <v>0</v>
      </c>
    </row>
    <row r="103">
      <c r="A103" s="9" t="inlineStr">
        <is>
          <t>cobre</t>
        </is>
      </c>
      <c r="B103" s="9" t="inlineStr">
        <is>
          <t>E4 Manufacturas</t>
        </is>
      </c>
      <c r="C103" s="9" t="inlineStr">
        <is>
          <t>Austria</t>
        </is>
      </c>
      <c r="D103" s="9" t="n">
        <v>40</v>
      </c>
      <c r="E103" s="9" t="n">
        <v>1160</v>
      </c>
      <c r="F103" s="9" t="n">
        <v>0</v>
      </c>
    </row>
    <row r="104">
      <c r="A104" s="6" t="inlineStr">
        <is>
          <t>cobre</t>
        </is>
      </c>
      <c r="B104" s="6" t="inlineStr">
        <is>
          <t>E4 Manufacturas</t>
        </is>
      </c>
      <c r="C104" s="6" t="inlineStr">
        <is>
          <t>socio_208</t>
        </is>
      </c>
      <c r="D104" s="6" t="n">
        <v>208</v>
      </c>
      <c r="E104" s="6" t="n">
        <v>746</v>
      </c>
      <c r="F104" s="6" t="n">
        <v>0</v>
      </c>
    </row>
    <row r="105">
      <c r="A105" s="9" t="inlineStr">
        <is>
          <t>cobre</t>
        </is>
      </c>
      <c r="B105" s="9" t="inlineStr">
        <is>
          <t>E4 Manufacturas</t>
        </is>
      </c>
      <c r="C105" s="9" t="inlineStr">
        <is>
          <t>socio_780</t>
        </is>
      </c>
      <c r="D105" s="9" t="n">
        <v>780</v>
      </c>
      <c r="E105" s="9" t="n">
        <v>498</v>
      </c>
      <c r="F105" s="9" t="n">
        <v>0</v>
      </c>
    </row>
    <row r="106">
      <c r="A106" s="6" t="inlineStr">
        <is>
          <t>cobre</t>
        </is>
      </c>
      <c r="B106" s="6" t="inlineStr">
        <is>
          <t>E4 Manufacturas</t>
        </is>
      </c>
      <c r="C106" s="6" t="inlineStr">
        <is>
          <t>socio_332</t>
        </is>
      </c>
      <c r="D106" s="6" t="n">
        <v>332</v>
      </c>
      <c r="E106" s="6" t="n">
        <v>262</v>
      </c>
      <c r="F106" s="6" t="n">
        <v>0</v>
      </c>
    </row>
    <row r="107">
      <c r="A107" s="9" t="inlineStr">
        <is>
          <t>fluorita</t>
        </is>
      </c>
      <c r="B107" s="9" t="inlineStr">
        <is>
          <t>E1 Espato fluor (crudo)</t>
        </is>
      </c>
      <c r="C107" s="9" t="inlineStr">
        <is>
          <t>Estados Unidos</t>
        </is>
      </c>
      <c r="D107" s="9" t="n">
        <v>842</v>
      </c>
      <c r="E107" s="9" t="n">
        <v>467183255</v>
      </c>
      <c r="F107" s="9" t="n">
        <v>0.8812</v>
      </c>
    </row>
    <row r="108">
      <c r="A108" s="6" t="inlineStr">
        <is>
          <t>fluorita</t>
        </is>
      </c>
      <c r="B108" s="6" t="inlineStr">
        <is>
          <t>E1 Espato fluor (crudo)</t>
        </is>
      </c>
      <c r="C108" s="6" t="inlineStr">
        <is>
          <t>China</t>
        </is>
      </c>
      <c r="D108" s="6" t="n">
        <v>156</v>
      </c>
      <c r="E108" s="6" t="n">
        <v>51227516</v>
      </c>
      <c r="F108" s="6" t="n">
        <v>0.09660000000000001</v>
      </c>
    </row>
    <row r="109">
      <c r="A109" s="9" t="inlineStr">
        <is>
          <t>fluorita</t>
        </is>
      </c>
      <c r="B109" s="9" t="inlineStr">
        <is>
          <t>E1 Espato fluor (crudo)</t>
        </is>
      </c>
      <c r="C109" s="9" t="inlineStr">
        <is>
          <t>Brasil</t>
        </is>
      </c>
      <c r="D109" s="9" t="n">
        <v>76</v>
      </c>
      <c r="E109" s="9" t="n">
        <v>8351358</v>
      </c>
      <c r="F109" s="9" t="n">
        <v>0.0158</v>
      </c>
    </row>
    <row r="110">
      <c r="A110" s="6" t="inlineStr">
        <is>
          <t>fluorita</t>
        </is>
      </c>
      <c r="B110" s="6" t="inlineStr">
        <is>
          <t>E1 Espato fluor (crudo)</t>
        </is>
      </c>
      <c r="C110" s="6" t="inlineStr">
        <is>
          <t>Espana</t>
        </is>
      </c>
      <c r="D110" s="6" t="n">
        <v>724</v>
      </c>
      <c r="E110" s="6" t="n">
        <v>1829607</v>
      </c>
      <c r="F110" s="6" t="n">
        <v>0.0035</v>
      </c>
    </row>
    <row r="111">
      <c r="A111" s="9" t="inlineStr">
        <is>
          <t>fluorita</t>
        </is>
      </c>
      <c r="B111" s="9" t="inlineStr">
        <is>
          <t>E1 Espato fluor (crudo)</t>
        </is>
      </c>
      <c r="C111" s="9" t="inlineStr">
        <is>
          <t>Colombia</t>
        </is>
      </c>
      <c r="D111" s="9" t="n">
        <v>170</v>
      </c>
      <c r="E111" s="9" t="n">
        <v>893127</v>
      </c>
      <c r="F111" s="9" t="n">
        <v>0.0017</v>
      </c>
    </row>
    <row r="112">
      <c r="A112" s="6" t="inlineStr">
        <is>
          <t>fluorita</t>
        </is>
      </c>
      <c r="B112" s="6" t="inlineStr">
        <is>
          <t>E1 Espato fluor (crudo)</t>
        </is>
      </c>
      <c r="C112" s="6" t="inlineStr">
        <is>
          <t>Turquia</t>
        </is>
      </c>
      <c r="D112" s="6" t="n">
        <v>792</v>
      </c>
      <c r="E112" s="6" t="n">
        <v>615902</v>
      </c>
      <c r="F112" s="6" t="n">
        <v>0.0012</v>
      </c>
    </row>
    <row r="113">
      <c r="A113" s="9" t="inlineStr">
        <is>
          <t>fluorita</t>
        </is>
      </c>
      <c r="B113" s="9" t="inlineStr">
        <is>
          <t>E1 Espato fluor (crudo)</t>
        </is>
      </c>
      <c r="C113" s="9" t="inlineStr">
        <is>
          <t>Peru</t>
        </is>
      </c>
      <c r="D113" s="9" t="n">
        <v>604</v>
      </c>
      <c r="E113" s="9" t="n">
        <v>93276</v>
      </c>
      <c r="F113" s="9" t="n">
        <v>0.0002</v>
      </c>
    </row>
    <row r="114">
      <c r="A114" s="6" t="inlineStr">
        <is>
          <t>fluorita</t>
        </is>
      </c>
      <c r="B114" s="6" t="inlineStr">
        <is>
          <t>E2 Fluoroquimica</t>
        </is>
      </c>
      <c r="C114" s="6" t="inlineStr">
        <is>
          <t>Estados Unidos</t>
        </is>
      </c>
      <c r="D114" s="6" t="n">
        <v>842</v>
      </c>
      <c r="E114" s="6" t="n">
        <v>607774446</v>
      </c>
      <c r="F114" s="6" t="n">
        <v>1</v>
      </c>
    </row>
    <row r="115">
      <c r="A115" s="9" t="inlineStr">
        <is>
          <t>grafito</t>
        </is>
      </c>
      <c r="B115" s="9" t="inlineStr">
        <is>
          <t>E1 Grafito natural</t>
        </is>
      </c>
      <c r="C115" s="9" t="inlineStr">
        <is>
          <t>Estados Unidos</t>
        </is>
      </c>
      <c r="D115" s="9" t="n">
        <v>842</v>
      </c>
      <c r="E115" s="9" t="n">
        <v>11175049</v>
      </c>
      <c r="F115" s="9" t="n">
        <v>1</v>
      </c>
    </row>
    <row r="116">
      <c r="A116" s="6" t="inlineStr">
        <is>
          <t>grafito</t>
        </is>
      </c>
      <c r="B116" s="6" t="inlineStr">
        <is>
          <t>E2 Grafito artificial/prep.</t>
        </is>
      </c>
      <c r="C116" s="6" t="inlineStr">
        <is>
          <t>Estados Unidos</t>
        </is>
      </c>
      <c r="D116" s="6" t="n">
        <v>842</v>
      </c>
      <c r="E116" s="6" t="n">
        <v>367796409</v>
      </c>
      <c r="F116" s="6" t="n">
        <v>0.969</v>
      </c>
    </row>
    <row r="117">
      <c r="A117" s="9" t="inlineStr">
        <is>
          <t>grafito</t>
        </is>
      </c>
      <c r="B117" s="9" t="inlineStr">
        <is>
          <t>E2 Grafito artificial/prep.</t>
        </is>
      </c>
      <c r="C117" s="9" t="inlineStr">
        <is>
          <t>Brasil</t>
        </is>
      </c>
      <c r="D117" s="9" t="n">
        <v>76</v>
      </c>
      <c r="E117" s="9" t="n">
        <v>9640087</v>
      </c>
      <c r="F117" s="9" t="n">
        <v>0.0254</v>
      </c>
    </row>
    <row r="118">
      <c r="A118" s="6" t="inlineStr">
        <is>
          <t>grafito</t>
        </is>
      </c>
      <c r="B118" s="6" t="inlineStr">
        <is>
          <t>E2 Grafito artificial/prep.</t>
        </is>
      </c>
      <c r="C118" s="6" t="inlineStr">
        <is>
          <t>China</t>
        </is>
      </c>
      <c r="D118" s="6" t="n">
        <v>156</v>
      </c>
      <c r="E118" s="6" t="n">
        <v>1786011</v>
      </c>
      <c r="F118" s="6" t="n">
        <v>0.0047</v>
      </c>
    </row>
    <row r="119">
      <c r="A119" s="9" t="inlineStr">
        <is>
          <t>grafito</t>
        </is>
      </c>
      <c r="B119" s="9" t="inlineStr">
        <is>
          <t>E2 Grafito artificial/prep.</t>
        </is>
      </c>
      <c r="C119" s="9" t="inlineStr">
        <is>
          <t>Argentina</t>
        </is>
      </c>
      <c r="D119" s="9" t="n">
        <v>32</v>
      </c>
      <c r="E119" s="9" t="n">
        <v>134148</v>
      </c>
      <c r="F119" s="9" t="n">
        <v>0.0004</v>
      </c>
    </row>
    <row r="120">
      <c r="A120" s="6" t="inlineStr">
        <is>
          <t>grafito</t>
        </is>
      </c>
      <c r="B120" s="6" t="inlineStr">
        <is>
          <t>E2 Grafito artificial/prep.</t>
        </is>
      </c>
      <c r="C120" s="6" t="inlineStr">
        <is>
          <t>Colombia</t>
        </is>
      </c>
      <c r="D120" s="6" t="n">
        <v>170</v>
      </c>
      <c r="E120" s="6" t="n">
        <v>91093</v>
      </c>
      <c r="F120" s="6" t="n">
        <v>0.0002</v>
      </c>
    </row>
    <row r="121">
      <c r="A121" s="9" t="inlineStr">
        <is>
          <t>grafito</t>
        </is>
      </c>
      <c r="B121" s="9" t="inlineStr">
        <is>
          <t>E2 Grafito artificial/prep.</t>
        </is>
      </c>
      <c r="C121" s="9" t="inlineStr">
        <is>
          <t>Guatemala</t>
        </is>
      </c>
      <c r="D121" s="9" t="n">
        <v>320</v>
      </c>
      <c r="E121" s="9" t="n">
        <v>63990</v>
      </c>
      <c r="F121" s="9" t="n">
        <v>0.0002</v>
      </c>
    </row>
    <row r="122">
      <c r="A122" s="6" t="inlineStr">
        <is>
          <t>grafito</t>
        </is>
      </c>
      <c r="B122" s="6" t="inlineStr">
        <is>
          <t>E2 Grafito artificial/prep.</t>
        </is>
      </c>
      <c r="C122" s="6" t="inlineStr">
        <is>
          <t>Espana</t>
        </is>
      </c>
      <c r="D122" s="6" t="n">
        <v>724</v>
      </c>
      <c r="E122" s="6" t="n">
        <v>40883</v>
      </c>
      <c r="F122" s="6" t="n">
        <v>0.0001</v>
      </c>
    </row>
    <row r="123">
      <c r="A123" s="9" t="inlineStr">
        <is>
          <t>grafito</t>
        </is>
      </c>
      <c r="B123" s="9" t="inlineStr">
        <is>
          <t>E2 Grafito artificial/prep.</t>
        </is>
      </c>
      <c r="C123" s="9" t="inlineStr">
        <is>
          <t>socio_188</t>
        </is>
      </c>
      <c r="D123" s="9" t="n">
        <v>188</v>
      </c>
      <c r="E123" s="9" t="n">
        <v>7492</v>
      </c>
      <c r="F123" s="9" t="n">
        <v>0</v>
      </c>
    </row>
    <row r="124">
      <c r="A124" s="6" t="inlineStr">
        <is>
          <t>grafito</t>
        </is>
      </c>
      <c r="B124" s="6" t="inlineStr">
        <is>
          <t>E3 Electrodos/articulos de carbono</t>
        </is>
      </c>
      <c r="C124" s="6" t="inlineStr">
        <is>
          <t>Estados Unidos</t>
        </is>
      </c>
      <c r="D124" s="6" t="n">
        <v>842</v>
      </c>
      <c r="E124" s="6" t="n">
        <v>430833407</v>
      </c>
      <c r="F124" s="6" t="n">
        <v>0.7235</v>
      </c>
    </row>
    <row r="125">
      <c r="A125" s="9" t="inlineStr">
        <is>
          <t>grafito</t>
        </is>
      </c>
      <c r="B125" s="9" t="inlineStr">
        <is>
          <t>E3 Electrodos/articulos de carbono</t>
        </is>
      </c>
      <c r="C125" s="9" t="inlineStr">
        <is>
          <t>socio_251</t>
        </is>
      </c>
      <c r="D125" s="9" t="n">
        <v>251</v>
      </c>
      <c r="E125" s="9" t="n">
        <v>54835434</v>
      </c>
      <c r="F125" s="9" t="n">
        <v>0.0921</v>
      </c>
    </row>
    <row r="126">
      <c r="A126" s="6" t="inlineStr">
        <is>
          <t>grafito</t>
        </is>
      </c>
      <c r="B126" s="6" t="inlineStr">
        <is>
          <t>E3 Electrodos/articulos de carbono</t>
        </is>
      </c>
      <c r="C126" s="6" t="inlineStr">
        <is>
          <t>Espana</t>
        </is>
      </c>
      <c r="D126" s="6" t="n">
        <v>724</v>
      </c>
      <c r="E126" s="6" t="n">
        <v>52528712</v>
      </c>
      <c r="F126" s="6" t="n">
        <v>0.0882</v>
      </c>
    </row>
    <row r="127">
      <c r="A127" s="9" t="inlineStr">
        <is>
          <t>grafito</t>
        </is>
      </c>
      <c r="B127" s="9" t="inlineStr">
        <is>
          <t>E3 Electrodos/articulos de carbono</t>
        </is>
      </c>
      <c r="C127" s="9" t="inlineStr">
        <is>
          <t>Colombia</t>
        </is>
      </c>
      <c r="D127" s="9" t="n">
        <v>170</v>
      </c>
      <c r="E127" s="9" t="n">
        <v>23343278</v>
      </c>
      <c r="F127" s="9" t="n">
        <v>0.0392</v>
      </c>
    </row>
    <row r="128">
      <c r="A128" s="6" t="inlineStr">
        <is>
          <t>grafito</t>
        </is>
      </c>
      <c r="B128" s="6" t="inlineStr">
        <is>
          <t>E3 Electrodos/articulos de carbono</t>
        </is>
      </c>
      <c r="C128" s="6" t="inlineStr">
        <is>
          <t>Peru</t>
        </is>
      </c>
      <c r="D128" s="6" t="n">
        <v>604</v>
      </c>
      <c r="E128" s="6" t="n">
        <v>13491766</v>
      </c>
      <c r="F128" s="6" t="n">
        <v>0.0227</v>
      </c>
    </row>
    <row r="129">
      <c r="A129" s="9" t="inlineStr">
        <is>
          <t>grafito</t>
        </is>
      </c>
      <c r="B129" s="9" t="inlineStr">
        <is>
          <t>E3 Electrodos/articulos de carbono</t>
        </is>
      </c>
      <c r="C129" s="9" t="inlineStr">
        <is>
          <t>Argentina</t>
        </is>
      </c>
      <c r="D129" s="9" t="n">
        <v>32</v>
      </c>
      <c r="E129" s="9" t="n">
        <v>7098611</v>
      </c>
      <c r="F129" s="9" t="n">
        <v>0.0119</v>
      </c>
    </row>
    <row r="130">
      <c r="A130" s="6" t="inlineStr">
        <is>
          <t>grafito</t>
        </is>
      </c>
      <c r="B130" s="6" t="inlineStr">
        <is>
          <t>E3 Electrodos/articulos de carbono</t>
        </is>
      </c>
      <c r="C130" s="6" t="inlineStr">
        <is>
          <t>China</t>
        </is>
      </c>
      <c r="D130" s="6" t="n">
        <v>156</v>
      </c>
      <c r="E130" s="6" t="n">
        <v>2608221</v>
      </c>
      <c r="F130" s="6" t="n">
        <v>0.0044</v>
      </c>
    </row>
    <row r="131">
      <c r="A131" s="9" t="inlineStr">
        <is>
          <t>grafito</t>
        </is>
      </c>
      <c r="B131" s="9" t="inlineStr">
        <is>
          <t>E3 Electrodos/articulos de carbono</t>
        </is>
      </c>
      <c r="C131" s="9" t="inlineStr">
        <is>
          <t>Brasil</t>
        </is>
      </c>
      <c r="D131" s="9" t="n">
        <v>76</v>
      </c>
      <c r="E131" s="9" t="n">
        <v>2399993</v>
      </c>
      <c r="F131" s="9" t="n">
        <v>0.004</v>
      </c>
    </row>
    <row r="132">
      <c r="A132" s="6" t="inlineStr">
        <is>
          <t>grafito</t>
        </is>
      </c>
      <c r="B132" s="6" t="inlineStr">
        <is>
          <t>E3 Electrodos/articulos de carbono</t>
        </is>
      </c>
      <c r="C132" s="6" t="inlineStr">
        <is>
          <t>Guatemala</t>
        </is>
      </c>
      <c r="D132" s="6" t="n">
        <v>320</v>
      </c>
      <c r="E132" s="6" t="n">
        <v>2215167</v>
      </c>
      <c r="F132" s="6" t="n">
        <v>0.0037</v>
      </c>
    </row>
    <row r="133">
      <c r="A133" s="9" t="inlineStr">
        <is>
          <t>grafito</t>
        </is>
      </c>
      <c r="B133" s="9" t="inlineStr">
        <is>
          <t>E3 Electrodos/articulos de carbono</t>
        </is>
      </c>
      <c r="C133" s="9" t="inlineStr">
        <is>
          <t>socio_699</t>
        </is>
      </c>
      <c r="D133" s="9" t="n">
        <v>699</v>
      </c>
      <c r="E133" s="9" t="n">
        <v>1768019</v>
      </c>
      <c r="F133" s="9" t="n">
        <v>0.003</v>
      </c>
    </row>
    <row r="134">
      <c r="A134" s="6" t="inlineStr">
        <is>
          <t>grafito</t>
        </is>
      </c>
      <c r="B134" s="6" t="inlineStr">
        <is>
          <t>E3 Electrodos/articulos de carbono</t>
        </is>
      </c>
      <c r="C134" s="6" t="inlineStr">
        <is>
          <t>El Salvador</t>
        </is>
      </c>
      <c r="D134" s="6" t="n">
        <v>222</v>
      </c>
      <c r="E134" s="6" t="n">
        <v>936623</v>
      </c>
      <c r="F134" s="6" t="n">
        <v>0.0016</v>
      </c>
    </row>
    <row r="135">
      <c r="A135" s="9" t="inlineStr">
        <is>
          <t>grafito</t>
        </is>
      </c>
      <c r="B135" s="9" t="inlineStr">
        <is>
          <t>E3 Electrodos/articulos de carbono</t>
        </is>
      </c>
      <c r="C135" s="9" t="inlineStr">
        <is>
          <t>Belgica</t>
        </is>
      </c>
      <c r="D135" s="9" t="n">
        <v>56</v>
      </c>
      <c r="E135" s="9" t="n">
        <v>716800</v>
      </c>
      <c r="F135" s="9" t="n">
        <v>0.0012</v>
      </c>
    </row>
    <row r="136">
      <c r="A136" s="6" t="inlineStr">
        <is>
          <t>grafito</t>
        </is>
      </c>
      <c r="B136" s="6" t="inlineStr">
        <is>
          <t>E3 Electrodos/articulos de carbono</t>
        </is>
      </c>
      <c r="C136" s="6" t="inlineStr">
        <is>
          <t>Chile</t>
        </is>
      </c>
      <c r="D136" s="6" t="n">
        <v>152</v>
      </c>
      <c r="E136" s="6" t="n">
        <v>637336</v>
      </c>
      <c r="F136" s="6" t="n">
        <v>0.0011</v>
      </c>
    </row>
    <row r="137">
      <c r="A137" s="9" t="inlineStr">
        <is>
          <t>grafito</t>
        </is>
      </c>
      <c r="B137" s="9" t="inlineStr">
        <is>
          <t>E3 Electrodos/articulos de carbono</t>
        </is>
      </c>
      <c r="C137" s="9" t="inlineStr">
        <is>
          <t>socio_218</t>
        </is>
      </c>
      <c r="D137" s="9" t="n">
        <v>218</v>
      </c>
      <c r="E137" s="9" t="n">
        <v>578551</v>
      </c>
      <c r="F137" s="9" t="n">
        <v>0.001</v>
      </c>
    </row>
    <row r="138">
      <c r="A138" s="6" t="inlineStr">
        <is>
          <t>grafito</t>
        </is>
      </c>
      <c r="B138" s="6" t="inlineStr">
        <is>
          <t>E3 Electrodos/articulos de carbono</t>
        </is>
      </c>
      <c r="C138" s="6" t="inlineStr">
        <is>
          <t>socio_340</t>
        </is>
      </c>
      <c r="D138" s="6" t="n">
        <v>340</v>
      </c>
      <c r="E138" s="6" t="n">
        <v>538700</v>
      </c>
      <c r="F138" s="6" t="n">
        <v>0.0009</v>
      </c>
    </row>
    <row r="139">
      <c r="A139" s="9" t="inlineStr">
        <is>
          <t>grafito</t>
        </is>
      </c>
      <c r="B139" s="9" t="inlineStr">
        <is>
          <t>E3 Electrodos/articulos de carbono</t>
        </is>
      </c>
      <c r="C139" s="9" t="inlineStr">
        <is>
          <t>socio_558</t>
        </is>
      </c>
      <c r="D139" s="9" t="n">
        <v>558</v>
      </c>
      <c r="E139" s="9" t="n">
        <v>424680</v>
      </c>
      <c r="F139" s="9" t="n">
        <v>0.0007</v>
      </c>
    </row>
    <row r="140">
      <c r="A140" s="6" t="inlineStr">
        <is>
          <t>grafito</t>
        </is>
      </c>
      <c r="B140" s="6" t="inlineStr">
        <is>
          <t>E3 Electrodos/articulos de carbono</t>
        </is>
      </c>
      <c r="C140" s="6" t="inlineStr">
        <is>
          <t>socio_188</t>
        </is>
      </c>
      <c r="D140" s="6" t="n">
        <v>188</v>
      </c>
      <c r="E140" s="6" t="n">
        <v>172042</v>
      </c>
      <c r="F140" s="6" t="n">
        <v>0.0003</v>
      </c>
    </row>
    <row r="141">
      <c r="A141" s="9" t="inlineStr">
        <is>
          <t>grafito</t>
        </is>
      </c>
      <c r="B141" s="9" t="inlineStr">
        <is>
          <t>E3 Electrodos/articulos de carbono</t>
        </is>
      </c>
      <c r="C141" s="9" t="inlineStr">
        <is>
          <t>socio_214</t>
        </is>
      </c>
      <c r="D141" s="9" t="n">
        <v>214</v>
      </c>
      <c r="E141" s="9" t="n">
        <v>74957</v>
      </c>
      <c r="F141" s="9" t="n">
        <v>0.0001</v>
      </c>
    </row>
    <row r="142">
      <c r="A142" s="6" t="inlineStr">
        <is>
          <t>grafito</t>
        </is>
      </c>
      <c r="B142" s="6" t="inlineStr">
        <is>
          <t>E3 Electrodos/articulos de carbono</t>
        </is>
      </c>
      <c r="C142" s="6" t="inlineStr">
        <is>
          <t>socio_348</t>
        </is>
      </c>
      <c r="D142" s="6" t="n">
        <v>348</v>
      </c>
      <c r="E142" s="6" t="n">
        <v>72750</v>
      </c>
      <c r="F142" s="6" t="n">
        <v>0.0001</v>
      </c>
    </row>
    <row r="143">
      <c r="A143" s="9" t="inlineStr">
        <is>
          <t>grafito</t>
        </is>
      </c>
      <c r="B143" s="9" t="inlineStr">
        <is>
          <t>E3 Electrodos/articulos de carbono</t>
        </is>
      </c>
      <c r="C143" s="9" t="inlineStr">
        <is>
          <t>socio_192</t>
        </is>
      </c>
      <c r="D143" s="9" t="n">
        <v>192</v>
      </c>
      <c r="E143" s="9" t="n">
        <v>68298</v>
      </c>
      <c r="F143" s="9" t="n">
        <v>0.0001</v>
      </c>
    </row>
    <row r="144">
      <c r="A144" s="6" t="inlineStr">
        <is>
          <t>grafito</t>
        </is>
      </c>
      <c r="B144" s="6" t="inlineStr">
        <is>
          <t>E3 Electrodos/articulos de carbono</t>
        </is>
      </c>
      <c r="C144" s="6" t="inlineStr">
        <is>
          <t>Alemania</t>
        </is>
      </c>
      <c r="D144" s="6" t="n">
        <v>276</v>
      </c>
      <c r="E144" s="6" t="n">
        <v>38095</v>
      </c>
      <c r="F144" s="6" t="n">
        <v>0.0001</v>
      </c>
    </row>
    <row r="145">
      <c r="A145" s="9" t="inlineStr">
        <is>
          <t>grafito</t>
        </is>
      </c>
      <c r="B145" s="9" t="inlineStr">
        <is>
          <t>E3 Electrodos/articulos de carbono</t>
        </is>
      </c>
      <c r="C145" s="9" t="inlineStr">
        <is>
          <t>socio_591</t>
        </is>
      </c>
      <c r="D145" s="9" t="n">
        <v>591</v>
      </c>
      <c r="E145" s="9" t="n">
        <v>32721</v>
      </c>
      <c r="F145" s="9" t="n">
        <v>0.0001</v>
      </c>
    </row>
    <row r="146">
      <c r="A146" s="6" t="inlineStr">
        <is>
          <t>grafito</t>
        </is>
      </c>
      <c r="B146" s="6" t="inlineStr">
        <is>
          <t>E3 Electrodos/articulos de carbono</t>
        </is>
      </c>
      <c r="C146" s="6" t="inlineStr">
        <is>
          <t>socio_862</t>
        </is>
      </c>
      <c r="D146" s="6" t="n">
        <v>862</v>
      </c>
      <c r="E146" s="6" t="n">
        <v>29265</v>
      </c>
      <c r="F146" s="6" t="n">
        <v>0</v>
      </c>
    </row>
    <row r="147">
      <c r="A147" s="9" t="inlineStr">
        <is>
          <t>grafito</t>
        </is>
      </c>
      <c r="B147" s="9" t="inlineStr">
        <is>
          <t>E3 Electrodos/articulos de carbono</t>
        </is>
      </c>
      <c r="C147" s="9" t="inlineStr">
        <is>
          <t>Canada</t>
        </is>
      </c>
      <c r="D147" s="9" t="n">
        <v>124</v>
      </c>
      <c r="E147" s="9" t="n">
        <v>23177</v>
      </c>
      <c r="F147" s="9" t="n">
        <v>0</v>
      </c>
    </row>
    <row r="148">
      <c r="A148" s="6" t="inlineStr">
        <is>
          <t>grafito</t>
        </is>
      </c>
      <c r="B148" s="6" t="inlineStr">
        <is>
          <t>E3 Electrodos/articulos de carbono</t>
        </is>
      </c>
      <c r="C148" s="6" t="inlineStr">
        <is>
          <t>socio_388</t>
        </is>
      </c>
      <c r="D148" s="6" t="n">
        <v>388</v>
      </c>
      <c r="E148" s="6" t="n">
        <v>17388</v>
      </c>
      <c r="F148" s="6" t="n">
        <v>0</v>
      </c>
    </row>
    <row r="149">
      <c r="A149" s="9" t="inlineStr">
        <is>
          <t>grafito</t>
        </is>
      </c>
      <c r="B149" s="9" t="inlineStr">
        <is>
          <t>E3 Electrodos/articulos de carbono</t>
        </is>
      </c>
      <c r="C149" s="9" t="inlineStr">
        <is>
          <t>socio_84</t>
        </is>
      </c>
      <c r="D149" s="9" t="n">
        <v>84</v>
      </c>
      <c r="E149" s="9" t="n">
        <v>2283</v>
      </c>
      <c r="F149" s="9" t="n">
        <v>0</v>
      </c>
    </row>
    <row r="150">
      <c r="A150" s="6" t="inlineStr">
        <is>
          <t>grafito</t>
        </is>
      </c>
      <c r="B150" s="6" t="inlineStr">
        <is>
          <t>E3 Electrodos/articulos de carbono</t>
        </is>
      </c>
      <c r="C150" s="6" t="inlineStr">
        <is>
          <t>socio_68</t>
        </is>
      </c>
      <c r="D150" s="6" t="n">
        <v>68</v>
      </c>
      <c r="E150" s="6" t="n">
        <v>1334</v>
      </c>
      <c r="F150" s="6" t="n">
        <v>0</v>
      </c>
    </row>
    <row r="151">
      <c r="A151" s="9" t="inlineStr">
        <is>
          <t>manganeso</t>
        </is>
      </c>
      <c r="B151" s="9" t="inlineStr">
        <is>
          <t>E2 Ferroaleaciones</t>
        </is>
      </c>
      <c r="C151" s="9" t="inlineStr">
        <is>
          <t>Estados Unidos</t>
        </is>
      </c>
      <c r="D151" s="9" t="n">
        <v>842</v>
      </c>
      <c r="E151" s="9" t="n">
        <v>158781624</v>
      </c>
      <c r="F151" s="9" t="n">
        <v>0.9622000000000001</v>
      </c>
    </row>
    <row r="152">
      <c r="A152" s="6" t="inlineStr">
        <is>
          <t>manganeso</t>
        </is>
      </c>
      <c r="B152" s="6" t="inlineStr">
        <is>
          <t>E2 Ferroaleaciones</t>
        </is>
      </c>
      <c r="C152" s="6" t="inlineStr">
        <is>
          <t>Argentina</t>
        </is>
      </c>
      <c r="D152" s="6" t="n">
        <v>32</v>
      </c>
      <c r="E152" s="6" t="n">
        <v>4398036</v>
      </c>
      <c r="F152" s="6" t="n">
        <v>0.0267</v>
      </c>
    </row>
    <row r="153">
      <c r="A153" s="9" t="inlineStr">
        <is>
          <t>manganeso</t>
        </is>
      </c>
      <c r="B153" s="9" t="inlineStr">
        <is>
          <t>E2 Ferroaleaciones</t>
        </is>
      </c>
      <c r="C153" s="9" t="inlineStr">
        <is>
          <t>Colombia</t>
        </is>
      </c>
      <c r="D153" s="9" t="n">
        <v>170</v>
      </c>
      <c r="E153" s="9" t="n">
        <v>1683552</v>
      </c>
      <c r="F153" s="9" t="n">
        <v>0.0102</v>
      </c>
    </row>
    <row r="154">
      <c r="A154" s="6" t="inlineStr">
        <is>
          <t>manganeso</t>
        </is>
      </c>
      <c r="B154" s="6" t="inlineStr">
        <is>
          <t>E2 Ferroaleaciones</t>
        </is>
      </c>
      <c r="C154" s="6" t="inlineStr">
        <is>
          <t>Chile</t>
        </is>
      </c>
      <c r="D154" s="6" t="n">
        <v>152</v>
      </c>
      <c r="E154" s="6" t="n">
        <v>158680</v>
      </c>
      <c r="F154" s="6" t="n">
        <v>0.001</v>
      </c>
    </row>
    <row r="155">
      <c r="A155" s="9" t="inlineStr">
        <is>
          <t>oro</t>
        </is>
      </c>
      <c r="B155" s="9" t="inlineStr">
        <is>
          <t>E1 Mena/concentrado</t>
        </is>
      </c>
      <c r="C155" s="9" t="inlineStr">
        <is>
          <t>China</t>
        </is>
      </c>
      <c r="D155" s="9" t="n">
        <v>156</v>
      </c>
      <c r="E155" s="9" t="n">
        <v>482613991</v>
      </c>
      <c r="F155" s="9" t="n">
        <v>0.5714</v>
      </c>
    </row>
    <row r="156">
      <c r="A156" s="6" t="inlineStr">
        <is>
          <t>oro</t>
        </is>
      </c>
      <c r="B156" s="6" t="inlineStr">
        <is>
          <t>E1 Mena/concentrado</t>
        </is>
      </c>
      <c r="C156" s="6" t="inlineStr">
        <is>
          <t>Corea del Sur</t>
        </is>
      </c>
      <c r="D156" s="6" t="n">
        <v>410</v>
      </c>
      <c r="E156" s="6" t="n">
        <v>212474100</v>
      </c>
      <c r="F156" s="6" t="n">
        <v>0.2515</v>
      </c>
    </row>
    <row r="157">
      <c r="A157" s="9" t="inlineStr">
        <is>
          <t>oro</t>
        </is>
      </c>
      <c r="B157" s="9" t="inlineStr">
        <is>
          <t>E1 Mena/concentrado</t>
        </is>
      </c>
      <c r="C157" s="9" t="inlineStr">
        <is>
          <t>Alemania</t>
        </is>
      </c>
      <c r="D157" s="9" t="n">
        <v>276</v>
      </c>
      <c r="E157" s="9" t="n">
        <v>123717326</v>
      </c>
      <c r="F157" s="9" t="n">
        <v>0.1465</v>
      </c>
    </row>
    <row r="158">
      <c r="A158" s="6" t="inlineStr">
        <is>
          <t>oro</t>
        </is>
      </c>
      <c r="B158" s="6" t="inlineStr">
        <is>
          <t>E1 Mena/concentrado</t>
        </is>
      </c>
      <c r="C158" s="6" t="inlineStr">
        <is>
          <t>socio_100</t>
        </is>
      </c>
      <c r="D158" s="6" t="n">
        <v>100</v>
      </c>
      <c r="E158" s="6" t="n">
        <v>22056246</v>
      </c>
      <c r="F158" s="6" t="n">
        <v>0.0261</v>
      </c>
    </row>
    <row r="159">
      <c r="A159" s="9" t="inlineStr">
        <is>
          <t>oro</t>
        </is>
      </c>
      <c r="B159" s="9" t="inlineStr">
        <is>
          <t>E1 Mena/concentrado</t>
        </is>
      </c>
      <c r="C159" s="9" t="inlineStr">
        <is>
          <t>Belgica</t>
        </is>
      </c>
      <c r="D159" s="9" t="n">
        <v>56</v>
      </c>
      <c r="E159" s="9" t="n">
        <v>3825173</v>
      </c>
      <c r="F159" s="9" t="n">
        <v>0.0045</v>
      </c>
    </row>
    <row r="160">
      <c r="A160" s="6" t="inlineStr">
        <is>
          <t>oro</t>
        </is>
      </c>
      <c r="B160" s="6" t="inlineStr">
        <is>
          <t>E2 Bruto/semilabrado</t>
        </is>
      </c>
      <c r="C160" s="6" t="inlineStr">
        <is>
          <t>Estados Unidos</t>
        </is>
      </c>
      <c r="D160" s="6" t="n">
        <v>842</v>
      </c>
      <c r="E160" s="6" t="n">
        <v>18640597676</v>
      </c>
      <c r="F160" s="6" t="n">
        <v>0.7891</v>
      </c>
    </row>
    <row r="161">
      <c r="A161" s="9" t="inlineStr">
        <is>
          <t>oro</t>
        </is>
      </c>
      <c r="B161" s="9" t="inlineStr">
        <is>
          <t>E2 Bruto/semilabrado</t>
        </is>
      </c>
      <c r="C161" s="9" t="inlineStr">
        <is>
          <t>Suiza</t>
        </is>
      </c>
      <c r="D161" s="9" t="n">
        <v>757</v>
      </c>
      <c r="E161" s="9" t="n">
        <v>4706198947</v>
      </c>
      <c r="F161" s="9" t="n">
        <v>0.1992</v>
      </c>
    </row>
    <row r="162">
      <c r="A162" s="6" t="inlineStr">
        <is>
          <t>oro</t>
        </is>
      </c>
      <c r="B162" s="6" t="inlineStr">
        <is>
          <t>E2 Bruto/semilabrado</t>
        </is>
      </c>
      <c r="C162" s="6" t="inlineStr">
        <is>
          <t>Canada</t>
        </is>
      </c>
      <c r="D162" s="6" t="n">
        <v>124</v>
      </c>
      <c r="E162" s="6" t="n">
        <v>142216398</v>
      </c>
      <c r="F162" s="6" t="n">
        <v>0.006</v>
      </c>
    </row>
    <row r="163">
      <c r="A163" s="9" t="inlineStr">
        <is>
          <t>oro</t>
        </is>
      </c>
      <c r="B163" s="9" t="inlineStr">
        <is>
          <t>E2 Bruto/semilabrado</t>
        </is>
      </c>
      <c r="C163" s="9" t="inlineStr">
        <is>
          <t>Italia</t>
        </is>
      </c>
      <c r="D163" s="9" t="n">
        <v>380</v>
      </c>
      <c r="E163" s="9" t="n">
        <v>106333253</v>
      </c>
      <c r="F163" s="9" t="n">
        <v>0.0045</v>
      </c>
    </row>
    <row r="164">
      <c r="A164" s="6" t="inlineStr">
        <is>
          <t>oro</t>
        </is>
      </c>
      <c r="B164" s="6" t="inlineStr">
        <is>
          <t>E2 Bruto/semilabrado</t>
        </is>
      </c>
      <c r="C164" s="6" t="inlineStr">
        <is>
          <t>Turquia</t>
        </is>
      </c>
      <c r="D164" s="6" t="n">
        <v>792</v>
      </c>
      <c r="E164" s="6" t="n">
        <v>25910551</v>
      </c>
      <c r="F164" s="6" t="n">
        <v>0.0011</v>
      </c>
    </row>
    <row r="165">
      <c r="A165" s="9" t="inlineStr">
        <is>
          <t>oro-plata (manufacturas)</t>
        </is>
      </c>
      <c r="B165" s="9" t="inlineStr">
        <is>
          <t>E4 Joyeria/orfebreria</t>
        </is>
      </c>
      <c r="C165" s="9" t="inlineStr">
        <is>
          <t>Estados Unidos</t>
        </is>
      </c>
      <c r="D165" s="9" t="n">
        <v>842</v>
      </c>
      <c r="E165" s="9" t="n">
        <v>2335935876</v>
      </c>
      <c r="F165" s="9" t="n">
        <v>0.9004</v>
      </c>
    </row>
    <row r="166">
      <c r="A166" s="6" t="inlineStr">
        <is>
          <t>oro-plata (manufacturas)</t>
        </is>
      </c>
      <c r="B166" s="6" t="inlineStr">
        <is>
          <t>E4 Joyeria/orfebreria</t>
        </is>
      </c>
      <c r="C166" s="6" t="inlineStr">
        <is>
          <t>Canada</t>
        </is>
      </c>
      <c r="D166" s="6" t="n">
        <v>124</v>
      </c>
      <c r="E166" s="6" t="n">
        <v>127104071</v>
      </c>
      <c r="F166" s="6" t="n">
        <v>0.049</v>
      </c>
    </row>
    <row r="167">
      <c r="A167" s="9" t="inlineStr">
        <is>
          <t>oro-plata (manufacturas)</t>
        </is>
      </c>
      <c r="B167" s="9" t="inlineStr">
        <is>
          <t>E4 Joyeria/orfebreria</t>
        </is>
      </c>
      <c r="C167" s="9" t="inlineStr">
        <is>
          <t>Reino Unido</t>
        </is>
      </c>
      <c r="D167" s="9" t="n">
        <v>826</v>
      </c>
      <c r="E167" s="9" t="n">
        <v>68158396</v>
      </c>
      <c r="F167" s="9" t="n">
        <v>0.0263</v>
      </c>
    </row>
    <row r="168">
      <c r="A168" s="6" t="inlineStr">
        <is>
          <t>oro-plata (manufacturas)</t>
        </is>
      </c>
      <c r="B168" s="6" t="inlineStr">
        <is>
          <t>E4 Joyeria/orfebreria</t>
        </is>
      </c>
      <c r="C168" s="6" t="inlineStr">
        <is>
          <t>socio_251</t>
        </is>
      </c>
      <c r="D168" s="6" t="n">
        <v>251</v>
      </c>
      <c r="E168" s="6" t="n">
        <v>10396041</v>
      </c>
      <c r="F168" s="6" t="n">
        <v>0.004</v>
      </c>
    </row>
    <row r="169">
      <c r="A169" s="9" t="inlineStr">
        <is>
          <t>oro-plata (manufacturas)</t>
        </is>
      </c>
      <c r="B169" s="9" t="inlineStr">
        <is>
          <t>E4 Joyeria/orfebreria</t>
        </is>
      </c>
      <c r="C169" s="9" t="inlineStr">
        <is>
          <t>Suiza</t>
        </is>
      </c>
      <c r="D169" s="9" t="n">
        <v>757</v>
      </c>
      <c r="E169" s="9" t="n">
        <v>9189124</v>
      </c>
      <c r="F169" s="9" t="n">
        <v>0.0035</v>
      </c>
    </row>
    <row r="170">
      <c r="A170" s="6" t="inlineStr">
        <is>
          <t>oro-plata (manufacturas)</t>
        </is>
      </c>
      <c r="B170" s="6" t="inlineStr">
        <is>
          <t>E4 Joyeria/orfebreria</t>
        </is>
      </c>
      <c r="C170" s="6" t="inlineStr">
        <is>
          <t>Guatemala</t>
        </is>
      </c>
      <c r="D170" s="6" t="n">
        <v>320</v>
      </c>
      <c r="E170" s="6" t="n">
        <v>7290455</v>
      </c>
      <c r="F170" s="6" t="n">
        <v>0.0028</v>
      </c>
    </row>
    <row r="171">
      <c r="A171" s="9" t="inlineStr">
        <is>
          <t>oro-plata (manufacturas)</t>
        </is>
      </c>
      <c r="B171" s="9" t="inlineStr">
        <is>
          <t>E4 Joyeria/orfebreria</t>
        </is>
      </c>
      <c r="C171" s="9" t="inlineStr">
        <is>
          <t>socio_591</t>
        </is>
      </c>
      <c r="D171" s="9" t="n">
        <v>591</v>
      </c>
      <c r="E171" s="9" t="n">
        <v>6302170</v>
      </c>
      <c r="F171" s="9" t="n">
        <v>0.0024</v>
      </c>
    </row>
    <row r="172">
      <c r="A172" s="6" t="inlineStr">
        <is>
          <t>oro-plata (manufacturas)</t>
        </is>
      </c>
      <c r="B172" s="6" t="inlineStr">
        <is>
          <t>E4 Joyeria/orfebreria</t>
        </is>
      </c>
      <c r="C172" s="6" t="inlineStr">
        <is>
          <t>Espana</t>
        </is>
      </c>
      <c r="D172" s="6" t="n">
        <v>724</v>
      </c>
      <c r="E172" s="6" t="n">
        <v>6171258</v>
      </c>
      <c r="F172" s="6" t="n">
        <v>0.0024</v>
      </c>
    </row>
    <row r="173">
      <c r="A173" s="9" t="inlineStr">
        <is>
          <t>oro-plata (manufacturas)</t>
        </is>
      </c>
      <c r="B173" s="9" t="inlineStr">
        <is>
          <t>E4 Joyeria/orfebreria</t>
        </is>
      </c>
      <c r="C173" s="9" t="inlineStr">
        <is>
          <t>Italia</t>
        </is>
      </c>
      <c r="D173" s="9" t="n">
        <v>380</v>
      </c>
      <c r="E173" s="9" t="n">
        <v>5459026</v>
      </c>
      <c r="F173" s="9" t="n">
        <v>0.0021</v>
      </c>
    </row>
    <row r="174">
      <c r="A174" s="6" t="inlineStr">
        <is>
          <t>oro-plata (manufacturas)</t>
        </is>
      </c>
      <c r="B174" s="6" t="inlineStr">
        <is>
          <t>E4 Joyeria/orfebreria</t>
        </is>
      </c>
      <c r="C174" s="6" t="inlineStr">
        <is>
          <t>Australia</t>
        </is>
      </c>
      <c r="D174" s="6" t="n">
        <v>36</v>
      </c>
      <c r="E174" s="6" t="n">
        <v>4254801</v>
      </c>
      <c r="F174" s="6" t="n">
        <v>0.0016</v>
      </c>
    </row>
    <row r="175">
      <c r="A175" s="9" t="inlineStr">
        <is>
          <t>oro-plata (manufacturas)</t>
        </is>
      </c>
      <c r="B175" s="9" t="inlineStr">
        <is>
          <t>E4 Joyeria/orfebreria</t>
        </is>
      </c>
      <c r="C175" s="9" t="inlineStr">
        <is>
          <t>Colombia</t>
        </is>
      </c>
      <c r="D175" s="9" t="n">
        <v>170</v>
      </c>
      <c r="E175" s="9" t="n">
        <v>3321444</v>
      </c>
      <c r="F175" s="9" t="n">
        <v>0.0013</v>
      </c>
    </row>
    <row r="176">
      <c r="A176" s="6" t="inlineStr">
        <is>
          <t>oro-plata (manufacturas)</t>
        </is>
      </c>
      <c r="B176" s="6" t="inlineStr">
        <is>
          <t>E4 Joyeria/orfebreria</t>
        </is>
      </c>
      <c r="C176" s="6" t="inlineStr">
        <is>
          <t>Alemania</t>
        </is>
      </c>
      <c r="D176" s="6" t="n">
        <v>276</v>
      </c>
      <c r="E176" s="6" t="n">
        <v>2089421</v>
      </c>
      <c r="F176" s="6" t="n">
        <v>0.0008</v>
      </c>
    </row>
    <row r="177">
      <c r="A177" s="9" t="inlineStr">
        <is>
          <t>oro-plata (manufacturas)</t>
        </is>
      </c>
      <c r="B177" s="9" t="inlineStr">
        <is>
          <t>E4 Joyeria/orfebreria</t>
        </is>
      </c>
      <c r="C177" s="9" t="inlineStr">
        <is>
          <t>Chile</t>
        </is>
      </c>
      <c r="D177" s="9" t="n">
        <v>152</v>
      </c>
      <c r="E177" s="9" t="n">
        <v>1585718</v>
      </c>
      <c r="F177" s="9" t="n">
        <v>0.0005999999999999999</v>
      </c>
    </row>
    <row r="178">
      <c r="A178" s="6" t="inlineStr">
        <is>
          <t>oro-plata (manufacturas)</t>
        </is>
      </c>
      <c r="B178" s="6" t="inlineStr">
        <is>
          <t>E4 Joyeria/orfebreria</t>
        </is>
      </c>
      <c r="C178" s="6" t="inlineStr">
        <is>
          <t>Japon</t>
        </is>
      </c>
      <c r="D178" s="6" t="n">
        <v>392</v>
      </c>
      <c r="E178" s="6" t="n">
        <v>1331530</v>
      </c>
      <c r="F178" s="6" t="n">
        <v>0.0005</v>
      </c>
    </row>
    <row r="179">
      <c r="A179" s="9" t="inlineStr">
        <is>
          <t>oro-plata (manufacturas)</t>
        </is>
      </c>
      <c r="B179" s="9" t="inlineStr">
        <is>
          <t>E4 Joyeria/orfebreria</t>
        </is>
      </c>
      <c r="C179" s="9" t="inlineStr">
        <is>
          <t>El Salvador</t>
        </is>
      </c>
      <c r="D179" s="9" t="n">
        <v>222</v>
      </c>
      <c r="E179" s="9" t="n">
        <v>899676</v>
      </c>
      <c r="F179" s="9" t="n">
        <v>0.0003</v>
      </c>
    </row>
    <row r="180">
      <c r="A180" s="6" t="inlineStr">
        <is>
          <t>oro-plata (manufacturas)</t>
        </is>
      </c>
      <c r="B180" s="6" t="inlineStr">
        <is>
          <t>E4 Joyeria/orfebreria</t>
        </is>
      </c>
      <c r="C180" s="6" t="inlineStr">
        <is>
          <t>socio_899</t>
        </is>
      </c>
      <c r="D180" s="6" t="n">
        <v>899</v>
      </c>
      <c r="E180" s="6" t="n">
        <v>869254</v>
      </c>
      <c r="F180" s="6" t="n">
        <v>0.0003</v>
      </c>
    </row>
    <row r="181">
      <c r="A181" s="9" t="inlineStr">
        <is>
          <t>oro-plata (manufacturas)</t>
        </is>
      </c>
      <c r="B181" s="9" t="inlineStr">
        <is>
          <t>E4 Joyeria/orfebreria</t>
        </is>
      </c>
      <c r="C181" s="9" t="inlineStr">
        <is>
          <t>Hong Kong</t>
        </is>
      </c>
      <c r="D181" s="9" t="n">
        <v>344</v>
      </c>
      <c r="E181" s="9" t="n">
        <v>861490</v>
      </c>
      <c r="F181" s="9" t="n">
        <v>0.0003</v>
      </c>
    </row>
    <row r="182">
      <c r="A182" s="6" t="inlineStr">
        <is>
          <t>oro-plata (manufacturas)</t>
        </is>
      </c>
      <c r="B182" s="6" t="inlineStr">
        <is>
          <t>E4 Joyeria/orfebreria</t>
        </is>
      </c>
      <c r="C182" s="6" t="inlineStr">
        <is>
          <t>socio_218</t>
        </is>
      </c>
      <c r="D182" s="6" t="n">
        <v>218</v>
      </c>
      <c r="E182" s="6" t="n">
        <v>708696</v>
      </c>
      <c r="F182" s="6" t="n">
        <v>0.0003</v>
      </c>
    </row>
    <row r="183">
      <c r="A183" s="9" t="inlineStr">
        <is>
          <t>oro-plata (manufacturas)</t>
        </is>
      </c>
      <c r="B183" s="9" t="inlineStr">
        <is>
          <t>E4 Joyeria/orfebreria</t>
        </is>
      </c>
      <c r="C183" s="9" t="inlineStr">
        <is>
          <t>socio_340</t>
        </is>
      </c>
      <c r="D183" s="9" t="n">
        <v>340</v>
      </c>
      <c r="E183" s="9" t="n">
        <v>684014</v>
      </c>
      <c r="F183" s="9" t="n">
        <v>0.0003</v>
      </c>
    </row>
    <row r="184">
      <c r="A184" s="6" t="inlineStr">
        <is>
          <t>oro-plata (manufacturas)</t>
        </is>
      </c>
      <c r="B184" s="6" t="inlineStr">
        <is>
          <t>E4 Joyeria/orfebreria</t>
        </is>
      </c>
      <c r="C184" s="6" t="inlineStr">
        <is>
          <t>socio_796</t>
        </is>
      </c>
      <c r="D184" s="6" t="n">
        <v>796</v>
      </c>
      <c r="E184" s="6" t="n">
        <v>583180</v>
      </c>
      <c r="F184" s="6" t="n">
        <v>0.0002</v>
      </c>
    </row>
    <row r="185">
      <c r="A185" s="9" t="inlineStr">
        <is>
          <t>oro-plata (manufacturas)</t>
        </is>
      </c>
      <c r="B185" s="9" t="inlineStr">
        <is>
          <t>E4 Joyeria/orfebreria</t>
        </is>
      </c>
      <c r="C185" s="9" t="inlineStr">
        <is>
          <t>socio_188</t>
        </is>
      </c>
      <c r="D185" s="9" t="n">
        <v>188</v>
      </c>
      <c r="E185" s="9" t="n">
        <v>411437</v>
      </c>
      <c r="F185" s="9" t="n">
        <v>0.0002</v>
      </c>
    </row>
    <row r="186">
      <c r="A186" s="6" t="inlineStr">
        <is>
          <t>oro-plata (manufacturas)</t>
        </is>
      </c>
      <c r="B186" s="6" t="inlineStr">
        <is>
          <t>E4 Joyeria/orfebreria</t>
        </is>
      </c>
      <c r="C186" s="6" t="inlineStr">
        <is>
          <t>socio_68</t>
        </is>
      </c>
      <c r="D186" s="6" t="n">
        <v>68</v>
      </c>
      <c r="E186" s="6" t="n">
        <v>168547</v>
      </c>
      <c r="F186" s="6" t="n">
        <v>0.0001</v>
      </c>
    </row>
    <row r="187">
      <c r="A187" s="9" t="inlineStr">
        <is>
          <t>oro-plata (manufacturas)</t>
        </is>
      </c>
      <c r="B187" s="9" t="inlineStr">
        <is>
          <t>E4 Joyeria/orfebreria</t>
        </is>
      </c>
      <c r="C187" s="9" t="inlineStr">
        <is>
          <t>Paises Bajos</t>
        </is>
      </c>
      <c r="D187" s="9" t="n">
        <v>528</v>
      </c>
      <c r="E187" s="9" t="n">
        <v>167303</v>
      </c>
      <c r="F187" s="9" t="n">
        <v>0.0001</v>
      </c>
    </row>
    <row r="188">
      <c r="A188" s="6" t="inlineStr">
        <is>
          <t>oro-plata (manufacturas)</t>
        </is>
      </c>
      <c r="B188" s="6" t="inlineStr">
        <is>
          <t>E4 Joyeria/orfebreria</t>
        </is>
      </c>
      <c r="C188" s="6" t="inlineStr">
        <is>
          <t>socio_214</t>
        </is>
      </c>
      <c r="D188" s="6" t="n">
        <v>214</v>
      </c>
      <c r="E188" s="6" t="n">
        <v>113666</v>
      </c>
      <c r="F188" s="6" t="n">
        <v>0</v>
      </c>
    </row>
    <row r="189">
      <c r="A189" s="9" t="inlineStr">
        <is>
          <t>oro-plata (manufacturas)</t>
        </is>
      </c>
      <c r="B189" s="9" t="inlineStr">
        <is>
          <t>E4 Joyeria/orfebreria</t>
        </is>
      </c>
      <c r="C189" s="9" t="inlineStr">
        <is>
          <t>Nueva Zelanda</t>
        </is>
      </c>
      <c r="D189" s="9" t="n">
        <v>554</v>
      </c>
      <c r="E189" s="9" t="n">
        <v>81880</v>
      </c>
      <c r="F189" s="9" t="n">
        <v>0</v>
      </c>
    </row>
    <row r="190">
      <c r="A190" s="6" t="inlineStr">
        <is>
          <t>oro-plata (manufacturas)</t>
        </is>
      </c>
      <c r="B190" s="6" t="inlineStr">
        <is>
          <t>E4 Joyeria/orfebreria</t>
        </is>
      </c>
      <c r="C190" s="6" t="inlineStr">
        <is>
          <t>socio_752</t>
        </is>
      </c>
      <c r="D190" s="6" t="n">
        <v>752</v>
      </c>
      <c r="E190" s="6" t="n">
        <v>61137</v>
      </c>
      <c r="F190" s="6" t="n">
        <v>0</v>
      </c>
    </row>
    <row r="191">
      <c r="A191" s="9" t="inlineStr">
        <is>
          <t>oro-plata (manufacturas)</t>
        </is>
      </c>
      <c r="B191" s="9" t="inlineStr">
        <is>
          <t>E4 Joyeria/orfebreria</t>
        </is>
      </c>
      <c r="C191" s="9" t="inlineStr">
        <is>
          <t>socio_490</t>
        </is>
      </c>
      <c r="D191" s="9" t="n">
        <v>490</v>
      </c>
      <c r="E191" s="9" t="n">
        <v>21676</v>
      </c>
      <c r="F191" s="9" t="n">
        <v>0</v>
      </c>
    </row>
    <row r="192">
      <c r="A192" s="6" t="inlineStr">
        <is>
          <t>oro-plata (manufacturas)</t>
        </is>
      </c>
      <c r="B192" s="6" t="inlineStr">
        <is>
          <t>E4 Joyeria/orfebreria</t>
        </is>
      </c>
      <c r="C192" s="6" t="inlineStr">
        <is>
          <t>socio_372</t>
        </is>
      </c>
      <c r="D192" s="6" t="n">
        <v>372</v>
      </c>
      <c r="E192" s="6" t="n">
        <v>11811</v>
      </c>
      <c r="F192" s="6" t="n">
        <v>0</v>
      </c>
    </row>
    <row r="193">
      <c r="A193" s="9" t="inlineStr">
        <is>
          <t>plata</t>
        </is>
      </c>
      <c r="B193" s="9" t="inlineStr">
        <is>
          <t>E1 Mena/concentrado</t>
        </is>
      </c>
      <c r="C193" s="9" t="inlineStr">
        <is>
          <t>Corea del Sur</t>
        </is>
      </c>
      <c r="D193" s="9" t="n">
        <v>410</v>
      </c>
      <c r="E193" s="9" t="n">
        <v>250721122</v>
      </c>
      <c r="F193" s="9" t="n">
        <v>0.397</v>
      </c>
    </row>
    <row r="194">
      <c r="A194" s="6" t="inlineStr">
        <is>
          <t>plata</t>
        </is>
      </c>
      <c r="B194" s="6" t="inlineStr">
        <is>
          <t>E1 Mena/concentrado</t>
        </is>
      </c>
      <c r="C194" s="6" t="inlineStr">
        <is>
          <t>Alemania</t>
        </is>
      </c>
      <c r="D194" s="6" t="n">
        <v>276</v>
      </c>
      <c r="E194" s="6" t="n">
        <v>207746456</v>
      </c>
      <c r="F194" s="6" t="n">
        <v>0.329</v>
      </c>
    </row>
    <row r="195">
      <c r="A195" s="9" t="inlineStr">
        <is>
          <t>plata</t>
        </is>
      </c>
      <c r="B195" s="9" t="inlineStr">
        <is>
          <t>E1 Mena/concentrado</t>
        </is>
      </c>
      <c r="C195" s="9" t="inlineStr">
        <is>
          <t>China</t>
        </is>
      </c>
      <c r="D195" s="9" t="n">
        <v>156</v>
      </c>
      <c r="E195" s="9" t="n">
        <v>90075414</v>
      </c>
      <c r="F195" s="9" t="n">
        <v>0.1426</v>
      </c>
    </row>
    <row r="196">
      <c r="A196" s="6" t="inlineStr">
        <is>
          <t>plata</t>
        </is>
      </c>
      <c r="B196" s="6" t="inlineStr">
        <is>
          <t>E1 Mena/concentrado</t>
        </is>
      </c>
      <c r="C196" s="6" t="inlineStr">
        <is>
          <t>socio_100</t>
        </is>
      </c>
      <c r="D196" s="6" t="n">
        <v>100</v>
      </c>
      <c r="E196" s="6" t="n">
        <v>51727641</v>
      </c>
      <c r="F196" s="6" t="n">
        <v>0.0819</v>
      </c>
    </row>
    <row r="197">
      <c r="A197" s="9" t="inlineStr">
        <is>
          <t>plata</t>
        </is>
      </c>
      <c r="B197" s="9" t="inlineStr">
        <is>
          <t>E1 Mena/concentrado</t>
        </is>
      </c>
      <c r="C197" s="9" t="inlineStr">
        <is>
          <t>Canada</t>
        </is>
      </c>
      <c r="D197" s="9" t="n">
        <v>124</v>
      </c>
      <c r="E197" s="9" t="n">
        <v>15998822</v>
      </c>
      <c r="F197" s="9" t="n">
        <v>0.0253</v>
      </c>
    </row>
    <row r="198">
      <c r="A198" s="6" t="inlineStr">
        <is>
          <t>plata</t>
        </is>
      </c>
      <c r="B198" s="6" t="inlineStr">
        <is>
          <t>E1 Mena/concentrado</t>
        </is>
      </c>
      <c r="C198" s="6" t="inlineStr">
        <is>
          <t>Estados Unidos</t>
        </is>
      </c>
      <c r="D198" s="6" t="n">
        <v>842</v>
      </c>
      <c r="E198" s="6" t="n">
        <v>12537974</v>
      </c>
      <c r="F198" s="6" t="n">
        <v>0.0199</v>
      </c>
    </row>
    <row r="199">
      <c r="A199" s="9" t="inlineStr">
        <is>
          <t>plata</t>
        </is>
      </c>
      <c r="B199" s="9" t="inlineStr">
        <is>
          <t>E1 Mena/concentrado</t>
        </is>
      </c>
      <c r="C199" s="9" t="inlineStr">
        <is>
          <t>Malasia</t>
        </is>
      </c>
      <c r="D199" s="9" t="n">
        <v>458</v>
      </c>
      <c r="E199" s="9" t="n">
        <v>2657793</v>
      </c>
      <c r="F199" s="9" t="n">
        <v>0.0042</v>
      </c>
    </row>
    <row r="200">
      <c r="A200" s="6" t="inlineStr">
        <is>
          <t>plata</t>
        </is>
      </c>
      <c r="B200" s="6" t="inlineStr">
        <is>
          <t>E2 Bruto/semilabrado</t>
        </is>
      </c>
      <c r="C200" s="6" t="inlineStr">
        <is>
          <t>Estados Unidos</t>
        </is>
      </c>
      <c r="D200" s="6" t="n">
        <v>842</v>
      </c>
      <c r="E200" s="6" t="n">
        <v>15741522514</v>
      </c>
      <c r="F200" s="6" t="n">
        <v>0.9826</v>
      </c>
    </row>
    <row r="201">
      <c r="A201" s="9" t="inlineStr">
        <is>
          <t>plata</t>
        </is>
      </c>
      <c r="B201" s="9" t="inlineStr">
        <is>
          <t>E2 Bruto/semilabrado</t>
        </is>
      </c>
      <c r="C201" s="9" t="inlineStr">
        <is>
          <t>Suiza</t>
        </is>
      </c>
      <c r="D201" s="9" t="n">
        <v>757</v>
      </c>
      <c r="E201" s="9" t="n">
        <v>258233156</v>
      </c>
      <c r="F201" s="9" t="n">
        <v>0.0161</v>
      </c>
    </row>
    <row r="202">
      <c r="A202" s="6" t="inlineStr">
        <is>
          <t>plata</t>
        </is>
      </c>
      <c r="B202" s="6" t="inlineStr">
        <is>
          <t>E2 Bruto/semilabrado</t>
        </is>
      </c>
      <c r="C202" s="6" t="inlineStr">
        <is>
          <t>Brasil</t>
        </is>
      </c>
      <c r="D202" s="6" t="n">
        <v>76</v>
      </c>
      <c r="E202" s="6" t="n">
        <v>9483028</v>
      </c>
      <c r="F202" s="6" t="n">
        <v>0.0005999999999999999</v>
      </c>
    </row>
    <row r="203">
      <c r="A203" s="9" t="inlineStr">
        <is>
          <t>plata</t>
        </is>
      </c>
      <c r="B203" s="9" t="inlineStr">
        <is>
          <t>E2 Bruto/semilabrado</t>
        </is>
      </c>
      <c r="C203" s="9" t="inlineStr">
        <is>
          <t>Canada</t>
        </is>
      </c>
      <c r="D203" s="9" t="n">
        <v>124</v>
      </c>
      <c r="E203" s="9" t="n">
        <v>9296296</v>
      </c>
      <c r="F203" s="9" t="n">
        <v>0.0005999999999999999</v>
      </c>
    </row>
    <row r="204">
      <c r="A204" s="6" t="inlineStr">
        <is>
          <t>plata</t>
        </is>
      </c>
      <c r="B204" s="6" t="inlineStr">
        <is>
          <t>E2 Bruto/semilabrado</t>
        </is>
      </c>
      <c r="C204" s="6" t="inlineStr">
        <is>
          <t>Italia</t>
        </is>
      </c>
      <c r="D204" s="6" t="n">
        <v>380</v>
      </c>
      <c r="E204" s="6" t="n">
        <v>1205544</v>
      </c>
      <c r="F204" s="6" t="n">
        <v>0.0001</v>
      </c>
    </row>
    <row r="205">
      <c r="A205" s="9" t="inlineStr">
        <is>
          <t>plata</t>
        </is>
      </c>
      <c r="B205" s="9" t="inlineStr">
        <is>
          <t>E2 Bruto/semilabrado</t>
        </is>
      </c>
      <c r="C205" s="9" t="inlineStr">
        <is>
          <t>socio_699</t>
        </is>
      </c>
      <c r="D205" s="9" t="n">
        <v>699</v>
      </c>
      <c r="E205" s="9" t="n">
        <v>344901</v>
      </c>
      <c r="F205" s="9" t="n">
        <v>0</v>
      </c>
    </row>
    <row r="206">
      <c r="A206" s="6" t="inlineStr">
        <is>
          <t>plata</t>
        </is>
      </c>
      <c r="B206" s="6" t="inlineStr">
        <is>
          <t>E2 Bruto/semilabrado</t>
        </is>
      </c>
      <c r="C206" s="6" t="inlineStr">
        <is>
          <t>socio_192</t>
        </is>
      </c>
      <c r="D206" s="6" t="n">
        <v>192</v>
      </c>
      <c r="E206" s="6" t="n">
        <v>36998</v>
      </c>
      <c r="F206" s="6" t="n">
        <v>0</v>
      </c>
    </row>
    <row r="207">
      <c r="A207" s="9" t="inlineStr">
        <is>
          <t>plata</t>
        </is>
      </c>
      <c r="B207" s="9" t="inlineStr">
        <is>
          <t>E2 Bruto/semilabrado</t>
        </is>
      </c>
      <c r="C207" s="9" t="inlineStr">
        <is>
          <t>El Salvador</t>
        </is>
      </c>
      <c r="D207" s="9" t="n">
        <v>222</v>
      </c>
      <c r="E207" s="9" t="n">
        <v>6097</v>
      </c>
      <c r="F207" s="9" t="n">
        <v>0</v>
      </c>
    </row>
    <row r="208">
      <c r="A208" s="6" t="inlineStr">
        <is>
          <t>plomo</t>
        </is>
      </c>
      <c r="B208" s="6" t="inlineStr">
        <is>
          <t>E1 Mena/concentrado</t>
        </is>
      </c>
      <c r="C208" s="6" t="inlineStr">
        <is>
          <t>China</t>
        </is>
      </c>
      <c r="D208" s="6" t="n">
        <v>156</v>
      </c>
      <c r="E208" s="6" t="n">
        <v>4203071145</v>
      </c>
      <c r="F208" s="6" t="n">
        <v>0.6497000000000001</v>
      </c>
    </row>
    <row r="209">
      <c r="A209" s="9" t="inlineStr">
        <is>
          <t>plomo</t>
        </is>
      </c>
      <c r="B209" s="9" t="inlineStr">
        <is>
          <t>E1 Mena/concentrado</t>
        </is>
      </c>
      <c r="C209" s="9" t="inlineStr">
        <is>
          <t>Corea del Sur</t>
        </is>
      </c>
      <c r="D209" s="9" t="n">
        <v>410</v>
      </c>
      <c r="E209" s="9" t="n">
        <v>1716256104</v>
      </c>
      <c r="F209" s="9" t="n">
        <v>0.2653</v>
      </c>
    </row>
    <row r="210">
      <c r="A210" s="6" t="inlineStr">
        <is>
          <t>plomo</t>
        </is>
      </c>
      <c r="B210" s="6" t="inlineStr">
        <is>
          <t>E1 Mena/concentrado</t>
        </is>
      </c>
      <c r="C210" s="6" t="inlineStr">
        <is>
          <t>Belgica</t>
        </is>
      </c>
      <c r="D210" s="6" t="n">
        <v>56</v>
      </c>
      <c r="E210" s="6" t="n">
        <v>289408608</v>
      </c>
      <c r="F210" s="6" t="n">
        <v>0.0447</v>
      </c>
    </row>
    <row r="211">
      <c r="A211" s="9" t="inlineStr">
        <is>
          <t>plomo</t>
        </is>
      </c>
      <c r="B211" s="9" t="inlineStr">
        <is>
          <t>E1 Mena/concentrado</t>
        </is>
      </c>
      <c r="C211" s="9" t="inlineStr">
        <is>
          <t>Suiza</t>
        </is>
      </c>
      <c r="D211" s="9" t="n">
        <v>757</v>
      </c>
      <c r="E211" s="9" t="n">
        <v>158938853</v>
      </c>
      <c r="F211" s="9" t="n">
        <v>0.0246</v>
      </c>
    </row>
    <row r="212">
      <c r="A212" s="6" t="inlineStr">
        <is>
          <t>plomo</t>
        </is>
      </c>
      <c r="B212" s="6" t="inlineStr">
        <is>
          <t>E1 Mena/concentrado</t>
        </is>
      </c>
      <c r="C212" s="6" t="inlineStr">
        <is>
          <t>Japon</t>
        </is>
      </c>
      <c r="D212" s="6" t="n">
        <v>392</v>
      </c>
      <c r="E212" s="6" t="n">
        <v>101730566</v>
      </c>
      <c r="F212" s="6" t="n">
        <v>0.0157</v>
      </c>
    </row>
    <row r="213">
      <c r="A213" s="9" t="inlineStr">
        <is>
          <t>plomo</t>
        </is>
      </c>
      <c r="B213" s="9" t="inlineStr">
        <is>
          <t>E2 Metal en bruto/refinado</t>
        </is>
      </c>
      <c r="C213" s="9" t="inlineStr">
        <is>
          <t>Estados Unidos</t>
        </is>
      </c>
      <c r="D213" s="9" t="n">
        <v>842</v>
      </c>
      <c r="E213" s="9" t="n">
        <v>718386256</v>
      </c>
      <c r="F213" s="9" t="n">
        <v>0.8393</v>
      </c>
    </row>
    <row r="214">
      <c r="A214" s="6" t="inlineStr">
        <is>
          <t>plomo</t>
        </is>
      </c>
      <c r="B214" s="6" t="inlineStr">
        <is>
          <t>E2 Metal en bruto/refinado</t>
        </is>
      </c>
      <c r="C214" s="6" t="inlineStr">
        <is>
          <t>Brasil</t>
        </is>
      </c>
      <c r="D214" s="6" t="n">
        <v>76</v>
      </c>
      <c r="E214" s="6" t="n">
        <v>111469971</v>
      </c>
      <c r="F214" s="6" t="n">
        <v>0.1302</v>
      </c>
    </row>
    <row r="215">
      <c r="A215" s="9" t="inlineStr">
        <is>
          <t>plomo</t>
        </is>
      </c>
      <c r="B215" s="9" t="inlineStr">
        <is>
          <t>E2 Metal en bruto/refinado</t>
        </is>
      </c>
      <c r="C215" s="9" t="inlineStr">
        <is>
          <t>Corea del Sur</t>
        </is>
      </c>
      <c r="D215" s="9" t="n">
        <v>410</v>
      </c>
      <c r="E215" s="9" t="n">
        <v>16091591</v>
      </c>
      <c r="F215" s="9" t="n">
        <v>0.0188</v>
      </c>
    </row>
    <row r="216">
      <c r="A216" s="6" t="inlineStr">
        <is>
          <t>plomo</t>
        </is>
      </c>
      <c r="B216" s="6" t="inlineStr">
        <is>
          <t>E2 Metal en bruto/refinado</t>
        </is>
      </c>
      <c r="C216" s="6" t="inlineStr">
        <is>
          <t>Suiza</t>
        </is>
      </c>
      <c r="D216" s="6" t="n">
        <v>757</v>
      </c>
      <c r="E216" s="6" t="n">
        <v>4694324</v>
      </c>
      <c r="F216" s="6" t="n">
        <v>0.0055</v>
      </c>
    </row>
    <row r="217">
      <c r="A217" s="9" t="inlineStr">
        <is>
          <t>plomo</t>
        </is>
      </c>
      <c r="B217" s="9" t="inlineStr">
        <is>
          <t>E2 Metal en bruto/refinado</t>
        </is>
      </c>
      <c r="C217" s="9" t="inlineStr">
        <is>
          <t>Singapur</t>
        </is>
      </c>
      <c r="D217" s="9" t="n">
        <v>702</v>
      </c>
      <c r="E217" s="9" t="n">
        <v>2028941</v>
      </c>
      <c r="F217" s="9" t="n">
        <v>0.0024</v>
      </c>
    </row>
    <row r="218">
      <c r="A218" s="6" t="inlineStr">
        <is>
          <t>plomo</t>
        </is>
      </c>
      <c r="B218" s="6" t="inlineStr">
        <is>
          <t>E2 Metal en bruto/refinado</t>
        </is>
      </c>
      <c r="C218" s="6" t="inlineStr">
        <is>
          <t>Japon</t>
        </is>
      </c>
      <c r="D218" s="6" t="n">
        <v>392</v>
      </c>
      <c r="E218" s="6" t="n">
        <v>1619068</v>
      </c>
      <c r="F218" s="6" t="n">
        <v>0.0019</v>
      </c>
    </row>
    <row r="219">
      <c r="A219" s="9" t="inlineStr">
        <is>
          <t>plomo</t>
        </is>
      </c>
      <c r="B219" s="9" t="inlineStr">
        <is>
          <t>E2 Metal en bruto/refinado</t>
        </is>
      </c>
      <c r="C219" s="9" t="inlineStr">
        <is>
          <t>socio_699</t>
        </is>
      </c>
      <c r="D219" s="9" t="n">
        <v>699</v>
      </c>
      <c r="E219" s="9" t="n">
        <v>867175</v>
      </c>
      <c r="F219" s="9" t="n">
        <v>0.001</v>
      </c>
    </row>
    <row r="220">
      <c r="A220" s="6" t="inlineStr">
        <is>
          <t>plomo</t>
        </is>
      </c>
      <c r="B220" s="6" t="inlineStr">
        <is>
          <t>E2 Metal en bruto/refinado</t>
        </is>
      </c>
      <c r="C220" s="6" t="inlineStr">
        <is>
          <t>Belgica</t>
        </is>
      </c>
      <c r="D220" s="6" t="n">
        <v>56</v>
      </c>
      <c r="E220" s="6" t="n">
        <v>491526</v>
      </c>
      <c r="F220" s="6" t="n">
        <v>0.0005999999999999999</v>
      </c>
    </row>
    <row r="221">
      <c r="A221" s="9" t="inlineStr">
        <is>
          <t>plomo</t>
        </is>
      </c>
      <c r="B221" s="9" t="inlineStr">
        <is>
          <t>E2 Metal en bruto/refinado</t>
        </is>
      </c>
      <c r="C221" s="9" t="inlineStr">
        <is>
          <t>Espana</t>
        </is>
      </c>
      <c r="D221" s="9" t="n">
        <v>724</v>
      </c>
      <c r="E221" s="9" t="n">
        <v>265334</v>
      </c>
      <c r="F221" s="9" t="n">
        <v>0.0003</v>
      </c>
    </row>
    <row r="222">
      <c r="A222" s="6" t="inlineStr">
        <is>
          <t>plomo</t>
        </is>
      </c>
      <c r="B222" s="6" t="inlineStr">
        <is>
          <t>E3 Semimanufacturas</t>
        </is>
      </c>
      <c r="C222" s="6" t="inlineStr">
        <is>
          <t>Estados Unidos</t>
        </is>
      </c>
      <c r="D222" s="6" t="n">
        <v>842</v>
      </c>
      <c r="E222" s="6" t="n">
        <v>2722328</v>
      </c>
      <c r="F222" s="6" t="n">
        <v>0.9991</v>
      </c>
    </row>
    <row r="223">
      <c r="A223" s="9" t="inlineStr">
        <is>
          <t>plomo</t>
        </is>
      </c>
      <c r="B223" s="9" t="inlineStr">
        <is>
          <t>E3 Semimanufacturas</t>
        </is>
      </c>
      <c r="C223" s="9" t="inlineStr">
        <is>
          <t>Guatemala</t>
        </is>
      </c>
      <c r="D223" s="9" t="n">
        <v>320</v>
      </c>
      <c r="E223" s="9" t="n">
        <v>2437</v>
      </c>
      <c r="F223" s="9" t="n">
        <v>0.0009</v>
      </c>
    </row>
    <row r="224">
      <c r="A224" s="6" t="inlineStr">
        <is>
          <t>plomo</t>
        </is>
      </c>
      <c r="B224" s="6" t="inlineStr">
        <is>
          <t>E4 Manufacturas</t>
        </is>
      </c>
      <c r="C224" s="6" t="inlineStr">
        <is>
          <t>Estados Unidos</t>
        </is>
      </c>
      <c r="D224" s="6" t="n">
        <v>842</v>
      </c>
      <c r="E224" s="6" t="n">
        <v>5265245</v>
      </c>
      <c r="F224" s="6" t="n">
        <v>0.9329</v>
      </c>
    </row>
    <row r="225">
      <c r="A225" s="9" t="inlineStr">
        <is>
          <t>plomo</t>
        </is>
      </c>
      <c r="B225" s="9" t="inlineStr">
        <is>
          <t>E4 Manufacturas</t>
        </is>
      </c>
      <c r="C225" s="9" t="inlineStr">
        <is>
          <t>Guatemala</t>
        </is>
      </c>
      <c r="D225" s="9" t="n">
        <v>320</v>
      </c>
      <c r="E225" s="9" t="n">
        <v>313627</v>
      </c>
      <c r="F225" s="9" t="n">
        <v>0.0556</v>
      </c>
    </row>
    <row r="226">
      <c r="A226" s="6" t="inlineStr">
        <is>
          <t>plomo</t>
        </is>
      </c>
      <c r="B226" s="6" t="inlineStr">
        <is>
          <t>E4 Manufacturas</t>
        </is>
      </c>
      <c r="C226" s="6" t="inlineStr">
        <is>
          <t>El Salvador</t>
        </is>
      </c>
      <c r="D226" s="6" t="n">
        <v>222</v>
      </c>
      <c r="E226" s="6" t="n">
        <v>65145</v>
      </c>
      <c r="F226" s="6" t="n">
        <v>0.0115</v>
      </c>
    </row>
    <row r="227">
      <c r="A227" s="9" t="inlineStr">
        <is>
          <t>silice</t>
        </is>
      </c>
      <c r="B227" s="9" t="inlineStr">
        <is>
          <t>E1 Arena silica/cuarzo</t>
        </is>
      </c>
      <c r="C227" s="9" t="inlineStr">
        <is>
          <t>Estados Unidos</t>
        </is>
      </c>
      <c r="D227" s="9" t="n">
        <v>842</v>
      </c>
      <c r="E227" s="9" t="n">
        <v>12853664</v>
      </c>
      <c r="F227" s="9" t="n">
        <v>0.9304</v>
      </c>
    </row>
    <row r="228">
      <c r="A228" s="6" t="inlineStr">
        <is>
          <t>silice</t>
        </is>
      </c>
      <c r="B228" s="6" t="inlineStr">
        <is>
          <t>E1 Arena silica/cuarzo</t>
        </is>
      </c>
      <c r="C228" s="6" t="inlineStr">
        <is>
          <t>Guatemala</t>
        </is>
      </c>
      <c r="D228" s="6" t="n">
        <v>320</v>
      </c>
      <c r="E228" s="6" t="n">
        <v>726427</v>
      </c>
      <c r="F228" s="6" t="n">
        <v>0.0526</v>
      </c>
    </row>
    <row r="229">
      <c r="A229" s="9" t="inlineStr">
        <is>
          <t>silice</t>
        </is>
      </c>
      <c r="B229" s="9" t="inlineStr">
        <is>
          <t>E1 Arena silica/cuarzo</t>
        </is>
      </c>
      <c r="C229" s="9" t="inlineStr">
        <is>
          <t>Colombia</t>
        </is>
      </c>
      <c r="D229" s="9" t="n">
        <v>170</v>
      </c>
      <c r="E229" s="9" t="n">
        <v>55680</v>
      </c>
      <c r="F229" s="9" t="n">
        <v>0.004</v>
      </c>
    </row>
    <row r="230">
      <c r="A230" s="6" t="inlineStr">
        <is>
          <t>silice</t>
        </is>
      </c>
      <c r="B230" s="6" t="inlineStr">
        <is>
          <t>E1 Arena silica/cuarzo</t>
        </is>
      </c>
      <c r="C230" s="6" t="inlineStr">
        <is>
          <t>socio_214</t>
        </is>
      </c>
      <c r="D230" s="6" t="n">
        <v>214</v>
      </c>
      <c r="E230" s="6" t="n">
        <v>52403</v>
      </c>
      <c r="F230" s="6" t="n">
        <v>0.0038</v>
      </c>
    </row>
    <row r="231">
      <c r="A231" s="9" t="inlineStr">
        <is>
          <t>silice</t>
        </is>
      </c>
      <c r="B231" s="9" t="inlineStr">
        <is>
          <t>E1 Arena silica/cuarzo</t>
        </is>
      </c>
      <c r="C231" s="9" t="inlineStr">
        <is>
          <t>Chile</t>
        </is>
      </c>
      <c r="D231" s="9" t="n">
        <v>152</v>
      </c>
      <c r="E231" s="9" t="n">
        <v>40921</v>
      </c>
      <c r="F231" s="9" t="n">
        <v>0.003</v>
      </c>
    </row>
    <row r="232">
      <c r="A232" s="6" t="inlineStr">
        <is>
          <t>silice</t>
        </is>
      </c>
      <c r="B232" s="6" t="inlineStr">
        <is>
          <t>E1 Arena silica/cuarzo</t>
        </is>
      </c>
      <c r="C232" s="6" t="inlineStr">
        <is>
          <t>El Salvador</t>
        </is>
      </c>
      <c r="D232" s="6" t="n">
        <v>222</v>
      </c>
      <c r="E232" s="6" t="n">
        <v>40610</v>
      </c>
      <c r="F232" s="6" t="n">
        <v>0.0029</v>
      </c>
    </row>
    <row r="233">
      <c r="A233" s="9" t="inlineStr">
        <is>
          <t>silice</t>
        </is>
      </c>
      <c r="B233" s="9" t="inlineStr">
        <is>
          <t>E1 Arena silica/cuarzo</t>
        </is>
      </c>
      <c r="C233" s="9" t="inlineStr">
        <is>
          <t>Brasil</t>
        </is>
      </c>
      <c r="D233" s="9" t="n">
        <v>76</v>
      </c>
      <c r="E233" s="9" t="n">
        <v>34238</v>
      </c>
      <c r="F233" s="9" t="n">
        <v>0.0025</v>
      </c>
    </row>
    <row r="234">
      <c r="A234" s="6" t="inlineStr">
        <is>
          <t>silice</t>
        </is>
      </c>
      <c r="B234" s="6" t="inlineStr">
        <is>
          <t>E1 Arena silica/cuarzo</t>
        </is>
      </c>
      <c r="C234" s="6" t="inlineStr">
        <is>
          <t>Peru</t>
        </is>
      </c>
      <c r="D234" s="6" t="n">
        <v>604</v>
      </c>
      <c r="E234" s="6" t="n">
        <v>6851</v>
      </c>
      <c r="F234" s="6" t="n">
        <v>0.0005</v>
      </c>
    </row>
    <row r="235">
      <c r="A235" s="9" t="inlineStr">
        <is>
          <t>silice</t>
        </is>
      </c>
      <c r="B235" s="9" t="inlineStr">
        <is>
          <t>E1 Arena silica/cuarzo</t>
        </is>
      </c>
      <c r="C235" s="9" t="inlineStr">
        <is>
          <t>socio_188</t>
        </is>
      </c>
      <c r="D235" s="9" t="n">
        <v>188</v>
      </c>
      <c r="E235" s="9" t="n">
        <v>3303</v>
      </c>
      <c r="F235" s="9" t="n">
        <v>0.0002</v>
      </c>
    </row>
    <row r="236">
      <c r="A236" s="6" t="inlineStr">
        <is>
          <t>silice</t>
        </is>
      </c>
      <c r="B236" s="6" t="inlineStr">
        <is>
          <t>E1 Arena silica/cuarzo</t>
        </is>
      </c>
      <c r="C236" s="6" t="inlineStr">
        <is>
          <t>socio_591</t>
        </is>
      </c>
      <c r="D236" s="6" t="n">
        <v>591</v>
      </c>
      <c r="E236" s="6" t="n">
        <v>1371</v>
      </c>
      <c r="F236" s="6" t="n">
        <v>0.0001</v>
      </c>
    </row>
    <row r="237">
      <c r="A237" s="9" t="inlineStr">
        <is>
          <t>silice</t>
        </is>
      </c>
      <c r="B237" s="9" t="inlineStr">
        <is>
          <t>E1 Arena silica/cuarzo</t>
        </is>
      </c>
      <c r="C237" s="9" t="inlineStr">
        <is>
          <t>Italia</t>
        </is>
      </c>
      <c r="D237" s="9" t="n">
        <v>380</v>
      </c>
      <c r="E237" s="9" t="n">
        <v>164</v>
      </c>
      <c r="F237" s="9" t="n">
        <v>0</v>
      </c>
    </row>
    <row r="238">
      <c r="A238" s="6" t="inlineStr">
        <is>
          <t>silice</t>
        </is>
      </c>
      <c r="B238" s="6" t="inlineStr">
        <is>
          <t>E2 Silicio/ferrosilicio/SiO2</t>
        </is>
      </c>
      <c r="C238" s="6" t="inlineStr">
        <is>
          <t>Estados Unidos</t>
        </is>
      </c>
      <c r="D238" s="6" t="n">
        <v>842</v>
      </c>
      <c r="E238" s="6" t="n">
        <v>54690647</v>
      </c>
      <c r="F238" s="6" t="n">
        <v>0.9167999999999999</v>
      </c>
    </row>
    <row r="239">
      <c r="A239" s="9" t="inlineStr">
        <is>
          <t>silice</t>
        </is>
      </c>
      <c r="B239" s="9" t="inlineStr">
        <is>
          <t>E2 Silicio/ferrosilicio/SiO2</t>
        </is>
      </c>
      <c r="C239" s="9" t="inlineStr">
        <is>
          <t>Guatemala</t>
        </is>
      </c>
      <c r="D239" s="9" t="n">
        <v>320</v>
      </c>
      <c r="E239" s="9" t="n">
        <v>4153456</v>
      </c>
      <c r="F239" s="9" t="n">
        <v>0.0696</v>
      </c>
    </row>
    <row r="240">
      <c r="A240" s="6" t="inlineStr">
        <is>
          <t>silice</t>
        </is>
      </c>
      <c r="B240" s="6" t="inlineStr">
        <is>
          <t>E2 Silicio/ferrosilicio/SiO2</t>
        </is>
      </c>
      <c r="C240" s="6" t="inlineStr">
        <is>
          <t>Colombia</t>
        </is>
      </c>
      <c r="D240" s="6" t="n">
        <v>170</v>
      </c>
      <c r="E240" s="6" t="n">
        <v>217521</v>
      </c>
      <c r="F240" s="6" t="n">
        <v>0.0036</v>
      </c>
    </row>
    <row r="241">
      <c r="A241" s="9" t="inlineStr">
        <is>
          <t>silice</t>
        </is>
      </c>
      <c r="B241" s="9" t="inlineStr">
        <is>
          <t>E2 Silicio/ferrosilicio/SiO2</t>
        </is>
      </c>
      <c r="C241" s="9" t="inlineStr">
        <is>
          <t>socio_188</t>
        </is>
      </c>
      <c r="D241" s="9" t="n">
        <v>188</v>
      </c>
      <c r="E241" s="9" t="n">
        <v>164398</v>
      </c>
      <c r="F241" s="9" t="n">
        <v>0.0028</v>
      </c>
    </row>
    <row r="242">
      <c r="A242" s="6" t="inlineStr">
        <is>
          <t>silice</t>
        </is>
      </c>
      <c r="B242" s="6" t="inlineStr">
        <is>
          <t>E2 Silicio/ferrosilicio/SiO2</t>
        </is>
      </c>
      <c r="C242" s="6" t="inlineStr">
        <is>
          <t>Peru</t>
        </is>
      </c>
      <c r="D242" s="6" t="n">
        <v>604</v>
      </c>
      <c r="E242" s="6" t="n">
        <v>159836</v>
      </c>
      <c r="F242" s="6" t="n">
        <v>0.0027</v>
      </c>
    </row>
    <row r="243">
      <c r="A243" s="9" t="inlineStr">
        <is>
          <t>silice</t>
        </is>
      </c>
      <c r="B243" s="9" t="inlineStr">
        <is>
          <t>E2 Silicio/ferrosilicio/SiO2</t>
        </is>
      </c>
      <c r="C243" s="9" t="inlineStr">
        <is>
          <t>socio_591</t>
        </is>
      </c>
      <c r="D243" s="9" t="n">
        <v>591</v>
      </c>
      <c r="E243" s="9" t="n">
        <v>62818</v>
      </c>
      <c r="F243" s="9" t="n">
        <v>0.0011</v>
      </c>
    </row>
    <row r="244">
      <c r="A244" s="6" t="inlineStr">
        <is>
          <t>silice</t>
        </is>
      </c>
      <c r="B244" s="6" t="inlineStr">
        <is>
          <t>E2 Silicio/ferrosilicio/SiO2</t>
        </is>
      </c>
      <c r="C244" s="6" t="inlineStr">
        <is>
          <t>socio_340</t>
        </is>
      </c>
      <c r="D244" s="6" t="n">
        <v>340</v>
      </c>
      <c r="E244" s="6" t="n">
        <v>57635</v>
      </c>
      <c r="F244" s="6" t="n">
        <v>0.001</v>
      </c>
    </row>
    <row r="245">
      <c r="A245" s="9" t="inlineStr">
        <is>
          <t>silice</t>
        </is>
      </c>
      <c r="B245" s="9" t="inlineStr">
        <is>
          <t>E2 Silicio/ferrosilicio/SiO2</t>
        </is>
      </c>
      <c r="C245" s="9" t="inlineStr">
        <is>
          <t>El Salvador</t>
        </is>
      </c>
      <c r="D245" s="9" t="n">
        <v>222</v>
      </c>
      <c r="E245" s="9" t="n">
        <v>46652</v>
      </c>
      <c r="F245" s="9" t="n">
        <v>0.0008</v>
      </c>
    </row>
    <row r="246">
      <c r="A246" s="6" t="inlineStr">
        <is>
          <t>silice</t>
        </is>
      </c>
      <c r="B246" s="6" t="inlineStr">
        <is>
          <t>E2 Silicio/ferrosilicio/SiO2</t>
        </is>
      </c>
      <c r="C246" s="6" t="inlineStr">
        <is>
          <t>socio_192</t>
        </is>
      </c>
      <c r="D246" s="6" t="n">
        <v>192</v>
      </c>
      <c r="E246" s="6" t="n">
        <v>32066</v>
      </c>
      <c r="F246" s="6" t="n">
        <v>0.0005</v>
      </c>
    </row>
    <row r="247">
      <c r="A247" s="9" t="inlineStr">
        <is>
          <t>silice</t>
        </is>
      </c>
      <c r="B247" s="9" t="inlineStr">
        <is>
          <t>E2 Silicio/ferrosilicio/SiO2</t>
        </is>
      </c>
      <c r="C247" s="9" t="inlineStr">
        <is>
          <t>Argentina</t>
        </is>
      </c>
      <c r="D247" s="9" t="n">
        <v>32</v>
      </c>
      <c r="E247" s="9" t="n">
        <v>28340</v>
      </c>
      <c r="F247" s="9" t="n">
        <v>0.0005</v>
      </c>
    </row>
    <row r="248">
      <c r="A248" s="6" t="inlineStr">
        <is>
          <t>silice</t>
        </is>
      </c>
      <c r="B248" s="6" t="inlineStr">
        <is>
          <t>E2 Silicio/ferrosilicio/SiO2</t>
        </is>
      </c>
      <c r="C248" s="6" t="inlineStr">
        <is>
          <t>socio_558</t>
        </is>
      </c>
      <c r="D248" s="6" t="n">
        <v>558</v>
      </c>
      <c r="E248" s="6" t="n">
        <v>16932</v>
      </c>
      <c r="F248" s="6" t="n">
        <v>0.0003</v>
      </c>
    </row>
    <row r="249">
      <c r="A249" s="9" t="inlineStr">
        <is>
          <t>silice</t>
        </is>
      </c>
      <c r="B249" s="9" t="inlineStr">
        <is>
          <t>E2 Silicio/ferrosilicio/SiO2</t>
        </is>
      </c>
      <c r="C249" s="9" t="inlineStr">
        <is>
          <t>socio_218</t>
        </is>
      </c>
      <c r="D249" s="9" t="n">
        <v>218</v>
      </c>
      <c r="E249" s="9" t="n">
        <v>12003</v>
      </c>
      <c r="F249" s="9" t="n">
        <v>0.0002</v>
      </c>
    </row>
    <row r="250">
      <c r="A250" s="6" t="inlineStr">
        <is>
          <t>silice</t>
        </is>
      </c>
      <c r="B250" s="6" t="inlineStr">
        <is>
          <t>E2 Silicio/ferrosilicio/SiO2</t>
        </is>
      </c>
      <c r="C250" s="6" t="inlineStr">
        <is>
          <t>Alemania</t>
        </is>
      </c>
      <c r="D250" s="6" t="n">
        <v>276</v>
      </c>
      <c r="E250" s="6" t="n">
        <v>8628</v>
      </c>
      <c r="F250" s="6" t="n">
        <v>0.0001</v>
      </c>
    </row>
    <row r="251">
      <c r="A251" s="9" t="inlineStr">
        <is>
          <t>silice</t>
        </is>
      </c>
      <c r="B251" s="9" t="inlineStr">
        <is>
          <t>E2 Silicio/ferrosilicio/SiO2</t>
        </is>
      </c>
      <c r="C251" s="9" t="inlineStr">
        <is>
          <t>Brasil</t>
        </is>
      </c>
      <c r="D251" s="9" t="n">
        <v>76</v>
      </c>
      <c r="E251" s="9" t="n">
        <v>3713</v>
      </c>
      <c r="F251" s="9" t="n">
        <v>0.0001</v>
      </c>
    </row>
    <row r="252">
      <c r="A252" s="6" t="inlineStr">
        <is>
          <t>zinc</t>
        </is>
      </c>
      <c r="B252" s="6" t="inlineStr">
        <is>
          <t>E1 Mena/concentrado</t>
        </is>
      </c>
      <c r="C252" s="6" t="inlineStr">
        <is>
          <t>Corea del Sur</t>
        </is>
      </c>
      <c r="D252" s="6" t="n">
        <v>410</v>
      </c>
      <c r="E252" s="6" t="n">
        <v>1997566386</v>
      </c>
      <c r="F252" s="6" t="n">
        <v>0.5827</v>
      </c>
    </row>
    <row r="253">
      <c r="A253" s="9" t="inlineStr">
        <is>
          <t>zinc</t>
        </is>
      </c>
      <c r="B253" s="9" t="inlineStr">
        <is>
          <t>E1 Mena/concentrado</t>
        </is>
      </c>
      <c r="C253" s="9" t="inlineStr">
        <is>
          <t>Japon</t>
        </is>
      </c>
      <c r="D253" s="9" t="n">
        <v>392</v>
      </c>
      <c r="E253" s="9" t="n">
        <v>376971330</v>
      </c>
      <c r="F253" s="9" t="n">
        <v>0.11</v>
      </c>
    </row>
    <row r="254">
      <c r="A254" s="6" t="inlineStr">
        <is>
          <t>zinc</t>
        </is>
      </c>
      <c r="B254" s="6" t="inlineStr">
        <is>
          <t>E1 Mena/concentrado</t>
        </is>
      </c>
      <c r="C254" s="6" t="inlineStr">
        <is>
          <t>Belgica</t>
        </is>
      </c>
      <c r="D254" s="6" t="n">
        <v>56</v>
      </c>
      <c r="E254" s="6" t="n">
        <v>364704779</v>
      </c>
      <c r="F254" s="6" t="n">
        <v>0.1064</v>
      </c>
    </row>
    <row r="255">
      <c r="A255" s="9" t="inlineStr">
        <is>
          <t>zinc</t>
        </is>
      </c>
      <c r="B255" s="9" t="inlineStr">
        <is>
          <t>E1 Mena/concentrado</t>
        </is>
      </c>
      <c r="C255" s="9" t="inlineStr">
        <is>
          <t>China</t>
        </is>
      </c>
      <c r="D255" s="9" t="n">
        <v>156</v>
      </c>
      <c r="E255" s="9" t="n">
        <v>273427365</v>
      </c>
      <c r="F255" s="9" t="n">
        <v>0.0798</v>
      </c>
    </row>
    <row r="256">
      <c r="A256" s="6" t="inlineStr">
        <is>
          <t>zinc</t>
        </is>
      </c>
      <c r="B256" s="6" t="inlineStr">
        <is>
          <t>E1 Mena/concentrado</t>
        </is>
      </c>
      <c r="C256" s="6" t="inlineStr">
        <is>
          <t>Canada</t>
        </is>
      </c>
      <c r="D256" s="6" t="n">
        <v>124</v>
      </c>
      <c r="E256" s="6" t="n">
        <v>221527202</v>
      </c>
      <c r="F256" s="6" t="n">
        <v>0.0646</v>
      </c>
    </row>
    <row r="257">
      <c r="A257" s="9" t="inlineStr">
        <is>
          <t>zinc</t>
        </is>
      </c>
      <c r="B257" s="9" t="inlineStr">
        <is>
          <t>E1 Mena/concentrado</t>
        </is>
      </c>
      <c r="C257" s="9" t="inlineStr">
        <is>
          <t>Suiza</t>
        </is>
      </c>
      <c r="D257" s="9" t="n">
        <v>757</v>
      </c>
      <c r="E257" s="9" t="n">
        <v>116571125</v>
      </c>
      <c r="F257" s="9" t="n">
        <v>0.034</v>
      </c>
    </row>
    <row r="258">
      <c r="A258" s="6" t="inlineStr">
        <is>
          <t>zinc</t>
        </is>
      </c>
      <c r="B258" s="6" t="inlineStr">
        <is>
          <t>E1 Mena/concentrado</t>
        </is>
      </c>
      <c r="C258" s="6" t="inlineStr">
        <is>
          <t>Espana</t>
        </is>
      </c>
      <c r="D258" s="6" t="n">
        <v>724</v>
      </c>
      <c r="E258" s="6" t="n">
        <v>73890397</v>
      </c>
      <c r="F258" s="6" t="n">
        <v>0.0216</v>
      </c>
    </row>
    <row r="259">
      <c r="A259" s="9" t="inlineStr">
        <is>
          <t>zinc</t>
        </is>
      </c>
      <c r="B259" s="9" t="inlineStr">
        <is>
          <t>E1 Mena/concentrado</t>
        </is>
      </c>
      <c r="C259" s="9" t="inlineStr">
        <is>
          <t>Peru</t>
        </is>
      </c>
      <c r="D259" s="9" t="n">
        <v>604</v>
      </c>
      <c r="E259" s="9" t="n">
        <v>3383306</v>
      </c>
      <c r="F259" s="9" t="n">
        <v>0.001</v>
      </c>
    </row>
    <row r="260">
      <c r="A260" s="6" t="inlineStr">
        <is>
          <t>zinc</t>
        </is>
      </c>
      <c r="B260" s="6" t="inlineStr">
        <is>
          <t>E2 Metal en bruto/refinado</t>
        </is>
      </c>
      <c r="C260" s="6" t="inlineStr">
        <is>
          <t>Estados Unidos</t>
        </is>
      </c>
      <c r="D260" s="6" t="n">
        <v>842</v>
      </c>
      <c r="E260" s="6" t="n">
        <v>1237512482</v>
      </c>
      <c r="F260" s="6" t="n">
        <v>0.8193</v>
      </c>
    </row>
    <row r="261">
      <c r="A261" s="9" t="inlineStr">
        <is>
          <t>zinc</t>
        </is>
      </c>
      <c r="B261" s="9" t="inlineStr">
        <is>
          <t>E2 Metal en bruto/refinado</t>
        </is>
      </c>
      <c r="C261" s="9" t="inlineStr">
        <is>
          <t>Brasil</t>
        </is>
      </c>
      <c r="D261" s="9" t="n">
        <v>76</v>
      </c>
      <c r="E261" s="9" t="n">
        <v>173269727</v>
      </c>
      <c r="F261" s="9" t="n">
        <v>0.1147</v>
      </c>
    </row>
    <row r="262">
      <c r="A262" s="6" t="inlineStr">
        <is>
          <t>zinc</t>
        </is>
      </c>
      <c r="B262" s="6" t="inlineStr">
        <is>
          <t>E2 Metal en bruto/refinado</t>
        </is>
      </c>
      <c r="C262" s="6" t="inlineStr">
        <is>
          <t>China</t>
        </is>
      </c>
      <c r="D262" s="6" t="n">
        <v>156</v>
      </c>
      <c r="E262" s="6" t="n">
        <v>42282156</v>
      </c>
      <c r="F262" s="6" t="n">
        <v>0.028</v>
      </c>
    </row>
    <row r="263">
      <c r="A263" s="9" t="inlineStr">
        <is>
          <t>zinc</t>
        </is>
      </c>
      <c r="B263" s="9" t="inlineStr">
        <is>
          <t>E2 Metal en bruto/refinado</t>
        </is>
      </c>
      <c r="C263" s="9" t="inlineStr">
        <is>
          <t>Guatemala</t>
        </is>
      </c>
      <c r="D263" s="9" t="n">
        <v>320</v>
      </c>
      <c r="E263" s="9" t="n">
        <v>31366425</v>
      </c>
      <c r="F263" s="9" t="n">
        <v>0.0208</v>
      </c>
    </row>
    <row r="264">
      <c r="A264" s="6" t="inlineStr">
        <is>
          <t>zinc</t>
        </is>
      </c>
      <c r="B264" s="6" t="inlineStr">
        <is>
          <t>E2 Metal en bruto/refinado</t>
        </is>
      </c>
      <c r="C264" s="6" t="inlineStr">
        <is>
          <t>Italia</t>
        </is>
      </c>
      <c r="D264" s="6" t="n">
        <v>380</v>
      </c>
      <c r="E264" s="6" t="n">
        <v>13980883</v>
      </c>
      <c r="F264" s="6" t="n">
        <v>0.009299999999999999</v>
      </c>
    </row>
    <row r="265">
      <c r="A265" s="9" t="inlineStr">
        <is>
          <t>zinc</t>
        </is>
      </c>
      <c r="B265" s="9" t="inlineStr">
        <is>
          <t>E2 Metal en bruto/refinado</t>
        </is>
      </c>
      <c r="C265" s="9" t="inlineStr">
        <is>
          <t>Emiratos Arabes</t>
        </is>
      </c>
      <c r="D265" s="9" t="n">
        <v>784</v>
      </c>
      <c r="E265" s="9" t="n">
        <v>9915302</v>
      </c>
      <c r="F265" s="9" t="n">
        <v>0.0066</v>
      </c>
    </row>
    <row r="266">
      <c r="A266" s="6" t="inlineStr">
        <is>
          <t>zinc</t>
        </is>
      </c>
      <c r="B266" s="6" t="inlineStr">
        <is>
          <t>E2 Metal en bruto/refinado</t>
        </is>
      </c>
      <c r="C266" s="6" t="inlineStr">
        <is>
          <t>Belgica</t>
        </is>
      </c>
      <c r="D266" s="6" t="n">
        <v>56</v>
      </c>
      <c r="E266" s="6" t="n">
        <v>2128327</v>
      </c>
      <c r="F266" s="6" t="n">
        <v>0.0014</v>
      </c>
    </row>
    <row r="267">
      <c r="A267" s="9" t="inlineStr">
        <is>
          <t>zinc</t>
        </is>
      </c>
      <c r="B267" s="9" t="inlineStr">
        <is>
          <t>E3 Semimanufacturas</t>
        </is>
      </c>
      <c r="C267" s="9" t="inlineStr">
        <is>
          <t>Colombia</t>
        </is>
      </c>
      <c r="D267" s="9" t="n">
        <v>170</v>
      </c>
      <c r="E267" s="9" t="n">
        <v>1090731</v>
      </c>
      <c r="F267" s="9" t="n">
        <v>0.5831</v>
      </c>
    </row>
    <row r="268">
      <c r="A268" s="6" t="inlineStr">
        <is>
          <t>zinc</t>
        </is>
      </c>
      <c r="B268" s="6" t="inlineStr">
        <is>
          <t>E3 Semimanufacturas</t>
        </is>
      </c>
      <c r="C268" s="6" t="inlineStr">
        <is>
          <t>Estados Unidos</t>
        </is>
      </c>
      <c r="D268" s="6" t="n">
        <v>842</v>
      </c>
      <c r="E268" s="6" t="n">
        <v>779759</v>
      </c>
      <c r="F268" s="6" t="n">
        <v>0.4169</v>
      </c>
    </row>
    <row r="269">
      <c r="A269" s="9" t="inlineStr">
        <is>
          <t>zinc</t>
        </is>
      </c>
      <c r="B269" s="9" t="inlineStr">
        <is>
          <t>E4 Manufacturas</t>
        </is>
      </c>
      <c r="C269" s="9" t="inlineStr">
        <is>
          <t>Estados Unidos</t>
        </is>
      </c>
      <c r="D269" s="9" t="n">
        <v>842</v>
      </c>
      <c r="E269" s="9" t="n">
        <v>11457380</v>
      </c>
      <c r="F269" s="9" t="n">
        <v>0.7624</v>
      </c>
    </row>
    <row r="270">
      <c r="A270" s="6" t="inlineStr">
        <is>
          <t>zinc</t>
        </is>
      </c>
      <c r="B270" s="6" t="inlineStr">
        <is>
          <t>E4 Manufacturas</t>
        </is>
      </c>
      <c r="C270" s="6" t="inlineStr">
        <is>
          <t>Guatemala</t>
        </is>
      </c>
      <c r="D270" s="6" t="n">
        <v>320</v>
      </c>
      <c r="E270" s="6" t="n">
        <v>748671</v>
      </c>
      <c r="F270" s="6" t="n">
        <v>0.0498</v>
      </c>
    </row>
    <row r="271">
      <c r="A271" s="9" t="inlineStr">
        <is>
          <t>zinc</t>
        </is>
      </c>
      <c r="B271" s="9" t="inlineStr">
        <is>
          <t>E4 Manufacturas</t>
        </is>
      </c>
      <c r="C271" s="9" t="inlineStr">
        <is>
          <t>socio_340</t>
        </is>
      </c>
      <c r="D271" s="9" t="n">
        <v>340</v>
      </c>
      <c r="E271" s="9" t="n">
        <v>592013</v>
      </c>
      <c r="F271" s="9" t="n">
        <v>0.0394</v>
      </c>
    </row>
    <row r="272">
      <c r="A272" s="6" t="inlineStr">
        <is>
          <t>zinc</t>
        </is>
      </c>
      <c r="B272" s="6" t="inlineStr">
        <is>
          <t>E4 Manufacturas</t>
        </is>
      </c>
      <c r="C272" s="6" t="inlineStr">
        <is>
          <t>socio_188</t>
        </is>
      </c>
      <c r="D272" s="6" t="n">
        <v>188</v>
      </c>
      <c r="E272" s="6" t="n">
        <v>466327</v>
      </c>
      <c r="F272" s="6" t="n">
        <v>0.031</v>
      </c>
    </row>
    <row r="273">
      <c r="A273" s="9" t="inlineStr">
        <is>
          <t>zinc</t>
        </is>
      </c>
      <c r="B273" s="9" t="inlineStr">
        <is>
          <t>E4 Manufacturas</t>
        </is>
      </c>
      <c r="C273" s="9" t="inlineStr">
        <is>
          <t>socio_214</t>
        </is>
      </c>
      <c r="D273" s="9" t="n">
        <v>214</v>
      </c>
      <c r="E273" s="9" t="n">
        <v>433293</v>
      </c>
      <c r="F273" s="9" t="n">
        <v>0.0288</v>
      </c>
    </row>
    <row r="274">
      <c r="A274" s="6" t="inlineStr">
        <is>
          <t>zinc</t>
        </is>
      </c>
      <c r="B274" s="6" t="inlineStr">
        <is>
          <t>E4 Manufacturas</t>
        </is>
      </c>
      <c r="C274" s="6" t="inlineStr">
        <is>
          <t>El Salvador</t>
        </is>
      </c>
      <c r="D274" s="6" t="n">
        <v>222</v>
      </c>
      <c r="E274" s="6" t="n">
        <v>383378</v>
      </c>
      <c r="F274" s="6" t="n">
        <v>0.0255</v>
      </c>
    </row>
    <row r="275">
      <c r="A275" s="9" t="inlineStr">
        <is>
          <t>zinc</t>
        </is>
      </c>
      <c r="B275" s="9" t="inlineStr">
        <is>
          <t>E4 Manufacturas</t>
        </is>
      </c>
      <c r="C275" s="9" t="inlineStr">
        <is>
          <t>socio_591</t>
        </is>
      </c>
      <c r="D275" s="9" t="n">
        <v>591</v>
      </c>
      <c r="E275" s="9" t="n">
        <v>225248</v>
      </c>
      <c r="F275" s="9" t="n">
        <v>0.015</v>
      </c>
    </row>
    <row r="276">
      <c r="A276" s="6" t="inlineStr">
        <is>
          <t>zinc</t>
        </is>
      </c>
      <c r="B276" s="6" t="inlineStr">
        <is>
          <t>E4 Manufacturas</t>
        </is>
      </c>
      <c r="C276" s="6" t="inlineStr">
        <is>
          <t>socio_558</t>
        </is>
      </c>
      <c r="D276" s="6" t="n">
        <v>558</v>
      </c>
      <c r="E276" s="6" t="n">
        <v>191541</v>
      </c>
      <c r="F276" s="6" t="n">
        <v>0.0127</v>
      </c>
    </row>
    <row r="277">
      <c r="A277" s="9" t="inlineStr">
        <is>
          <t>zinc</t>
        </is>
      </c>
      <c r="B277" s="9" t="inlineStr">
        <is>
          <t>E4 Manufacturas</t>
        </is>
      </c>
      <c r="C277" s="9" t="inlineStr">
        <is>
          <t>socio_218</t>
        </is>
      </c>
      <c r="D277" s="9" t="n">
        <v>218</v>
      </c>
      <c r="E277" s="9" t="n">
        <v>164571</v>
      </c>
      <c r="F277" s="9" t="n">
        <v>0.011</v>
      </c>
    </row>
    <row r="278">
      <c r="A278" s="6" t="inlineStr">
        <is>
          <t>zinc</t>
        </is>
      </c>
      <c r="B278" s="6" t="inlineStr">
        <is>
          <t>E4 Manufacturas</t>
        </is>
      </c>
      <c r="C278" s="6" t="inlineStr">
        <is>
          <t>Colombia</t>
        </is>
      </c>
      <c r="D278" s="6" t="n">
        <v>170</v>
      </c>
      <c r="E278" s="6" t="n">
        <v>101837</v>
      </c>
      <c r="F278" s="6" t="n">
        <v>0.0068</v>
      </c>
    </row>
    <row r="279">
      <c r="A279" s="9" t="inlineStr">
        <is>
          <t>zinc</t>
        </is>
      </c>
      <c r="B279" s="9" t="inlineStr">
        <is>
          <t>E4 Manufacturas</t>
        </is>
      </c>
      <c r="C279" s="9" t="inlineStr">
        <is>
          <t>Chile</t>
        </is>
      </c>
      <c r="D279" s="9" t="n">
        <v>152</v>
      </c>
      <c r="E279" s="9" t="n">
        <v>76553</v>
      </c>
      <c r="F279" s="9" t="n">
        <v>0.0051</v>
      </c>
    </row>
    <row r="280">
      <c r="A280" s="6" t="inlineStr">
        <is>
          <t>zinc</t>
        </is>
      </c>
      <c r="B280" s="6" t="inlineStr">
        <is>
          <t>E4 Manufacturas</t>
        </is>
      </c>
      <c r="C280" s="6" t="inlineStr">
        <is>
          <t>Peru</t>
        </is>
      </c>
      <c r="D280" s="6" t="n">
        <v>604</v>
      </c>
      <c r="E280" s="6" t="n">
        <v>74235</v>
      </c>
      <c r="F280" s="6" t="n">
        <v>0.0049</v>
      </c>
    </row>
    <row r="281">
      <c r="A281" s="9" t="inlineStr">
        <is>
          <t>zinc</t>
        </is>
      </c>
      <c r="B281" s="9" t="inlineStr">
        <is>
          <t>E4 Manufacturas</t>
        </is>
      </c>
      <c r="C281" s="9" t="inlineStr">
        <is>
          <t>Canada</t>
        </is>
      </c>
      <c r="D281" s="9" t="n">
        <v>124</v>
      </c>
      <c r="E281" s="9" t="n">
        <v>42483</v>
      </c>
      <c r="F281" s="9" t="n">
        <v>0.0028</v>
      </c>
    </row>
    <row r="282">
      <c r="A282" s="6" t="inlineStr">
        <is>
          <t>zinc</t>
        </is>
      </c>
      <c r="B282" s="6" t="inlineStr">
        <is>
          <t>E4 Manufacturas</t>
        </is>
      </c>
      <c r="C282" s="6" t="inlineStr">
        <is>
          <t>Espana</t>
        </is>
      </c>
      <c r="D282" s="6" t="n">
        <v>724</v>
      </c>
      <c r="E282" s="6" t="n">
        <v>26206</v>
      </c>
      <c r="F282" s="6" t="n">
        <v>0.0017</v>
      </c>
    </row>
    <row r="283">
      <c r="A283" s="9" t="inlineStr">
        <is>
          <t>zinc</t>
        </is>
      </c>
      <c r="B283" s="9" t="inlineStr">
        <is>
          <t>E4 Manufacturas</t>
        </is>
      </c>
      <c r="C283" s="9" t="inlineStr">
        <is>
          <t>China</t>
        </is>
      </c>
      <c r="D283" s="9" t="n">
        <v>156</v>
      </c>
      <c r="E283" s="9" t="n">
        <v>21642</v>
      </c>
      <c r="F283" s="9" t="n">
        <v>0.0014</v>
      </c>
    </row>
    <row r="284">
      <c r="A284" s="6" t="inlineStr">
        <is>
          <t>zinc</t>
        </is>
      </c>
      <c r="B284" s="6" t="inlineStr">
        <is>
          <t>E4 Manufacturas</t>
        </is>
      </c>
      <c r="C284" s="6" t="inlineStr">
        <is>
          <t>Italia</t>
        </is>
      </c>
      <c r="D284" s="6" t="n">
        <v>380</v>
      </c>
      <c r="E284" s="6" t="n">
        <v>7206</v>
      </c>
      <c r="F284" s="6" t="n">
        <v>0.0005</v>
      </c>
    </row>
    <row r="285">
      <c r="A285" s="9" t="inlineStr">
        <is>
          <t>zinc</t>
        </is>
      </c>
      <c r="B285" s="9" t="inlineStr">
        <is>
          <t>E4 Manufacturas</t>
        </is>
      </c>
      <c r="C285" s="9" t="inlineStr">
        <is>
          <t>socio_699</t>
        </is>
      </c>
      <c r="D285" s="9" t="n">
        <v>699</v>
      </c>
      <c r="E285" s="9" t="n">
        <v>6398</v>
      </c>
      <c r="F285" s="9" t="n">
        <v>0.0004</v>
      </c>
    </row>
    <row r="286">
      <c r="A286" s="6" t="inlineStr">
        <is>
          <t>zinc</t>
        </is>
      </c>
      <c r="B286" s="6" t="inlineStr">
        <is>
          <t>E4 Manufacturas</t>
        </is>
      </c>
      <c r="C286" s="6" t="inlineStr">
        <is>
          <t>socio_84</t>
        </is>
      </c>
      <c r="D286" s="6" t="n">
        <v>84</v>
      </c>
      <c r="E286" s="6" t="n">
        <v>4618</v>
      </c>
      <c r="F286" s="6" t="n">
        <v>0.0003</v>
      </c>
    </row>
    <row r="287">
      <c r="A287" s="9" t="inlineStr">
        <is>
          <t>zinc</t>
        </is>
      </c>
      <c r="B287" s="9" t="inlineStr">
        <is>
          <t>E4 Manufacturas</t>
        </is>
      </c>
      <c r="C287" s="9" t="inlineStr">
        <is>
          <t>socio_348</t>
        </is>
      </c>
      <c r="D287" s="9" t="n">
        <v>348</v>
      </c>
      <c r="E287" s="9" t="n">
        <v>4335</v>
      </c>
      <c r="F287" s="9" t="n">
        <v>0.0003</v>
      </c>
    </row>
    <row r="288">
      <c r="A288" s="6" t="inlineStr">
        <is>
          <t>zinc</t>
        </is>
      </c>
      <c r="B288" s="6" t="inlineStr">
        <is>
          <t>E4 Manufacturas</t>
        </is>
      </c>
      <c r="C288" s="6" t="inlineStr">
        <is>
          <t>Alemania</t>
        </is>
      </c>
      <c r="D288" s="6" t="n">
        <v>276</v>
      </c>
      <c r="E288" s="6" t="n">
        <v>33</v>
      </c>
      <c r="F288" s="6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4" customHeight="1">
      <c r="A1" s="1" t="inlineStr">
        <is>
          <t>Cadena local - empresas de transformacion (19 firmas)</t>
        </is>
      </c>
    </row>
    <row r="2" ht="40" customHeight="1">
      <c r="A2" s="2" t="inlineStr">
        <is>
          <t>Directorio de procesadoras/usuarias domesticas por eslabon, con rol, ubicacion, propiedad y nivel de CONFIANZA (sourced-USGS / verificado-web / preliminar). Corrige el dato sectorial: buena parte de la cadena ocurre intra-firma, invisible en la MIP.</t>
        </is>
      </c>
    </row>
    <row r="3">
      <c r="A3" s="3" t="inlineStr">
        <is>
          <t>mineral</t>
        </is>
      </c>
      <c r="B3" s="3" t="inlineStr">
        <is>
          <t>eslabon</t>
        </is>
      </c>
      <c r="C3" s="3" t="inlineStr">
        <is>
          <t>empresa</t>
        </is>
      </c>
      <c r="D3" s="3" t="inlineStr">
        <is>
          <t>rol</t>
        </is>
      </c>
      <c r="E3" s="3" t="inlineStr">
        <is>
          <t>ubicacion</t>
        </is>
      </c>
      <c r="F3" s="3" t="inlineStr">
        <is>
          <t>propiedad</t>
        </is>
      </c>
      <c r="G3" s="3" t="inlineStr">
        <is>
          <t>confianza</t>
        </is>
      </c>
      <c r="H3" s="3" t="inlineStr">
        <is>
          <t>fuente</t>
        </is>
      </c>
    </row>
    <row r="4">
      <c r="A4" s="6" t="inlineStr">
        <is>
          <t>cobre</t>
        </is>
      </c>
      <c r="B4" s="6" t="inlineStr">
        <is>
          <t>E2 fundición/refinación</t>
        </is>
      </c>
      <c r="C4" s="6" t="inlineStr">
        <is>
          <t>Grupo México (Mexicana de Cobre)</t>
        </is>
      </c>
      <c r="D4" s="6" t="inlineStr">
        <is>
          <t>Fundición y refinería La Caridad</t>
        </is>
      </c>
      <c r="E4" s="6" t="inlineStr">
        <is>
          <t>Nacozari, Son.</t>
        </is>
      </c>
      <c r="F4" s="6" t="inlineStr">
        <is>
          <t>nacional</t>
        </is>
      </c>
      <c r="G4" s="6" t="inlineStr">
        <is>
          <t>sourced-USGS Tabla 2</t>
        </is>
      </c>
      <c r="H4" s="5" t="n"/>
    </row>
    <row r="5">
      <c r="A5" s="9" t="inlineStr">
        <is>
          <t>cobre</t>
        </is>
      </c>
      <c r="B5" s="9" t="inlineStr">
        <is>
          <t>E2 fundición</t>
        </is>
      </c>
      <c r="C5" s="9" t="inlineStr">
        <is>
          <t>Grupo México (Mexicana de Cananea/Buenavista)</t>
        </is>
      </c>
      <c r="D5" s="9" t="inlineStr">
        <is>
          <t>Fundición</t>
        </is>
      </c>
      <c r="E5" s="9" t="inlineStr">
        <is>
          <t>Cananea, Son.</t>
        </is>
      </c>
      <c r="F5" s="9" t="inlineStr">
        <is>
          <t>nacional</t>
        </is>
      </c>
      <c r="G5" s="9" t="inlineStr">
        <is>
          <t>sourced-USGS Tabla 2</t>
        </is>
      </c>
      <c r="H5" s="8" t="n"/>
    </row>
    <row r="6">
      <c r="A6" s="6" t="inlineStr">
        <is>
          <t>cobre</t>
        </is>
      </c>
      <c r="B6" s="6" t="inlineStr">
        <is>
          <t>E2 refinación</t>
        </is>
      </c>
      <c r="C6" s="6" t="inlineStr">
        <is>
          <t>Cobre de México, S.A.</t>
        </is>
      </c>
      <c r="D6" s="6" t="inlineStr">
        <is>
          <t>Refinería primaria</t>
        </is>
      </c>
      <c r="E6" s="6" t="inlineStr">
        <is>
          <t>Ciudad de México</t>
        </is>
      </c>
      <c r="F6" s="6" t="inlineStr">
        <is>
          <t>nacional</t>
        </is>
      </c>
      <c r="G6" s="6" t="inlineStr">
        <is>
          <t>sourced-USGS Tabla 2</t>
        </is>
      </c>
      <c r="H6" s="5" t="n"/>
    </row>
    <row r="7">
      <c r="A7" s="9" t="inlineStr">
        <is>
          <t>cobre</t>
        </is>
      </c>
      <c r="B7" s="9" t="inlineStr">
        <is>
          <t>E3 semis (alambre/cable)</t>
        </is>
      </c>
      <c r="C7" s="9" t="inlineStr">
        <is>
          <t>Viakable (Grupo Xignux)</t>
        </is>
      </c>
      <c r="D7" s="9" t="inlineStr">
        <is>
          <t>Mayor fabricante de conductores de cobre; plantas Monterrey y S.L.P.</t>
        </is>
      </c>
      <c r="E7" s="9" t="inlineStr">
        <is>
          <t>Monterrey, N.L. / S.L.P.</t>
        </is>
      </c>
      <c r="F7" s="9" t="inlineStr">
        <is>
          <t>nacional</t>
        </is>
      </c>
      <c r="G7" s="9" t="inlineStr">
        <is>
          <t>verificado-web</t>
        </is>
      </c>
      <c r="H7" s="8" t="inlineStr">
        <is>
          <t>viakable.com</t>
        </is>
      </c>
    </row>
    <row r="8">
      <c r="A8" s="6" t="inlineStr">
        <is>
          <t>cobre</t>
        </is>
      </c>
      <c r="B8" s="6" t="inlineStr">
        <is>
          <t>E3 semis (alambre/cable)</t>
        </is>
      </c>
      <c r="C8" s="6" t="inlineStr">
        <is>
          <t>Condumex (Grupo Carso)</t>
        </is>
      </c>
      <c r="D8" s="6" t="inlineStr">
        <is>
          <t>Conductores de cobre (Condumex, Latincasa); desde 1954</t>
        </is>
      </c>
      <c r="E8" s="6" t="inlineStr">
        <is>
          <t>Vallejo, CDMX / varias</t>
        </is>
      </c>
      <c r="F8" s="6" t="inlineStr">
        <is>
          <t>nacional</t>
        </is>
      </c>
      <c r="G8" s="6" t="inlineStr">
        <is>
          <t>verificado-web</t>
        </is>
      </c>
      <c r="H8" s="5" t="inlineStr">
        <is>
          <t>grupocarso.com</t>
        </is>
      </c>
    </row>
    <row r="9">
      <c r="A9" s="9" t="inlineStr">
        <is>
          <t>oro-plata</t>
        </is>
      </c>
      <c r="B9" s="9" t="inlineStr">
        <is>
          <t>E2 refinación metales preciosos</t>
        </is>
      </c>
      <c r="C9" s="9" t="inlineStr">
        <is>
          <t>Met-Mex Peñoles</t>
        </is>
      </c>
      <c r="D9" s="9" t="inlineStr">
        <is>
          <t>Refinería de oro y plata</t>
        </is>
      </c>
      <c r="E9" s="9" t="inlineStr">
        <is>
          <t>Torreón, Coah.</t>
        </is>
      </c>
      <c r="F9" s="9" t="inlineStr">
        <is>
          <t>nacional</t>
        </is>
      </c>
      <c r="G9" s="9" t="inlineStr">
        <is>
          <t>sourced-USGS Tabla 2</t>
        </is>
      </c>
      <c r="H9" s="8" t="n"/>
    </row>
    <row r="10">
      <c r="A10" s="6" t="inlineStr">
        <is>
          <t>plomo-zinc</t>
        </is>
      </c>
      <c r="B10" s="6" t="inlineStr">
        <is>
          <t>E2 fundición/refinación</t>
        </is>
      </c>
      <c r="C10" s="6" t="inlineStr">
        <is>
          <t>Met-Mex Peñoles</t>
        </is>
      </c>
      <c r="D10" s="6" t="inlineStr">
        <is>
          <t>Refinería de plomo, zinc, plata y oro</t>
        </is>
      </c>
      <c r="E10" s="6" t="inlineStr">
        <is>
          <t>Torreón, Coah.</t>
        </is>
      </c>
      <c r="F10" s="6" t="inlineStr">
        <is>
          <t>nacional</t>
        </is>
      </c>
      <c r="G10" s="6" t="inlineStr">
        <is>
          <t>sourced-USGS Tabla 2</t>
        </is>
      </c>
      <c r="H10" s="5" t="n"/>
    </row>
    <row r="11">
      <c r="A11" s="9" t="inlineStr">
        <is>
          <t>plomo-zinc</t>
        </is>
      </c>
      <c r="B11" s="9" t="inlineStr">
        <is>
          <t>E2 refinación zinc</t>
        </is>
      </c>
      <c r="C11" s="9" t="inlineStr">
        <is>
          <t>Grupo México (IMMSA)</t>
        </is>
      </c>
      <c r="D11" s="9" t="inlineStr">
        <is>
          <t>Refinería de zinc</t>
        </is>
      </c>
      <c r="E11" s="9" t="inlineStr">
        <is>
          <t>San Luis Potosí, S.L.P.</t>
        </is>
      </c>
      <c r="F11" s="9" t="inlineStr">
        <is>
          <t>nacional</t>
        </is>
      </c>
      <c r="G11" s="9" t="inlineStr">
        <is>
          <t>sourced-USGS Tabla 2</t>
        </is>
      </c>
      <c r="H11" s="8" t="n"/>
    </row>
    <row r="12">
      <c r="A12" s="6" t="inlineStr">
        <is>
          <t>plomo-zinc</t>
        </is>
      </c>
      <c r="B12" s="6" t="inlineStr">
        <is>
          <t>E4 baterías</t>
        </is>
      </c>
      <c r="C12" s="6" t="inlineStr">
        <is>
          <t>Clarios (marca LTH)</t>
        </is>
      </c>
      <c r="D12" s="6" t="inlineStr">
        <is>
          <t>Baterías plomo-ácido + reciclaje (~184 mil t Pb/año recuperado)</t>
        </is>
      </c>
      <c r="E12" s="6" t="inlineStr">
        <is>
          <t>Nuevo León</t>
        </is>
      </c>
      <c r="F12" s="6" t="inlineStr">
        <is>
          <t>extranjera (marca nacional LTH, 1928)</t>
        </is>
      </c>
      <c r="G12" s="6" t="inlineStr">
        <is>
          <t>verificado-web</t>
        </is>
      </c>
      <c r="H12" s="5" t="inlineStr">
        <is>
          <t>clarios.com</t>
        </is>
      </c>
    </row>
    <row r="13">
      <c r="A13" s="9" t="inlineStr">
        <is>
          <t>manganeso</t>
        </is>
      </c>
      <c r="B13" s="9" t="inlineStr">
        <is>
          <t>E2 ferroaleaciones</t>
        </is>
      </c>
      <c r="C13" s="9" t="inlineStr">
        <is>
          <t>Compañía Minera Autlán</t>
        </is>
      </c>
      <c r="D13" s="9" t="inlineStr">
        <is>
          <t>Ferro- y silicomanganeso (Tamós, Teziutlán, Gómez Palacio); ~225 mil t/año</t>
        </is>
      </c>
      <c r="E13" s="9" t="inlineStr">
        <is>
          <t>Veracruz / Puebla / Durango</t>
        </is>
      </c>
      <c r="F13" s="9" t="inlineStr">
        <is>
          <t>nacional</t>
        </is>
      </c>
      <c r="G13" s="9" t="inlineStr">
        <is>
          <t>verificado-web</t>
        </is>
      </c>
      <c r="H13" s="8" t="inlineStr">
        <is>
          <t>autlan.com.mx</t>
        </is>
      </c>
    </row>
    <row r="14">
      <c r="A14" s="6" t="inlineStr">
        <is>
          <t>fluorita</t>
        </is>
      </c>
      <c r="B14" s="6" t="inlineStr">
        <is>
          <t>E2 fluoroquímica (HF)</t>
        </is>
      </c>
      <c r="C14" s="6" t="inlineStr">
        <is>
          <t>Koura (Orbia)</t>
        </is>
      </c>
      <c r="D14" s="6" t="inlineStr">
        <is>
          <t>Planta de ácido fluorhídrico más grande del mundo; integrada con mina Las Cuevas</t>
        </is>
      </c>
      <c r="E14" s="6" t="inlineStr">
        <is>
          <t>Matamoros, Tamps.</t>
        </is>
      </c>
      <c r="F14" s="6" t="inlineStr">
        <is>
          <t>nacional</t>
        </is>
      </c>
      <c r="G14" s="6" t="inlineStr">
        <is>
          <t>verificado-web</t>
        </is>
      </c>
      <c r="H14" s="5" t="inlineStr">
        <is>
          <t>kouraglobal.com</t>
        </is>
      </c>
    </row>
    <row r="15">
      <c r="A15" s="9" t="inlineStr">
        <is>
          <t>fluorita</t>
        </is>
      </c>
      <c r="B15" s="9" t="inlineStr">
        <is>
          <t>E4 fluoropolímeros</t>
        </is>
      </c>
      <c r="C15" s="9" t="inlineStr">
        <is>
          <t>(no se produce en México)</t>
        </is>
      </c>
      <c r="D15" s="9" t="inlineStr">
        <is>
          <t>PTFE/fluoropolímeros importados (~30-40 MM USD/año)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verificado-comercio (ausente)</t>
        </is>
      </c>
      <c r="H15" s="8" t="n"/>
    </row>
    <row r="16">
      <c r="A16" s="6" t="inlineStr">
        <is>
          <t>fluorita</t>
        </is>
      </c>
      <c r="B16" s="6" t="inlineStr">
        <is>
          <t>usuario (cemento)</t>
        </is>
      </c>
      <c r="C16" s="6" t="inlineStr">
        <is>
          <t>CEMEX; Holcim México; Cruz Azul; GCC</t>
        </is>
      </c>
      <c r="D16" s="6" t="inlineStr">
        <is>
          <t>Fluorita como mineralizador del clínker (baja 60-100°C la clinkerización)</t>
        </is>
      </c>
      <c r="E16" s="6" t="inlineStr">
        <is>
          <t>varias</t>
        </is>
      </c>
      <c r="F16" s="6" t="inlineStr">
        <is>
          <t>nacional/extranjera</t>
        </is>
      </c>
      <c r="G16" s="6" t="inlineStr">
        <is>
          <t>verificado-web</t>
        </is>
      </c>
      <c r="H16" s="5" t="inlineStr">
        <is>
          <t>scielo/CEMEX</t>
        </is>
      </c>
    </row>
    <row r="17">
      <c r="A17" s="9" t="inlineStr">
        <is>
          <t>silice</t>
        </is>
      </c>
      <c r="B17" s="9" t="inlineStr">
        <is>
          <t>usuario (vidrio)</t>
        </is>
      </c>
      <c r="C17" s="9" t="inlineStr">
        <is>
          <t>Vitro; Owens-Illinois de México</t>
        </is>
      </c>
      <c r="D17" s="9" t="inlineStr">
        <is>
          <t>Vidrio (funde arena sílica); O-I opera además extracción de arena</t>
        </is>
      </c>
      <c r="E17" s="9" t="inlineStr">
        <is>
          <t>Monterrey / varias</t>
        </is>
      </c>
      <c r="F17" s="9" t="inlineStr">
        <is>
          <t>nacional/extranjera</t>
        </is>
      </c>
      <c r="G17" s="9" t="inlineStr">
        <is>
          <t>verificado-web</t>
        </is>
      </c>
      <c r="H17" s="8" t="inlineStr">
        <is>
          <t>vitro.com / o-i.com</t>
        </is>
      </c>
    </row>
    <row r="18">
      <c r="A18" s="6" t="inlineStr">
        <is>
          <t>silice</t>
        </is>
      </c>
      <c r="B18" s="6" t="inlineStr">
        <is>
          <t>usuario (cemento/cerámica)</t>
        </is>
      </c>
      <c r="C18" s="6" t="inlineStr">
        <is>
          <t>CEMEX; Holcim México; GCC</t>
        </is>
      </c>
      <c r="D18" s="6" t="inlineStr">
        <is>
          <t>Insumo de cemento y cerámica</t>
        </is>
      </c>
      <c r="E18" s="6" t="inlineStr">
        <is>
          <t>varias</t>
        </is>
      </c>
      <c r="F18" s="6" t="inlineStr">
        <is>
          <t>nacional/extranjera</t>
        </is>
      </c>
      <c r="G18" s="6" t="inlineStr">
        <is>
          <t>verificado-web</t>
        </is>
      </c>
      <c r="H18" s="5" t="inlineStr">
        <is>
          <t>cemexmexico.com</t>
        </is>
      </c>
    </row>
    <row r="19">
      <c r="A19" s="9" t="inlineStr">
        <is>
          <t>silice</t>
        </is>
      </c>
      <c r="B19" s="9" t="inlineStr">
        <is>
          <t>E2 silicio/ferrosilicio</t>
        </is>
      </c>
      <c r="C19" s="9" t="inlineStr">
        <is>
          <t>(mayormente importado)</t>
        </is>
      </c>
      <c r="D19" s="9" t="inlineStr">
        <is>
          <t>Silicio metálico/ferrosilicio importados (importador neto)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verificado-comercio</t>
        </is>
      </c>
      <c r="H19" s="8" t="n"/>
    </row>
    <row r="20">
      <c r="A20" s="6" t="inlineStr">
        <is>
          <t>grafito</t>
        </is>
      </c>
      <c r="B20" s="6" t="inlineStr">
        <is>
          <t>E4 siderurgia (EAF)</t>
        </is>
      </c>
      <c r="C20" s="6" t="inlineStr">
        <is>
          <t>Ternium; ArcelorMittal; DeAcero; Gerdau Corsa (CANACERO)</t>
        </is>
      </c>
      <c r="D20" s="6" t="inlineStr">
        <is>
          <t>Acero por horno de arco eléctrico (96.7%): electrodos de grafito, refractarios, recarburación</t>
        </is>
      </c>
      <c r="E20" s="6" t="inlineStr">
        <is>
          <t>varias</t>
        </is>
      </c>
      <c r="F20" s="6" t="inlineStr">
        <is>
          <t>nacional/extranjera</t>
        </is>
      </c>
      <c r="G20" s="6" t="inlineStr">
        <is>
          <t>verificado-web</t>
        </is>
      </c>
      <c r="H20" s="5" t="inlineStr">
        <is>
          <t>canacero.org.mx</t>
        </is>
      </c>
    </row>
    <row r="21">
      <c r="A21" s="9" t="inlineStr">
        <is>
          <t>grafito</t>
        </is>
      </c>
      <c r="B21" s="9" t="inlineStr">
        <is>
          <t>E3 electrodos</t>
        </is>
      </c>
      <c r="C21" s="9" t="inlineStr">
        <is>
          <t>(mayormente importado)</t>
        </is>
      </c>
      <c r="D21" s="9" t="inlineStr">
        <is>
          <t>Electrodos de grafito importados (importador neto)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verificado-comercio</t>
        </is>
      </c>
      <c r="H21" s="8" t="n"/>
    </row>
    <row r="22">
      <c r="A22" s="6" t="inlineStr">
        <is>
          <t>barita</t>
        </is>
      </c>
      <c r="B22" s="6" t="inlineStr">
        <is>
          <t>usuario (perforación)</t>
        </is>
      </c>
      <c r="C22" s="6" t="inlineStr">
        <is>
          <t>PEMEX (+ servicios: Halliburton, Baker Hughes, SLB)</t>
        </is>
      </c>
      <c r="D22" s="6" t="inlineStr">
        <is>
          <t>Barita grado API como densificante de lodos; PEMEX se abastece de Coahuila y Sonora</t>
        </is>
      </c>
      <c r="E22" s="6" t="inlineStr">
        <is>
          <t>Cuenca de Campeche / Golfo</t>
        </is>
      </c>
      <c r="F22" s="6" t="inlineStr">
        <is>
          <t>estatal + extranjera (servicios)</t>
        </is>
      </c>
      <c r="G22" s="6" t="inlineStr">
        <is>
          <t>verificado-web</t>
        </is>
      </c>
      <c r="H22" s="5" t="inlineStr">
        <is>
          <t>PEMEX/QuimiNet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26" customWidth="1" min="12" max="12"/>
    <col width="12" customWidth="1" min="13" max="13"/>
    <col width="12" customWidth="1" min="14" max="14"/>
  </cols>
  <sheetData>
    <row r="1" ht="24" customHeight="1">
      <c r="A1" s="1" t="inlineStr">
        <is>
          <t>Cadena local - fichas L0-L4 cuantificadas (VBP/PIB/empleo 2013-2018, X/M)</t>
        </is>
      </c>
    </row>
    <row r="2" ht="40" customHeight="1">
      <c r="A2" s="2" t="inlineStr">
        <is>
          <t>Cada mercado por eslabon con VBP/PIB/empleo de la MIP donde la clase SCIAN es atribuible, y X/M por etapa. Solo el cobre tiene clases SCIAN dedicadas a su transformacion; el resto comparte clase -&gt; ese valor NO se atribuye (nota).</t>
        </is>
      </c>
    </row>
    <row r="3">
      <c r="A3" s="3" t="inlineStr">
        <is>
          <t>mineral</t>
        </is>
      </c>
      <c r="B3" s="3" t="inlineStr">
        <is>
          <t>eslabon</t>
        </is>
      </c>
      <c r="C3" s="3" t="inlineStr">
        <is>
          <t>etapa</t>
        </is>
      </c>
      <c r="D3" s="3" t="inlineStr">
        <is>
          <t>scian</t>
        </is>
      </c>
      <c r="E3" s="3" t="inlineStr">
        <is>
          <t>atribuible_mip</t>
        </is>
      </c>
      <c r="F3" s="3" t="inlineStr">
        <is>
          <t>vbp_mmp_2013</t>
        </is>
      </c>
      <c r="G3" s="3" t="inlineStr">
        <is>
          <t>pib_mmp_2013</t>
        </is>
      </c>
      <c r="H3" s="3" t="inlineStr">
        <is>
          <t>empleo_2013</t>
        </is>
      </c>
      <c r="I3" s="3" t="inlineStr">
        <is>
          <t>vbp_mmp_2018</t>
        </is>
      </c>
      <c r="J3" s="3" t="inlineStr">
        <is>
          <t>pib_mmp_2018</t>
        </is>
      </c>
      <c r="K3" s="3" t="inlineStr">
        <is>
          <t>empleo_2018</t>
        </is>
      </c>
      <c r="L3" s="3" t="inlineStr">
        <is>
          <t>nota_clase_no_atribuible</t>
        </is>
      </c>
      <c r="M3" s="3" t="inlineStr">
        <is>
          <t>X_musd_1823</t>
        </is>
      </c>
      <c r="N3" s="3" t="inlineStr">
        <is>
          <t>M_musd_1823</t>
        </is>
      </c>
    </row>
    <row r="4">
      <c r="A4" s="6" t="inlineStr">
        <is>
          <t>cobre</t>
        </is>
      </c>
      <c r="B4" s="6" t="inlineStr">
        <is>
          <t>L1</t>
        </is>
      </c>
      <c r="C4" s="6" t="inlineStr">
        <is>
          <t>E1</t>
        </is>
      </c>
      <c r="D4" s="6" t="n">
        <v>212231</v>
      </c>
      <c r="E4" s="6" t="inlineStr">
        <is>
          <t>si</t>
        </is>
      </c>
      <c r="F4" s="6" t="n">
        <v>39971.4</v>
      </c>
      <c r="G4" s="6" t="n">
        <v>28083.9</v>
      </c>
      <c r="H4" s="6" t="n">
        <v>12523</v>
      </c>
      <c r="I4" s="6" t="n">
        <v>92893</v>
      </c>
      <c r="J4" s="6" t="n">
        <v>62412.4</v>
      </c>
      <c r="K4" s="6" t="n">
        <v>8718</v>
      </c>
      <c r="L4" s="5" t="n"/>
      <c r="M4" s="6" t="n">
        <v>2968.41</v>
      </c>
      <c r="N4" s="6" t="n">
        <v>672.48</v>
      </c>
    </row>
    <row r="5">
      <c r="A5" s="9" t="inlineStr">
        <is>
          <t>cobre</t>
        </is>
      </c>
      <c r="B5" s="9" t="inlineStr">
        <is>
          <t>L2</t>
        </is>
      </c>
      <c r="C5" s="9" t="inlineStr">
        <is>
          <t>E2</t>
        </is>
      </c>
      <c r="D5" s="9" t="n">
        <v>331411</v>
      </c>
      <c r="E5" s="9" t="inlineStr">
        <is>
          <t>si</t>
        </is>
      </c>
      <c r="F5" s="9" t="n">
        <v>29375.5</v>
      </c>
      <c r="G5" s="9" t="n">
        <v>10251.4</v>
      </c>
      <c r="H5" s="9" t="n">
        <v>2064</v>
      </c>
      <c r="I5" s="9" t="n">
        <v>80889.3</v>
      </c>
      <c r="J5" s="9" t="n">
        <v>15418.1</v>
      </c>
      <c r="K5" s="9" t="n">
        <v>6301</v>
      </c>
      <c r="L5" s="8" t="n"/>
      <c r="M5" s="9" t="n">
        <v>772.89</v>
      </c>
      <c r="N5" s="9" t="n">
        <v>966.08</v>
      </c>
    </row>
    <row r="6">
      <c r="A6" s="6" t="inlineStr">
        <is>
          <t>cobre</t>
        </is>
      </c>
      <c r="B6" s="6" t="inlineStr">
        <is>
          <t>L3</t>
        </is>
      </c>
      <c r="C6" s="6" t="inlineStr">
        <is>
          <t>E3</t>
        </is>
      </c>
      <c r="D6" s="6" t="n">
        <v>331420</v>
      </c>
      <c r="E6" s="6" t="inlineStr">
        <is>
          <t>si</t>
        </is>
      </c>
      <c r="F6" s="6" t="n">
        <v>48774.4</v>
      </c>
      <c r="G6" s="6" t="n">
        <v>13000.4</v>
      </c>
      <c r="H6" s="6" t="n">
        <v>9208</v>
      </c>
      <c r="I6" s="6" t="n">
        <v>35975.3</v>
      </c>
      <c r="J6" s="6" t="n">
        <v>10146.8</v>
      </c>
      <c r="K6" s="6" t="n">
        <v>7204</v>
      </c>
      <c r="L6" s="5" t="n"/>
      <c r="M6" s="6" t="n">
        <v>528.65</v>
      </c>
      <c r="N6" s="6" t="n">
        <v>2099.93</v>
      </c>
    </row>
    <row r="7">
      <c r="A7" s="9" t="inlineStr">
        <is>
          <t>cobre</t>
        </is>
      </c>
      <c r="B7" s="9" t="inlineStr">
        <is>
          <t>L4</t>
        </is>
      </c>
      <c r="C7" s="9" t="inlineStr">
        <is>
          <t>E4</t>
        </is>
      </c>
      <c r="D7" s="9" t="n">
        <v>335999</v>
      </c>
      <c r="E7" s="9" t="inlineStr">
        <is>
          <t>no</t>
        </is>
      </c>
      <c r="F7" s="9" t="n"/>
      <c r="G7" s="9" t="n"/>
      <c r="H7" s="9" t="n"/>
      <c r="I7" s="9" t="n"/>
      <c r="J7" s="9" t="n"/>
      <c r="K7" s="9" t="n"/>
      <c r="L7" s="8" t="inlineStr">
        <is>
          <t>VBP clase agregada 2013=51,081 mmp; VBP clase agregada 2018=103,839 mmp;</t>
        </is>
      </c>
      <c r="M7" s="9" t="n">
        <v>68.93000000000001</v>
      </c>
      <c r="N7" s="9" t="n">
        <v>401.88</v>
      </c>
    </row>
    <row r="8">
      <c r="A8" s="6" t="inlineStr">
        <is>
          <t>fluorita</t>
        </is>
      </c>
      <c r="B8" s="6" t="inlineStr">
        <is>
          <t>L1</t>
        </is>
      </c>
      <c r="C8" s="6" t="inlineStr">
        <is>
          <t>E1</t>
        </is>
      </c>
      <c r="D8" s="6" t="n">
        <v>212395</v>
      </c>
      <c r="E8" s="6" t="inlineStr">
        <is>
          <t>si</t>
        </is>
      </c>
      <c r="F8" s="6" t="n">
        <v>2218.2</v>
      </c>
      <c r="G8" s="6" t="n">
        <v>1562.8</v>
      </c>
      <c r="H8" s="6" t="n">
        <v>1713</v>
      </c>
      <c r="I8" s="6" t="n">
        <v>5861.8</v>
      </c>
      <c r="J8" s="6" t="n">
        <v>3717.5</v>
      </c>
      <c r="K8" s="6" t="n">
        <v>740</v>
      </c>
      <c r="L8" s="5" t="n"/>
      <c r="M8" s="6" t="n">
        <v>78.52</v>
      </c>
      <c r="N8" s="6" t="n">
        <v>0.04</v>
      </c>
    </row>
    <row r="9">
      <c r="A9" s="9" t="inlineStr">
        <is>
          <t>fluorita</t>
        </is>
      </c>
      <c r="B9" s="9" t="inlineStr">
        <is>
          <t>L2</t>
        </is>
      </c>
      <c r="C9" s="9" t="inlineStr">
        <is>
          <t>E2</t>
        </is>
      </c>
      <c r="D9" s="9" t="n">
        <v>325180</v>
      </c>
      <c r="E9" s="9" t="inlineStr">
        <is>
          <t>no</t>
        </is>
      </c>
      <c r="F9" s="9" t="n"/>
      <c r="G9" s="9" t="n"/>
      <c r="H9" s="9" t="n"/>
      <c r="I9" s="9" t="n"/>
      <c r="J9" s="9" t="n"/>
      <c r="K9" s="9" t="n"/>
      <c r="L9" s="8" t="inlineStr">
        <is>
          <t>VBP clase agregada 2013=29,781 mmp; VBP clase agregada 2018=67,911 mmp;</t>
        </is>
      </c>
      <c r="M9" s="9" t="n">
        <v>86.51000000000001</v>
      </c>
      <c r="N9" s="9" t="n">
        <v>40.84</v>
      </c>
    </row>
    <row r="10">
      <c r="A10" s="6" t="inlineStr">
        <is>
          <t>fluorita</t>
        </is>
      </c>
      <c r="B10" s="6" t="inlineStr">
        <is>
          <t>L3</t>
        </is>
      </c>
      <c r="C10" s="6" t="inlineStr">
        <is>
          <t>E3</t>
        </is>
      </c>
      <c r="D10" s="6" t="n">
        <v>325190</v>
      </c>
      <c r="E10" s="6" t="inlineStr">
        <is>
          <t>no</t>
        </is>
      </c>
      <c r="F10" s="6" t="n"/>
      <c r="G10" s="6" t="n"/>
      <c r="H10" s="6" t="n"/>
      <c r="I10" s="6" t="n"/>
      <c r="J10" s="6" t="n"/>
      <c r="K10" s="6" t="n"/>
      <c r="L10" s="5" t="inlineStr">
        <is>
          <t>VBP clase agregada 2013=52,511 mmp; VBP clase agregada 2018=92,697 mmp;</t>
        </is>
      </c>
      <c r="M10" s="6" t="n"/>
      <c r="N10" s="6" t="n"/>
    </row>
    <row r="11">
      <c r="A11" s="9" t="inlineStr">
        <is>
          <t>fluorita</t>
        </is>
      </c>
      <c r="B11" s="9" t="inlineStr">
        <is>
          <t>L4</t>
        </is>
      </c>
      <c r="C11" s="9" t="inlineStr">
        <is>
          <t>E4</t>
        </is>
      </c>
      <c r="D11" s="9" t="n">
        <v>325211</v>
      </c>
      <c r="E11" s="9" t="inlineStr">
        <is>
          <t>no</t>
        </is>
      </c>
      <c r="F11" s="9" t="n"/>
      <c r="G11" s="9" t="n"/>
      <c r="H11" s="9" t="n"/>
      <c r="I11" s="9" t="n"/>
      <c r="J11" s="9" t="n"/>
      <c r="K11" s="9" t="n"/>
      <c r="L11" s="8" t="inlineStr">
        <is>
          <t>VBP clase agregada 2013=78,302 mmp; VBP clase agregada 2018=120,223 mmp;</t>
        </is>
      </c>
      <c r="M11" s="9" t="n"/>
      <c r="N11" s="9" t="n"/>
    </row>
    <row r="12">
      <c r="A12" s="6" t="inlineStr">
        <is>
          <t>oro</t>
        </is>
      </c>
      <c r="B12" s="6" t="inlineStr">
        <is>
          <t>L1</t>
        </is>
      </c>
      <c r="C12" s="6" t="inlineStr">
        <is>
          <t>E1</t>
        </is>
      </c>
      <c r="D12" s="6" t="n">
        <v>212221</v>
      </c>
      <c r="E12" s="6" t="inlineStr">
        <is>
          <t>si</t>
        </is>
      </c>
      <c r="F12" s="6" t="n">
        <v>49607.2</v>
      </c>
      <c r="G12" s="6" t="n">
        <v>32499</v>
      </c>
      <c r="H12" s="6" t="n">
        <v>12310</v>
      </c>
      <c r="I12" s="6" t="n">
        <v>69491.10000000001</v>
      </c>
      <c r="J12" s="6" t="n">
        <v>39301.9</v>
      </c>
      <c r="K12" s="6" t="n">
        <v>4931</v>
      </c>
      <c r="L12" s="5" t="n"/>
      <c r="M12" s="6" t="n">
        <v>128.39</v>
      </c>
      <c r="N12" s="6" t="n">
        <v>0</v>
      </c>
    </row>
    <row r="13">
      <c r="A13" s="9" t="inlineStr">
        <is>
          <t>oro</t>
        </is>
      </c>
      <c r="B13" s="9" t="inlineStr">
        <is>
          <t>L2</t>
        </is>
      </c>
      <c r="C13" s="9" t="inlineStr">
        <is>
          <t>E2</t>
        </is>
      </c>
      <c r="D13" s="9" t="n">
        <v>331412</v>
      </c>
      <c r="E13" s="9" t="inlineStr">
        <is>
          <t>comp:oro+plata</t>
        </is>
      </c>
      <c r="F13" s="9" t="n">
        <v>143518.8</v>
      </c>
      <c r="G13" s="9" t="n">
        <v>32829.4</v>
      </c>
      <c r="H13" s="9" t="n">
        <v>5839</v>
      </c>
      <c r="I13" s="9" t="n">
        <v>178982.4</v>
      </c>
      <c r="J13" s="9" t="n">
        <v>41461.3</v>
      </c>
      <c r="K13" s="9" t="n">
        <v>4622</v>
      </c>
      <c r="L13" s="8" t="inlineStr">
        <is>
          <t>CLASE COMPARTIDA (oro+plata): VBP no separable por mineral</t>
        </is>
      </c>
      <c r="M13" s="9" t="n">
        <v>3312.85</v>
      </c>
      <c r="N13" s="9" t="n">
        <v>123.35</v>
      </c>
    </row>
    <row r="14">
      <c r="A14" s="6" t="inlineStr">
        <is>
          <t>oro</t>
        </is>
      </c>
      <c r="B14" s="6" t="inlineStr">
        <is>
          <t>L4</t>
        </is>
      </c>
      <c r="C14" s="6" t="inlineStr">
        <is>
          <t>E4</t>
        </is>
      </c>
      <c r="D14" s="6" t="n">
        <v>339910</v>
      </c>
      <c r="E14" s="6" t="inlineStr">
        <is>
          <t>no</t>
        </is>
      </c>
      <c r="F14" s="6" t="n"/>
      <c r="G14" s="6" t="n"/>
      <c r="H14" s="6" t="n"/>
      <c r="I14" s="6" t="n"/>
      <c r="J14" s="6" t="n"/>
      <c r="K14" s="6" t="n"/>
      <c r="L14" s="5" t="inlineStr">
        <is>
          <t>VBP clase agregada 2013=0 mmp; VBP clase agregada 2018=0 mmp;</t>
        </is>
      </c>
      <c r="M14" s="6" t="n"/>
      <c r="N14" s="6" t="n"/>
    </row>
    <row r="15">
      <c r="A15" s="9" t="inlineStr">
        <is>
          <t>plata</t>
        </is>
      </c>
      <c r="B15" s="9" t="inlineStr">
        <is>
          <t>L1</t>
        </is>
      </c>
      <c r="C15" s="9" t="inlineStr">
        <is>
          <t>E1</t>
        </is>
      </c>
      <c r="D15" s="9" t="n">
        <v>212222</v>
      </c>
      <c r="E15" s="9" t="inlineStr">
        <is>
          <t>si</t>
        </is>
      </c>
      <c r="F15" s="9" t="n">
        <v>44680.4</v>
      </c>
      <c r="G15" s="9" t="n">
        <v>29754.2</v>
      </c>
      <c r="H15" s="9" t="n">
        <v>17983</v>
      </c>
      <c r="I15" s="9" t="n">
        <v>49784.4</v>
      </c>
      <c r="J15" s="9" t="n">
        <v>30917.3</v>
      </c>
      <c r="K15" s="9" t="n">
        <v>7598</v>
      </c>
      <c r="L15" s="8" t="n"/>
      <c r="M15" s="9" t="n">
        <v>75.18000000000001</v>
      </c>
      <c r="N15" s="9" t="n">
        <v>0.15</v>
      </c>
    </row>
    <row r="16">
      <c r="A16" s="6" t="inlineStr">
        <is>
          <t>plata</t>
        </is>
      </c>
      <c r="B16" s="6" t="inlineStr">
        <is>
          <t>L2</t>
        </is>
      </c>
      <c r="C16" s="6" t="inlineStr">
        <is>
          <t>E2</t>
        </is>
      </c>
      <c r="D16" s="6" t="n">
        <v>331412</v>
      </c>
      <c r="E16" s="6" t="inlineStr">
        <is>
          <t>comp:oro+plata</t>
        </is>
      </c>
      <c r="F16" s="6" t="n">
        <v>143518.8</v>
      </c>
      <c r="G16" s="6" t="n">
        <v>32829.4</v>
      </c>
      <c r="H16" s="6" t="n">
        <v>5839</v>
      </c>
      <c r="I16" s="6" t="n">
        <v>178982.4</v>
      </c>
      <c r="J16" s="6" t="n">
        <v>41461.3</v>
      </c>
      <c r="K16" s="6" t="n">
        <v>4622</v>
      </c>
      <c r="L16" s="5" t="inlineStr">
        <is>
          <t>CLASE COMPARTIDA (oro+plata): VBP no separable por mineral</t>
        </is>
      </c>
      <c r="M16" s="6" t="n">
        <v>2202.8</v>
      </c>
      <c r="N16" s="6" t="n">
        <v>106.11</v>
      </c>
    </row>
    <row r="17">
      <c r="A17" s="9" t="inlineStr">
        <is>
          <t>plata</t>
        </is>
      </c>
      <c r="B17" s="9" t="inlineStr">
        <is>
          <t>L4</t>
        </is>
      </c>
      <c r="C17" s="9" t="inlineStr">
        <is>
          <t>E4</t>
        </is>
      </c>
      <c r="D17" s="9" t="n">
        <v>339910</v>
      </c>
      <c r="E17" s="9" t="inlineStr">
        <is>
          <t>no</t>
        </is>
      </c>
      <c r="F17" s="9" t="n"/>
      <c r="G17" s="9" t="n"/>
      <c r="H17" s="9" t="n"/>
      <c r="I17" s="9" t="n"/>
      <c r="J17" s="9" t="n"/>
      <c r="K17" s="9" t="n"/>
      <c r="L17" s="8" t="inlineStr">
        <is>
          <t>VBP clase agregada 2013=0 mmp; VBP clase agregada 2018=0 mmp;</t>
        </is>
      </c>
      <c r="M17" s="9" t="n"/>
      <c r="N17" s="9" t="n"/>
    </row>
    <row r="18">
      <c r="A18" s="6" t="inlineStr">
        <is>
          <t>plomo</t>
        </is>
      </c>
      <c r="B18" s="6" t="inlineStr">
        <is>
          <t>L1</t>
        </is>
      </c>
      <c r="C18" s="6" t="inlineStr">
        <is>
          <t>E1</t>
        </is>
      </c>
      <c r="D18" s="6" t="n">
        <v>212232</v>
      </c>
      <c r="E18" s="6" t="inlineStr">
        <is>
          <t>comp:plomo+zinc</t>
        </is>
      </c>
      <c r="F18" s="6" t="n">
        <v>20045.8</v>
      </c>
      <c r="G18" s="6" t="n">
        <v>13865.2</v>
      </c>
      <c r="H18" s="6" t="n">
        <v>10178</v>
      </c>
      <c r="I18" s="6" t="n">
        <v>34724.7</v>
      </c>
      <c r="J18" s="6" t="n">
        <v>21683.1</v>
      </c>
      <c r="K18" s="6" t="n">
        <v>11667</v>
      </c>
      <c r="L18" s="5" t="inlineStr">
        <is>
          <t>CLASE COMPARTIDA (plomo+zinc): VBP no separable por mineral</t>
        </is>
      </c>
      <c r="M18" s="6" t="n">
        <v>901.46</v>
      </c>
      <c r="N18" s="6" t="n">
        <v>24.45</v>
      </c>
    </row>
    <row r="19">
      <c r="A19" s="9" t="inlineStr">
        <is>
          <t>plomo</t>
        </is>
      </c>
      <c r="B19" s="9" t="inlineStr">
        <is>
          <t>L2</t>
        </is>
      </c>
      <c r="C19" s="9" t="inlineStr">
        <is>
          <t>E2</t>
        </is>
      </c>
      <c r="D19" s="9" t="n">
        <v>331419</v>
      </c>
      <c r="E19" s="9" t="inlineStr">
        <is>
          <t>comp:plomo+zinc+otros no ferrosos</t>
        </is>
      </c>
      <c r="F19" s="9" t="n">
        <v>11583.1</v>
      </c>
      <c r="G19" s="9" t="n">
        <v>4563</v>
      </c>
      <c r="H19" s="9" t="n">
        <v>4745</v>
      </c>
      <c r="I19" s="9" t="n">
        <v>14421.6</v>
      </c>
      <c r="J19" s="9" t="n">
        <v>1900.4</v>
      </c>
      <c r="K19" s="9" t="n">
        <v>1534</v>
      </c>
      <c r="L19" s="8" t="inlineStr">
        <is>
          <t>CLASE COMPARTIDA (plomo+zinc+otros no ferrosos): VBP no separable por mineral</t>
        </is>
      </c>
      <c r="M19" s="9" t="n">
        <v>175.85</v>
      </c>
      <c r="N19" s="9" t="n">
        <v>31.42</v>
      </c>
    </row>
    <row r="20">
      <c r="A20" s="6" t="inlineStr">
        <is>
          <t>plomo</t>
        </is>
      </c>
      <c r="B20" s="6" t="inlineStr">
        <is>
          <t>L3</t>
        </is>
      </c>
      <c r="C20" s="6" t="inlineStr">
        <is>
          <t>E3</t>
        </is>
      </c>
      <c r="D20" s="6" t="n">
        <v>331490</v>
      </c>
      <c r="E20" s="6" t="inlineStr">
        <is>
          <t>no</t>
        </is>
      </c>
      <c r="F20" s="6" t="n"/>
      <c r="G20" s="6" t="n"/>
      <c r="H20" s="6" t="n"/>
      <c r="I20" s="6" t="n"/>
      <c r="J20" s="6" t="n"/>
      <c r="K20" s="6" t="n"/>
      <c r="L20" s="5" t="inlineStr">
        <is>
          <t>VBP clase agregada 2013=10,405 mmp; VBP clase agregada 2018=11,397 mmp;</t>
        </is>
      </c>
      <c r="M20" s="6" t="n">
        <v>0.31</v>
      </c>
      <c r="N20" s="6" t="n">
        <v>0.64</v>
      </c>
    </row>
    <row r="21">
      <c r="A21" s="9" t="inlineStr">
        <is>
          <t>plomo</t>
        </is>
      </c>
      <c r="B21" s="9" t="inlineStr">
        <is>
          <t>L4</t>
        </is>
      </c>
      <c r="C21" s="9" t="inlineStr">
        <is>
          <t>E4</t>
        </is>
      </c>
      <c r="D21" s="9" t="n">
        <v>335910</v>
      </c>
      <c r="E21" s="9" t="inlineStr">
        <is>
          <t>no</t>
        </is>
      </c>
      <c r="F21" s="9" t="n"/>
      <c r="G21" s="9" t="n"/>
      <c r="H21" s="9" t="n"/>
      <c r="I21" s="9" t="n"/>
      <c r="J21" s="9" t="n"/>
      <c r="K21" s="9" t="n"/>
      <c r="L21" s="8" t="inlineStr">
        <is>
          <t>VBP clase agregada 2013=16,877 mmp; VBP clase agregada 2018=35,119 mmp;</t>
        </is>
      </c>
      <c r="M21" s="9" t="n">
        <v>1.25</v>
      </c>
      <c r="N21" s="9" t="n">
        <v>8.109999999999999</v>
      </c>
    </row>
    <row r="22">
      <c r="A22" s="6" t="inlineStr">
        <is>
          <t>zinc</t>
        </is>
      </c>
      <c r="B22" s="6" t="inlineStr">
        <is>
          <t>L1</t>
        </is>
      </c>
      <c r="C22" s="6" t="inlineStr">
        <is>
          <t>E1</t>
        </is>
      </c>
      <c r="D22" s="6" t="n">
        <v>212232</v>
      </c>
      <c r="E22" s="6" t="inlineStr">
        <is>
          <t>comp:plomo+zinc</t>
        </is>
      </c>
      <c r="F22" s="6" t="n">
        <v>20045.8</v>
      </c>
      <c r="G22" s="6" t="n">
        <v>13865.2</v>
      </c>
      <c r="H22" s="6" t="n">
        <v>10178</v>
      </c>
      <c r="I22" s="6" t="n">
        <v>34724.7</v>
      </c>
      <c r="J22" s="6" t="n">
        <v>21683.1</v>
      </c>
      <c r="K22" s="6" t="n">
        <v>11667</v>
      </c>
      <c r="L22" s="5" t="inlineStr">
        <is>
          <t>CLASE COMPARTIDA (plomo+zinc): VBP no separable por mineral</t>
        </is>
      </c>
      <c r="M22" s="6" t="n">
        <v>498.46</v>
      </c>
      <c r="N22" s="6" t="n">
        <v>23.74</v>
      </c>
    </row>
    <row r="23">
      <c r="A23" s="9" t="inlineStr">
        <is>
          <t>zinc</t>
        </is>
      </c>
      <c r="B23" s="9" t="inlineStr">
        <is>
          <t>L2</t>
        </is>
      </c>
      <c r="C23" s="9" t="inlineStr">
        <is>
          <t>E2</t>
        </is>
      </c>
      <c r="D23" s="9" t="n">
        <v>331419</v>
      </c>
      <c r="E23" s="9" t="inlineStr">
        <is>
          <t>comp:plomo+zinc+otros no ferrosos</t>
        </is>
      </c>
      <c r="F23" s="9" t="n">
        <v>11583.1</v>
      </c>
      <c r="G23" s="9" t="n">
        <v>4563</v>
      </c>
      <c r="H23" s="9" t="n">
        <v>4745</v>
      </c>
      <c r="I23" s="9" t="n">
        <v>14421.6</v>
      </c>
      <c r="J23" s="9" t="n">
        <v>1900.4</v>
      </c>
      <c r="K23" s="9" t="n">
        <v>1534</v>
      </c>
      <c r="L23" s="8" t="inlineStr">
        <is>
          <t>CLASE COMPARTIDA (plomo+zinc+otros no ferrosos): VBP no separable por mineral</t>
        </is>
      </c>
      <c r="M23" s="9" t="n">
        <v>352.4</v>
      </c>
      <c r="N23" s="9" t="n">
        <v>73.59999999999999</v>
      </c>
    </row>
    <row r="24">
      <c r="A24" s="6" t="inlineStr">
        <is>
          <t>zinc</t>
        </is>
      </c>
      <c r="B24" s="6" t="inlineStr">
        <is>
          <t>L3</t>
        </is>
      </c>
      <c r="C24" s="6" t="inlineStr">
        <is>
          <t>E3</t>
        </is>
      </c>
      <c r="D24" s="6" t="n">
        <v>331490</v>
      </c>
      <c r="E24" s="6" t="inlineStr">
        <is>
          <t>no</t>
        </is>
      </c>
      <c r="F24" s="6" t="n"/>
      <c r="G24" s="6" t="n"/>
      <c r="H24" s="6" t="n"/>
      <c r="I24" s="6" t="n"/>
      <c r="J24" s="6" t="n"/>
      <c r="K24" s="6" t="n"/>
      <c r="L24" s="5" t="inlineStr">
        <is>
          <t>VBP clase agregada 2013=10,405 mmp; VBP clase agregada 2018=11,397 mmp;</t>
        </is>
      </c>
      <c r="M24" s="6" t="n">
        <v>1.42</v>
      </c>
      <c r="N24" s="6" t="n">
        <v>48.05</v>
      </c>
    </row>
    <row r="25">
      <c r="A25" s="9" t="inlineStr">
        <is>
          <t>zinc</t>
        </is>
      </c>
      <c r="B25" s="9" t="inlineStr">
        <is>
          <t>L4</t>
        </is>
      </c>
      <c r="C25" s="9" t="inlineStr">
        <is>
          <t>E4</t>
        </is>
      </c>
      <c r="D25" s="9" t="n">
        <v>332810</v>
      </c>
      <c r="E25" s="9" t="inlineStr">
        <is>
          <t>no</t>
        </is>
      </c>
      <c r="F25" s="9" t="n"/>
      <c r="G25" s="9" t="n"/>
      <c r="H25" s="9" t="n"/>
      <c r="I25" s="9" t="n"/>
      <c r="J25" s="9" t="n"/>
      <c r="K25" s="9" t="n"/>
      <c r="L25" s="8" t="inlineStr">
        <is>
          <t>VBP clase agregada 2013=32,239 mmp; VBP clase agregada 2018=42,691 mmp;</t>
        </is>
      </c>
      <c r="M25" s="9" t="n">
        <v>8.84</v>
      </c>
      <c r="N25" s="9" t="n">
        <v>73.73999999999999</v>
      </c>
    </row>
    <row r="26">
      <c r="A26" s="6" t="inlineStr">
        <is>
          <t>manganeso</t>
        </is>
      </c>
      <c r="B26" s="6" t="inlineStr">
        <is>
          <t>L1</t>
        </is>
      </c>
      <c r="C26" s="6" t="inlineStr">
        <is>
          <t>E1</t>
        </is>
      </c>
      <c r="D26" s="6" t="n">
        <v>212291</v>
      </c>
      <c r="E26" s="6" t="inlineStr">
        <is>
          <t>si</t>
        </is>
      </c>
      <c r="F26" s="6" t="n">
        <v>486</v>
      </c>
      <c r="G26" s="6" t="n">
        <v>373.9</v>
      </c>
      <c r="H26" s="6" t="n">
        <v>672</v>
      </c>
      <c r="I26" s="6" t="n">
        <v>635</v>
      </c>
      <c r="J26" s="6" t="n">
        <v>309.3</v>
      </c>
      <c r="K26" s="6" t="n">
        <v>523</v>
      </c>
      <c r="L26" s="5" t="n"/>
      <c r="M26" s="6" t="n">
        <v>0</v>
      </c>
      <c r="N26" s="6" t="n">
        <v>14.55</v>
      </c>
    </row>
    <row r="27">
      <c r="A27" s="9" t="inlineStr">
        <is>
          <t>manganeso</t>
        </is>
      </c>
      <c r="B27" s="9" t="inlineStr">
        <is>
          <t>L2</t>
        </is>
      </c>
      <c r="C27" s="9" t="inlineStr">
        <is>
          <t>E2</t>
        </is>
      </c>
      <c r="D27" s="9" t="n">
        <v>331112</v>
      </c>
      <c r="E27" s="9" t="inlineStr">
        <is>
          <t>comp:ferroaleaciones+acero+ferrosilicio</t>
        </is>
      </c>
      <c r="F27" s="9" t="n">
        <v>39821.9</v>
      </c>
      <c r="G27" s="9" t="n">
        <v>16179.8</v>
      </c>
      <c r="H27" s="9" t="n">
        <v>4365</v>
      </c>
      <c r="I27" s="9" t="n">
        <v>46575.4</v>
      </c>
      <c r="J27" s="9" t="n">
        <v>13604.5</v>
      </c>
      <c r="K27" s="9" t="n">
        <v>1884</v>
      </c>
      <c r="L27" s="8" t="inlineStr">
        <is>
          <t>CLASE COMPARTIDA (ferroaleaciones+acero+ferrosilicio): VBP no separable por mineral</t>
        </is>
      </c>
      <c r="M27" s="9" t="n">
        <v>24.28</v>
      </c>
      <c r="N27" s="9" t="n">
        <v>1.6</v>
      </c>
    </row>
    <row r="28">
      <c r="A28" s="6" t="inlineStr">
        <is>
          <t>manganeso</t>
        </is>
      </c>
      <c r="B28" s="6" t="inlineStr">
        <is>
          <t>L3</t>
        </is>
      </c>
      <c r="C28" s="6" t="inlineStr">
        <is>
          <t>E3</t>
        </is>
      </c>
      <c r="D28" s="6" t="n">
        <v>325180</v>
      </c>
      <c r="E28" s="6" t="inlineStr">
        <is>
          <t>no</t>
        </is>
      </c>
      <c r="F28" s="6" t="n"/>
      <c r="G28" s="6" t="n"/>
      <c r="H28" s="6" t="n"/>
      <c r="I28" s="6" t="n"/>
      <c r="J28" s="6" t="n"/>
      <c r="K28" s="6" t="n"/>
      <c r="L28" s="5" t="inlineStr">
        <is>
          <t>VBP clase agregada 2013=29,781 mmp; VBP clase agregada 2018=67,911 mmp;</t>
        </is>
      </c>
      <c r="M28" s="6" t="n">
        <v>0.18</v>
      </c>
      <c r="N28" s="6" t="n">
        <v>34.78</v>
      </c>
    </row>
    <row r="29">
      <c r="A29" s="9" t="inlineStr">
        <is>
          <t>grafito</t>
        </is>
      </c>
      <c r="B29" s="9" t="inlineStr">
        <is>
          <t>L1</t>
        </is>
      </c>
      <c r="C29" s="9" t="inlineStr">
        <is>
          <t>E1</t>
        </is>
      </c>
      <c r="D29" s="9" t="n">
        <v>212396</v>
      </c>
      <c r="E29" s="9" t="inlineStr">
        <is>
          <t>si</t>
        </is>
      </c>
      <c r="F29" s="9" t="n">
        <v>164.1</v>
      </c>
      <c r="G29" s="9" t="n">
        <v>123.7</v>
      </c>
      <c r="H29" s="9" t="n">
        <v>229</v>
      </c>
      <c r="I29" s="9" t="n">
        <v>719.8</v>
      </c>
      <c r="J29" s="9" t="n">
        <v>568.1</v>
      </c>
      <c r="K29" s="9" t="n">
        <v>627</v>
      </c>
      <c r="L29" s="8" t="n"/>
      <c r="M29" s="9" t="n">
        <v>2.15</v>
      </c>
      <c r="N29" s="9" t="n">
        <v>3.69</v>
      </c>
    </row>
    <row r="30">
      <c r="A30" s="6" t="inlineStr">
        <is>
          <t>grafito</t>
        </is>
      </c>
      <c r="B30" s="6" t="inlineStr">
        <is>
          <t>L2</t>
        </is>
      </c>
      <c r="C30" s="6" t="inlineStr">
        <is>
          <t>E2</t>
        </is>
      </c>
      <c r="D30" s="6" t="n">
        <v>325180</v>
      </c>
      <c r="E30" s="6" t="inlineStr">
        <is>
          <t>no</t>
        </is>
      </c>
      <c r="F30" s="6" t="n"/>
      <c r="G30" s="6" t="n"/>
      <c r="H30" s="6" t="n"/>
      <c r="I30" s="6" t="n"/>
      <c r="J30" s="6" t="n"/>
      <c r="K30" s="6" t="n"/>
      <c r="L30" s="5" t="inlineStr">
        <is>
          <t>VBP clase agregada 2013=29,781 mmp; VBP clase agregada 2018=67,911 mmp;</t>
        </is>
      </c>
      <c r="M30" s="6" t="n">
        <v>53.43</v>
      </c>
      <c r="N30" s="6" t="n">
        <v>53.75</v>
      </c>
    </row>
    <row r="31">
      <c r="A31" s="9" t="inlineStr">
        <is>
          <t>grafito</t>
        </is>
      </c>
      <c r="B31" s="9" t="inlineStr">
        <is>
          <t>L3</t>
        </is>
      </c>
      <c r="C31" s="9" t="inlineStr">
        <is>
          <t>E3</t>
        </is>
      </c>
      <c r="D31" s="9" t="n">
        <v>327999</v>
      </c>
      <c r="E31" s="9" t="inlineStr">
        <is>
          <t>no</t>
        </is>
      </c>
      <c r="F31" s="9" t="n"/>
      <c r="G31" s="9" t="n"/>
      <c r="H31" s="9" t="n"/>
      <c r="I31" s="9" t="n"/>
      <c r="J31" s="9" t="n"/>
      <c r="K31" s="9" t="n"/>
      <c r="L31" s="8" t="inlineStr">
        <is>
          <t>VBP clase agregada 2013=13,583 mmp; VBP clase agregada 2018=26,306 mmp;</t>
        </is>
      </c>
      <c r="M31" s="9" t="n">
        <v>120.63</v>
      </c>
      <c r="N31" s="9" t="n">
        <v>178.18</v>
      </c>
    </row>
    <row r="32">
      <c r="A32" s="6" t="inlineStr">
        <is>
          <t>grafito</t>
        </is>
      </c>
      <c r="B32" s="6" t="inlineStr">
        <is>
          <t>L4</t>
        </is>
      </c>
      <c r="C32" s="6" t="inlineStr">
        <is>
          <t>E4</t>
        </is>
      </c>
      <c r="D32" s="6" t="n">
        <v>331111</v>
      </c>
      <c r="E32" s="6" t="inlineStr">
        <is>
          <t>no</t>
        </is>
      </c>
      <c r="F32" s="6" t="n"/>
      <c r="G32" s="6" t="n"/>
      <c r="H32" s="6" t="n"/>
      <c r="I32" s="6" t="n"/>
      <c r="J32" s="6" t="n"/>
      <c r="K32" s="6" t="n"/>
      <c r="L32" s="5" t="inlineStr">
        <is>
          <t>VBP clase agregada 2013=123,100 mmp; VBP clase agregada 2018=164,669 mmp;</t>
        </is>
      </c>
      <c r="M32" s="6" t="n"/>
      <c r="N32" s="6" t="n"/>
    </row>
    <row r="33">
      <c r="A33" s="9" t="inlineStr">
        <is>
          <t>silice</t>
        </is>
      </c>
      <c r="B33" s="9" t="inlineStr">
        <is>
          <t>L1</t>
        </is>
      </c>
      <c r="C33" s="9" t="inlineStr">
        <is>
          <t>E1</t>
        </is>
      </c>
      <c r="D33" s="9" t="n">
        <v>212324</v>
      </c>
      <c r="E33" s="9" t="inlineStr">
        <is>
          <t>si</t>
        </is>
      </c>
      <c r="F33" s="9" t="n">
        <v>4898.3</v>
      </c>
      <c r="G33" s="9" t="n">
        <v>3154.1</v>
      </c>
      <c r="H33" s="9" t="n">
        <v>2863</v>
      </c>
      <c r="I33" s="9" t="n">
        <v>6959.1</v>
      </c>
      <c r="J33" s="9" t="n">
        <v>4388.1</v>
      </c>
      <c r="K33" s="9" t="n">
        <v>5642</v>
      </c>
      <c r="L33" s="8" t="n"/>
      <c r="M33" s="9" t="n">
        <v>2.08</v>
      </c>
      <c r="N33" s="9" t="n">
        <v>73.73</v>
      </c>
    </row>
    <row r="34">
      <c r="A34" s="6" t="inlineStr">
        <is>
          <t>silice</t>
        </is>
      </c>
      <c r="B34" s="6" t="inlineStr">
        <is>
          <t>L2</t>
        </is>
      </c>
      <c r="C34" s="6" t="inlineStr">
        <is>
          <t>E2</t>
        </is>
      </c>
      <c r="D34" s="6" t="n">
        <v>331112</v>
      </c>
      <c r="E34" s="6" t="inlineStr">
        <is>
          <t>no</t>
        </is>
      </c>
      <c r="F34" s="6" t="n"/>
      <c r="G34" s="6" t="n"/>
      <c r="H34" s="6" t="n"/>
      <c r="I34" s="6" t="n"/>
      <c r="J34" s="6" t="n"/>
      <c r="K34" s="6" t="n"/>
      <c r="L34" s="5" t="inlineStr">
        <is>
          <t>VBP clase agregada 2013=39,822 mmp; VBP clase agregada 2018=46,575 mmp;</t>
        </is>
      </c>
      <c r="M34" s="6" t="n">
        <v>8.220000000000001</v>
      </c>
      <c r="N34" s="6" t="n">
        <v>263.76</v>
      </c>
    </row>
    <row r="35">
      <c r="A35" s="9" t="inlineStr">
        <is>
          <t>silice</t>
        </is>
      </c>
      <c r="B35" s="9" t="inlineStr">
        <is>
          <t>L4</t>
        </is>
      </c>
      <c r="C35" s="9" t="inlineStr">
        <is>
          <t>E4</t>
        </is>
      </c>
      <c r="D35" s="9" t="n">
        <v>327211</v>
      </c>
      <c r="E35" s="9" t="inlineStr">
        <is>
          <t>no</t>
        </is>
      </c>
      <c r="F35" s="9" t="n"/>
      <c r="G35" s="9" t="n"/>
      <c r="H35" s="9" t="n"/>
      <c r="I35" s="9" t="n"/>
      <c r="J35" s="9" t="n"/>
      <c r="K35" s="9" t="n"/>
      <c r="L35" s="8" t="inlineStr">
        <is>
          <t>VBP clase agregada 2013=23,027 mmp; VBP clase agregada 2018=28,333 mmp;</t>
        </is>
      </c>
      <c r="M35" s="9" t="n"/>
      <c r="N35" s="9" t="n"/>
    </row>
    <row r="36">
      <c r="A36" s="6" t="inlineStr">
        <is>
          <t>barita</t>
        </is>
      </c>
      <c r="B36" s="6" t="inlineStr">
        <is>
          <t>L1</t>
        </is>
      </c>
      <c r="C36" s="6" t="inlineStr">
        <is>
          <t>E1</t>
        </is>
      </c>
      <c r="D36" s="6" t="n">
        <v>212393</v>
      </c>
      <c r="E36" s="6" t="inlineStr">
        <is>
          <t>si</t>
        </is>
      </c>
      <c r="F36" s="6" t="n">
        <v>368.3</v>
      </c>
      <c r="G36" s="6" t="n">
        <v>222.8</v>
      </c>
      <c r="H36" s="6" t="n">
        <v>1003</v>
      </c>
      <c r="I36" s="6" t="n">
        <v>685.6</v>
      </c>
      <c r="J36" s="6" t="n">
        <v>452.4</v>
      </c>
      <c r="K36" s="6" t="n">
        <v>1713</v>
      </c>
      <c r="L36" s="5" t="n"/>
      <c r="M36" s="6" t="n">
        <v>12.07</v>
      </c>
      <c r="N36" s="6" t="n">
        <v>4.67</v>
      </c>
    </row>
    <row r="37">
      <c r="A37" s="9" t="inlineStr">
        <is>
          <t>barita</t>
        </is>
      </c>
      <c r="B37" s="9" t="inlineStr">
        <is>
          <t>L2</t>
        </is>
      </c>
      <c r="C37" s="9" t="inlineStr">
        <is>
          <t>E2</t>
        </is>
      </c>
      <c r="D37" s="9" t="n">
        <v>325180</v>
      </c>
      <c r="E37" s="9" t="inlineStr">
        <is>
          <t>no</t>
        </is>
      </c>
      <c r="F37" s="9" t="n"/>
      <c r="G37" s="9" t="n"/>
      <c r="H37" s="9" t="n"/>
      <c r="I37" s="9" t="n"/>
      <c r="J37" s="9" t="n"/>
      <c r="K37" s="9" t="n"/>
      <c r="L37" s="8" t="inlineStr">
        <is>
          <t>VBP clase agregada 2013=29,781 mmp; VBP clase agregada 2018=67,911 mmp;</t>
        </is>
      </c>
      <c r="M37" s="9" t="n">
        <v>0</v>
      </c>
      <c r="N37" s="9" t="n">
        <v>3.59</v>
      </c>
    </row>
    <row r="38">
      <c r="A38" s="6" t="inlineStr">
        <is>
          <t>barita</t>
        </is>
      </c>
      <c r="B38" s="6" t="inlineStr">
        <is>
          <t>L4</t>
        </is>
      </c>
      <c r="C38" s="6" t="inlineStr">
        <is>
          <t>E4</t>
        </is>
      </c>
      <c r="D38" s="6" t="n">
        <v>213111</v>
      </c>
      <c r="E38" s="6" t="inlineStr">
        <is>
          <t>no</t>
        </is>
      </c>
      <c r="F38" s="6" t="n"/>
      <c r="G38" s="6" t="n"/>
      <c r="H38" s="6" t="n"/>
      <c r="I38" s="6" t="n"/>
      <c r="J38" s="6" t="n"/>
      <c r="K38" s="6" t="n"/>
      <c r="L38" s="5" t="inlineStr">
        <is>
          <t>VBP clase agregada 2013=156,155 mmp; VBP clase agregada 2018=136,811 mmp;</t>
        </is>
      </c>
      <c r="M38" s="6" t="n"/>
      <c r="N38" s="6" t="n"/>
    </row>
  </sheetData>
  <mergeCells count="2">
    <mergeCell ref="A2:N2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26" customWidth="1" min="4" max="4"/>
    <col width="26" customWidth="1" min="5" max="5"/>
    <col width="26" customWidth="1" min="6" max="6"/>
    <col width="40" customWidth="1" min="7" max="7"/>
  </cols>
  <sheetData>
    <row r="1" ht="24" customHeight="1">
      <c r="A1" s="1" t="inlineStr">
        <is>
          <t>Cadena local - tipologia A/B/C/D</t>
        </is>
      </c>
    </row>
    <row r="2" ht="40" customHeight="1">
      <c r="A2" s="2" t="inlineStr">
        <is>
          <t>Clasifica los 10 mercados por grado de transformacion domestica (A desarrollada / B truncada en refinado / C usuario con eslabon importado / D exportacion en bruto), con los criterios que la sustentan (actores, espejo, Ghosh/DI).</t>
        </is>
      </c>
    </row>
    <row r="3">
      <c r="A3" s="3" t="inlineStr">
        <is>
          <t>mineral</t>
        </is>
      </c>
      <c r="B3" s="3" t="inlineStr">
        <is>
          <t>tipo</t>
        </is>
      </c>
      <c r="C3" s="3" t="inlineStr">
        <is>
          <t>eslabon_ruptura</t>
        </is>
      </c>
      <c r="D3" s="3" t="inlineStr">
        <is>
          <t>criterio_actores</t>
        </is>
      </c>
      <c r="E3" s="3" t="inlineStr">
        <is>
          <t>criterio_espejo</t>
        </is>
      </c>
      <c r="F3" s="3" t="inlineStr">
        <is>
          <t>criterio_ghosh_di</t>
        </is>
      </c>
      <c r="G3" s="3" t="inlineStr">
        <is>
          <t>justificacion</t>
        </is>
      </c>
    </row>
    <row r="4">
      <c r="A4" s="6" t="inlineStr">
        <is>
          <t>cobre</t>
        </is>
      </c>
      <c r="B4" s="6" t="inlineStr">
        <is>
          <t>B</t>
        </is>
      </c>
      <c r="C4" s="6" t="inlineStr">
        <is>
          <t>L2-&gt;L3</t>
        </is>
      </c>
      <c r="D4" s="5" t="inlineStr">
        <is>
          <t>L1,L2,L3 con actores nacionales; L4 no atribuible</t>
        </is>
      </c>
      <c r="E4" s="5" t="inlineStr">
        <is>
          <t>X_share_crudo 0.61-&gt;0.81; semis importador neto</t>
        </is>
      </c>
      <c r="F4" s="5" t="inlineStr">
        <is>
          <t>forward 1.34 realizado como export de metal</t>
        </is>
      </c>
      <c r="G4" s="5" t="inlineStr">
        <is>
          <t>Cadena hasta metal refinado; no profundiza a semis/manufactura (importadas); mineral sale como concentrado</t>
        </is>
      </c>
    </row>
    <row r="5">
      <c r="A5" s="9" t="inlineStr">
        <is>
          <t>fluorita</t>
        </is>
      </c>
      <c r="B5" s="9" t="inlineStr">
        <is>
          <t>A</t>
        </is>
      </c>
      <c r="C5" s="9" t="inlineStr">
        <is>
          <t>L2-&gt;L3</t>
        </is>
      </c>
      <c r="D5" s="8" t="inlineStr">
        <is>
          <t>L1 + L2 (HF Koura clase mundial); L3-L4 ausentes</t>
        </is>
      </c>
      <c r="E5" s="8" t="inlineStr">
        <is>
          <t>historicamente procesado; retroceso a crudo 2021-23 (0.83-0.93)</t>
        </is>
      </c>
      <c r="F5" s="8" t="inlineStr">
        <is>
          <t>forward 1.31; DI local=cemento 82%, HF exporta</t>
        </is>
      </c>
      <c r="G5" s="8" t="inlineStr">
        <is>
          <t>La mas integrada no metalica (HF); limite A/B: fluoropolimeros importados y HF como enclave de exportacion</t>
        </is>
      </c>
    </row>
    <row r="6">
      <c r="A6" s="6" t="inlineStr">
        <is>
          <t>oro</t>
        </is>
      </c>
      <c r="B6" s="6" t="inlineStr">
        <is>
          <t>B</t>
        </is>
      </c>
      <c r="C6" s="6" t="inlineStr">
        <is>
          <t>L2-&gt;L4</t>
        </is>
      </c>
      <c r="D6" s="5" t="inlineStr">
        <is>
          <t>L1 disperso + L2 Penoles; L4 joyeria sin produccion</t>
        </is>
      </c>
      <c r="E6" s="5" t="inlineStr">
        <is>
          <t>exporta metal refinado (proc 0.99); joyeria importada</t>
        </is>
      </c>
      <c r="F6" s="5" t="inlineStr">
        <is>
          <t>DI 99.5% refinacion; forward 1.22 moderado</t>
        </is>
      </c>
      <c r="G6" s="5" t="inlineStr">
        <is>
          <t>Se refina y exporta como metal/dore; joyeria importada; cadena se cierra en el lingote</t>
        </is>
      </c>
    </row>
    <row r="7">
      <c r="A7" s="9" t="inlineStr">
        <is>
          <t>plata</t>
        </is>
      </c>
      <c r="B7" s="9" t="inlineStr">
        <is>
          <t>B</t>
        </is>
      </c>
      <c r="C7" s="9" t="inlineStr">
        <is>
          <t>L2-&gt;L4</t>
        </is>
      </c>
      <c r="D7" s="8" t="inlineStr">
        <is>
          <t>L1 disperso + L2 Penoles; L4 joyeria sin produccion</t>
        </is>
      </c>
      <c r="E7" s="8" t="inlineStr">
        <is>
          <t>exporta plata refinada (proc 0.98); joyeria importada</t>
        </is>
      </c>
      <c r="F7" s="8" t="inlineStr">
        <is>
          <t>DI 99% refinacion; forward 1.17</t>
        </is>
      </c>
      <c r="G7" s="8" t="inlineStr">
        <is>
          <t>1o productor mundial; cadena se cierra en el metal refinado, no en la manufactura</t>
        </is>
      </c>
    </row>
    <row r="8">
      <c r="A8" s="6" t="inlineStr">
        <is>
          <t>plomo</t>
        </is>
      </c>
      <c r="B8" s="6" t="inlineStr">
        <is>
          <t>B</t>
        </is>
      </c>
      <c r="C8" s="6" t="inlineStr">
        <is>
          <t>L1-&gt;L2</t>
        </is>
      </c>
      <c r="D8" s="5" t="inlineStr">
        <is>
          <t>L1,L2 Penoles,L4 baterias Clarios; L3 marginal</t>
        </is>
      </c>
      <c r="E8" s="5" t="inlineStr">
        <is>
          <t>X_share_crudo 0.78-&gt;0.86 (exporta concentrado)</t>
        </is>
      </c>
      <c r="F8" s="5" t="inlineStr">
        <is>
          <t>forward 0.71 (muy bajo); DI 79.5% no ferrosos</t>
        </is>
      </c>
      <c r="G8" s="5" t="inlineStr">
        <is>
          <t>Refinacion y baterias existen pero desacopladas; primario sale como concentrado; baterias usan reciclado</t>
        </is>
      </c>
    </row>
    <row r="9">
      <c r="A9" s="9" t="inlineStr">
        <is>
          <t>zinc</t>
        </is>
      </c>
      <c r="B9" s="9" t="inlineStr">
        <is>
          <t>B</t>
        </is>
      </c>
      <c r="C9" s="9" t="inlineStr">
        <is>
          <t>L1-&gt;L2</t>
        </is>
      </c>
      <c r="D9" s="8" t="inlineStr">
        <is>
          <t>L1,L2 IMMSA/Penoles; L3-L4 debiles</t>
        </is>
      </c>
      <c r="E9" s="8" t="inlineStr">
        <is>
          <t>X_share_crudo 0.64-&gt;0.80; semis importador neto</t>
        </is>
      </c>
      <c r="F9" s="8" t="inlineStr">
        <is>
          <t>forward 0.71 (bajo)</t>
        </is>
      </c>
      <c r="G9" s="8" t="inlineStr">
        <is>
          <t>Refinacion nacional presente pero exporta concentrado e importa semis/galvanizado</t>
        </is>
      </c>
    </row>
    <row r="10">
      <c r="A10" s="6" t="inlineStr">
        <is>
          <t>manganeso</t>
        </is>
      </c>
      <c r="B10" s="6" t="inlineStr">
        <is>
          <t>A</t>
        </is>
      </c>
      <c r="C10" s="6" t="inlineStr">
        <is>
          <t>L2-&gt;L3</t>
        </is>
      </c>
      <c r="D10" s="5" t="inlineStr">
        <is>
          <t>Autlan integra L1+L2 (ferroaleacion)</t>
        </is>
      </c>
      <c r="E10" s="5" t="inlineStr">
        <is>
          <t>exporta procesado, no mena (crudo=0)</t>
        </is>
      </c>
      <c r="F10" s="5" t="inlineStr">
        <is>
          <t>forward 1.54 (alto); insumo siderurgico</t>
        </is>
      </c>
      <c r="G10" s="5" t="inlineStr">
        <is>
          <t>Cadena metalica desarrollada con capital nacional; exporta ferroaleacion; ruptura en la quimica fina de Mn</t>
        </is>
      </c>
    </row>
    <row r="11">
      <c r="A11" s="9" t="inlineStr">
        <is>
          <t>grafito</t>
        </is>
      </c>
      <c r="B11" s="9" t="inlineStr">
        <is>
          <t>C</t>
        </is>
      </c>
      <c r="C11" s="9" t="inlineStr">
        <is>
          <t>L1-&gt;L2</t>
        </is>
      </c>
      <c r="D11" s="8" t="inlineStr">
        <is>
          <t>usuarios (acerias EAF) presentes; sin productor del insumo</t>
        </is>
      </c>
      <c r="E11" s="8" t="inlineStr">
        <is>
          <t>importador neto de procesado/electrodos</t>
        </is>
      </c>
      <c r="F11" s="8" t="inlineStr">
        <is>
          <t>forward 1.71 (alto), todo a siderurgia</t>
        </is>
      </c>
      <c r="G11" s="8" t="inlineStr">
        <is>
          <t>Industria usuaria robusta pero grafito procesado y electrodos importados; mina decreciente</t>
        </is>
      </c>
    </row>
    <row r="12">
      <c r="A12" s="6" t="inlineStr">
        <is>
          <t>silice</t>
        </is>
      </c>
      <c r="B12" s="6" t="inlineStr">
        <is>
          <t>C</t>
        </is>
      </c>
      <c r="C12" s="6" t="inlineStr">
        <is>
          <t>L1-&gt;L2</t>
        </is>
      </c>
      <c r="D12" s="5" t="inlineStr">
        <is>
          <t>usuarios (vidrio,cemento) presentes; sin productor de silicio</t>
        </is>
      </c>
      <c r="E12" s="5" t="inlineStr">
        <is>
          <t>importador neto de silicio/ferrosilicio (M~264 MUSD)</t>
        </is>
      </c>
      <c r="F12" s="5" t="inlineStr">
        <is>
          <t>forward 1.92 (el mas alto); vidrio+cemento</t>
        </is>
      </c>
      <c r="G12" s="5" t="inlineStr">
        <is>
          <t>Cadena de bajo grado local (arena-&gt;vidrio/cemento) real; eslabon de silicio de alto valor importado</t>
        </is>
      </c>
    </row>
    <row r="13">
      <c r="A13" s="9" t="inlineStr">
        <is>
          <t>barita</t>
        </is>
      </c>
      <c r="B13" s="9" t="inlineStr">
        <is>
          <t>D</t>
        </is>
      </c>
      <c r="C13" s="9" t="inlineStr">
        <is>
          <t>L1-&gt;L2</t>
        </is>
      </c>
      <c r="D13" s="8" t="inlineStr">
        <is>
          <t>solo extraccion/molienda + uso petrolero; sin quimica</t>
        </is>
      </c>
      <c r="E13" s="8" t="inlineStr">
        <is>
          <t>exporta en bruto (crudo 100%)</t>
        </is>
      </c>
      <c r="F13" s="8" t="inlineStr">
        <is>
          <t>forward 0.64 (muy bajo); insumo petrolero</t>
        </is>
      </c>
      <c r="G13" s="8" t="inlineStr">
        <is>
          <t>Extraer y usar en bruto; sin transformacion quimica del bario en el pais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16" customWidth="1" min="10" max="10"/>
    <col width="16" customWidth="1" min="11" max="11"/>
    <col width="12" customWidth="1" min="12" max="12"/>
    <col width="12" customWidth="1" min="13" max="13"/>
    <col width="13" customWidth="1" min="14" max="14"/>
  </cols>
  <sheetData>
    <row r="1" ht="24" customHeight="1">
      <c r="A1" s="1" t="inlineStr">
        <is>
          <t>Comparacion internacional - encadenamientos de mineria (OECD ICIO 2023, 8 paises)</t>
        </is>
      </c>
    </row>
    <row r="2" ht="40" customHeight="1">
      <c r="A2" s="2" t="inlineStr">
        <is>
          <t>Ghosh (forward) y Leontief (backward) del sector mineria de 8 paises, 3-4 cortes. Sector comparable = B07_08 (mineria no energetica). Resultado del script sobre la matriz inter-pais; comparar POSICION relativa (ISIC != SCIAN), no niveles absolutos. Mexico 1.51 ~ China 1.53.</t>
        </is>
      </c>
    </row>
    <row r="3">
      <c r="A3" s="3" t="inlineStr">
        <is>
          <t>anio</t>
        </is>
      </c>
      <c r="B3" s="3" t="inlineStr">
        <is>
          <t>pais</t>
        </is>
      </c>
      <c r="C3" s="3" t="inlineStr">
        <is>
          <t>pais_nombre</t>
        </is>
      </c>
      <c r="D3" s="3" t="inlineStr">
        <is>
          <t>sector</t>
        </is>
      </c>
      <c r="E3" s="3" t="inlineStr">
        <is>
          <t>sector_nombre</t>
        </is>
      </c>
      <c r="F3" s="3" t="inlineStr">
        <is>
          <t>vbp_musd</t>
        </is>
      </c>
      <c r="G3" s="3" t="inlineStr">
        <is>
          <t>share_vbp_pct</t>
        </is>
      </c>
      <c r="H3" s="3" t="inlineStr">
        <is>
          <t>backward_L_colsum</t>
        </is>
      </c>
      <c r="I3" s="3" t="inlineStr">
        <is>
          <t>forward_G_rowsum</t>
        </is>
      </c>
      <c r="J3" s="3" t="inlineStr">
        <is>
          <t>backward_rasmussen</t>
        </is>
      </c>
      <c r="K3" s="3" t="inlineStr">
        <is>
          <t>forward_rasmussen</t>
        </is>
      </c>
      <c r="L3" s="3" t="inlineStr">
        <is>
          <t>rank_backward</t>
        </is>
      </c>
      <c r="M3" s="3" t="inlineStr">
        <is>
          <t>rank_forward</t>
        </is>
      </c>
      <c r="N3" s="3" t="inlineStr">
        <is>
          <t>n_industrias</t>
        </is>
      </c>
    </row>
    <row r="4">
      <c r="A4" s="6" t="n">
        <v>2008</v>
      </c>
      <c r="B4" s="6" t="inlineStr">
        <is>
          <t>MEX</t>
        </is>
      </c>
      <c r="C4" s="6" t="inlineStr">
        <is>
          <t>Mexico</t>
        </is>
      </c>
      <c r="D4" s="6" t="inlineStr">
        <is>
          <t>B05_06</t>
        </is>
      </c>
      <c r="E4" s="6" t="inlineStr">
        <is>
          <t>mineria energeticos</t>
        </is>
      </c>
      <c r="F4" s="6" t="n">
        <v>94774.7</v>
      </c>
      <c r="G4" s="6" t="n">
        <v>4.928</v>
      </c>
      <c r="H4" s="6" t="n">
        <v>1.1795</v>
      </c>
      <c r="I4" s="6" t="n">
        <v>2.1193</v>
      </c>
      <c r="J4" s="6" t="n">
        <v>0.7409</v>
      </c>
      <c r="K4" s="6" t="n">
        <v>1.3657</v>
      </c>
      <c r="L4" s="6" t="n">
        <v>42</v>
      </c>
      <c r="M4" s="6" t="n">
        <v>7</v>
      </c>
      <c r="N4" s="6" t="n">
        <v>45</v>
      </c>
    </row>
    <row r="5">
      <c r="A5" s="9" t="n">
        <v>2008</v>
      </c>
      <c r="B5" s="9" t="inlineStr">
        <is>
          <t>MEX</t>
        </is>
      </c>
      <c r="C5" s="9" t="inlineStr">
        <is>
          <t>Mexico</t>
        </is>
      </c>
      <c r="D5" s="9" t="inlineStr">
        <is>
          <t>B07_08</t>
        </is>
      </c>
      <c r="E5" s="9" t="inlineStr">
        <is>
          <t>mineria no energetica (metales+otra)</t>
        </is>
      </c>
      <c r="F5" s="9" t="n">
        <v>13243.4</v>
      </c>
      <c r="G5" s="9" t="n">
        <v>0.6889999999999999</v>
      </c>
      <c r="H5" s="9" t="n">
        <v>1.5305</v>
      </c>
      <c r="I5" s="9" t="n">
        <v>2.5606</v>
      </c>
      <c r="J5" s="9" t="n">
        <v>0.9614</v>
      </c>
      <c r="K5" s="9" t="n">
        <v>1.65</v>
      </c>
      <c r="L5" s="9" t="n">
        <v>24</v>
      </c>
      <c r="M5" s="9" t="n">
        <v>1</v>
      </c>
      <c r="N5" s="9" t="n">
        <v>45</v>
      </c>
    </row>
    <row r="6">
      <c r="A6" s="6" t="n">
        <v>2008</v>
      </c>
      <c r="B6" s="6" t="inlineStr">
        <is>
          <t>MEX</t>
        </is>
      </c>
      <c r="C6" s="6" t="inlineStr">
        <is>
          <t>Mexico</t>
        </is>
      </c>
      <c r="D6" s="6" t="inlineStr">
        <is>
          <t>B09</t>
        </is>
      </c>
      <c r="E6" s="6" t="inlineStr">
        <is>
          <t>servicios apoyo mineria</t>
        </is>
      </c>
      <c r="F6" s="6" t="n">
        <v>11605.6</v>
      </c>
      <c r="G6" s="6" t="n">
        <v>0.603</v>
      </c>
      <c r="H6" s="6" t="n">
        <v>1.5855</v>
      </c>
      <c r="I6" s="6" t="n">
        <v>1.2749</v>
      </c>
      <c r="J6" s="6" t="n">
        <v>0.9959</v>
      </c>
      <c r="K6" s="6" t="n">
        <v>0.8215</v>
      </c>
      <c r="L6" s="6" t="n">
        <v>21</v>
      </c>
      <c r="M6" s="6" t="n">
        <v>31</v>
      </c>
      <c r="N6" s="6" t="n">
        <v>45</v>
      </c>
    </row>
    <row r="7">
      <c r="A7" s="9" t="n">
        <v>2008</v>
      </c>
      <c r="B7" s="9" t="inlineStr">
        <is>
          <t>CHL</t>
        </is>
      </c>
      <c r="C7" s="9" t="inlineStr">
        <is>
          <t>Chile</t>
        </is>
      </c>
      <c r="D7" s="9" t="inlineStr">
        <is>
          <t>B05_06</t>
        </is>
      </c>
      <c r="E7" s="9" t="inlineStr">
        <is>
          <t>mineria energeticos</t>
        </is>
      </c>
      <c r="F7" s="9" t="n">
        <v>496.5</v>
      </c>
      <c r="G7" s="9" t="n">
        <v>0.135</v>
      </c>
      <c r="H7" s="9" t="n">
        <v>1.6674</v>
      </c>
      <c r="I7" s="9" t="n">
        <v>2.9297</v>
      </c>
      <c r="J7" s="9" t="n">
        <v>0.9592000000000001</v>
      </c>
      <c r="K7" s="9" t="n">
        <v>1.6369</v>
      </c>
      <c r="L7" s="9" t="n">
        <v>28</v>
      </c>
      <c r="M7" s="9" t="n">
        <v>1</v>
      </c>
      <c r="N7" s="9" t="n">
        <v>45</v>
      </c>
    </row>
    <row r="8">
      <c r="A8" s="6" t="n">
        <v>2008</v>
      </c>
      <c r="B8" s="6" t="inlineStr">
        <is>
          <t>CHL</t>
        </is>
      </c>
      <c r="C8" s="6" t="inlineStr">
        <is>
          <t>Chile</t>
        </is>
      </c>
      <c r="D8" s="6" t="inlineStr">
        <is>
          <t>B07_08</t>
        </is>
      </c>
      <c r="E8" s="6" t="inlineStr">
        <is>
          <t>mineria no energetica (metales+otra)</t>
        </is>
      </c>
      <c r="F8" s="6" t="n">
        <v>56714.8</v>
      </c>
      <c r="G8" s="6" t="n">
        <v>15.388</v>
      </c>
      <c r="H8" s="6" t="n">
        <v>1.8356</v>
      </c>
      <c r="I8" s="6" t="n">
        <v>1.5845</v>
      </c>
      <c r="J8" s="6" t="n">
        <v>1.056</v>
      </c>
      <c r="K8" s="6" t="n">
        <v>0.8853</v>
      </c>
      <c r="L8" s="6" t="n">
        <v>18</v>
      </c>
      <c r="M8" s="6" t="n">
        <v>27</v>
      </c>
      <c r="N8" s="6" t="n">
        <v>45</v>
      </c>
    </row>
    <row r="9">
      <c r="A9" s="9" t="n">
        <v>2008</v>
      </c>
      <c r="B9" s="9" t="inlineStr">
        <is>
          <t>CHL</t>
        </is>
      </c>
      <c r="C9" s="9" t="inlineStr">
        <is>
          <t>Chile</t>
        </is>
      </c>
      <c r="D9" s="9" t="inlineStr">
        <is>
          <t>B09</t>
        </is>
      </c>
      <c r="E9" s="9" t="inlineStr">
        <is>
          <t>servicios apoyo mineria</t>
        </is>
      </c>
      <c r="F9" s="9" t="n">
        <v>107.1</v>
      </c>
      <c r="G9" s="9" t="n">
        <v>0.029</v>
      </c>
      <c r="H9" s="9" t="n">
        <v>1.4488</v>
      </c>
      <c r="I9" s="9" t="n">
        <v>1.8695</v>
      </c>
      <c r="J9" s="9" t="n">
        <v>0.8335</v>
      </c>
      <c r="K9" s="9" t="n">
        <v>1.0445</v>
      </c>
      <c r="L9" s="9" t="n">
        <v>39</v>
      </c>
      <c r="M9" s="9" t="n">
        <v>23</v>
      </c>
      <c r="N9" s="9" t="n">
        <v>45</v>
      </c>
    </row>
    <row r="10">
      <c r="A10" s="6" t="n">
        <v>2008</v>
      </c>
      <c r="B10" s="6" t="inlineStr">
        <is>
          <t>AUS</t>
        </is>
      </c>
      <c r="C10" s="6" t="inlineStr">
        <is>
          <t>Australia</t>
        </is>
      </c>
      <c r="D10" s="6" t="inlineStr">
        <is>
          <t>B05_06</t>
        </is>
      </c>
      <c r="E10" s="6" t="inlineStr">
        <is>
          <t>mineria energeticos</t>
        </is>
      </c>
      <c r="F10" s="6" t="n">
        <v>80664</v>
      </c>
      <c r="G10" s="6" t="n">
        <v>4.07</v>
      </c>
      <c r="H10" s="6" t="n">
        <v>1.4455</v>
      </c>
      <c r="I10" s="6" t="n">
        <v>1.862</v>
      </c>
      <c r="J10" s="6" t="n">
        <v>0.771</v>
      </c>
      <c r="K10" s="6" t="n">
        <v>0.9683</v>
      </c>
      <c r="L10" s="6" t="n">
        <v>44</v>
      </c>
      <c r="M10" s="6" t="n">
        <v>24</v>
      </c>
      <c r="N10" s="6" t="n">
        <v>45</v>
      </c>
    </row>
    <row r="11">
      <c r="A11" s="9" t="n">
        <v>2008</v>
      </c>
      <c r="B11" s="9" t="inlineStr">
        <is>
          <t>AUS</t>
        </is>
      </c>
      <c r="C11" s="9" t="inlineStr">
        <is>
          <t>Australia</t>
        </is>
      </c>
      <c r="D11" s="9" t="inlineStr">
        <is>
          <t>B07_08</t>
        </is>
      </c>
      <c r="E11" s="9" t="inlineStr">
        <is>
          <t>mineria no energetica (metales+otra)</t>
        </is>
      </c>
      <c r="F11" s="9" t="n">
        <v>59701.6</v>
      </c>
      <c r="G11" s="9" t="n">
        <v>3.012</v>
      </c>
      <c r="H11" s="9" t="n">
        <v>1.8272</v>
      </c>
      <c r="I11" s="9" t="n">
        <v>1.8409</v>
      </c>
      <c r="J11" s="9" t="n">
        <v>0.9746</v>
      </c>
      <c r="K11" s="9" t="n">
        <v>0.9573</v>
      </c>
      <c r="L11" s="9" t="n">
        <v>31</v>
      </c>
      <c r="M11" s="9" t="n">
        <v>25</v>
      </c>
      <c r="N11" s="9" t="n">
        <v>45</v>
      </c>
    </row>
    <row r="12">
      <c r="A12" s="6" t="n">
        <v>2008</v>
      </c>
      <c r="B12" s="6" t="inlineStr">
        <is>
          <t>AUS</t>
        </is>
      </c>
      <c r="C12" s="6" t="inlineStr">
        <is>
          <t>Australia</t>
        </is>
      </c>
      <c r="D12" s="6" t="inlineStr">
        <is>
          <t>B09</t>
        </is>
      </c>
      <c r="E12" s="6" t="inlineStr">
        <is>
          <t>servicios apoyo mineria</t>
        </is>
      </c>
      <c r="F12" s="6" t="n">
        <v>12119.2</v>
      </c>
      <c r="G12" s="6" t="n">
        <v>0.611</v>
      </c>
      <c r="H12" s="6" t="n">
        <v>1.9483</v>
      </c>
      <c r="I12" s="6" t="n">
        <v>2.2204</v>
      </c>
      <c r="J12" s="6" t="n">
        <v>1.0391</v>
      </c>
      <c r="K12" s="6" t="n">
        <v>1.1547</v>
      </c>
      <c r="L12" s="6" t="n">
        <v>21</v>
      </c>
      <c r="M12" s="6" t="n">
        <v>19</v>
      </c>
      <c r="N12" s="6" t="n">
        <v>45</v>
      </c>
    </row>
    <row r="13">
      <c r="A13" s="9" t="n">
        <v>2008</v>
      </c>
      <c r="B13" s="9" t="inlineStr">
        <is>
          <t>FIN</t>
        </is>
      </c>
      <c r="C13" s="9" t="inlineStr">
        <is>
          <t>Finlandia</t>
        </is>
      </c>
      <c r="D13" s="9" t="inlineStr">
        <is>
          <t>B05_06</t>
        </is>
      </c>
      <c r="E13" s="9" t="inlineStr">
        <is>
          <t>mineria energeticos</t>
        </is>
      </c>
      <c r="F13" s="9" t="n">
        <v>533.4</v>
      </c>
      <c r="G13" s="9" t="n">
        <v>0.096</v>
      </c>
      <c r="H13" s="9" t="n">
        <v>1.7158</v>
      </c>
      <c r="I13" s="9" t="n">
        <v>3.0549</v>
      </c>
      <c r="J13" s="9" t="n">
        <v>1.031</v>
      </c>
      <c r="K13" s="9" t="n">
        <v>1.7191</v>
      </c>
      <c r="L13" s="9" t="n">
        <v>20</v>
      </c>
      <c r="M13" s="9" t="n">
        <v>1</v>
      </c>
      <c r="N13" s="9" t="n">
        <v>45</v>
      </c>
    </row>
    <row r="14">
      <c r="A14" s="6" t="n">
        <v>2008</v>
      </c>
      <c r="B14" s="6" t="inlineStr">
        <is>
          <t>FIN</t>
        </is>
      </c>
      <c r="C14" s="6" t="inlineStr">
        <is>
          <t>Finlandia</t>
        </is>
      </c>
      <c r="D14" s="6" t="inlineStr">
        <is>
          <t>B07_08</t>
        </is>
      </c>
      <c r="E14" s="6" t="inlineStr">
        <is>
          <t>mineria no energetica (metales+otra)</t>
        </is>
      </c>
      <c r="F14" s="6" t="n">
        <v>1877.8</v>
      </c>
      <c r="G14" s="6" t="n">
        <v>0.339</v>
      </c>
      <c r="H14" s="6" t="n">
        <v>1.7308</v>
      </c>
      <c r="I14" s="6" t="n">
        <v>2.5099</v>
      </c>
      <c r="J14" s="6" t="n">
        <v>1.04</v>
      </c>
      <c r="K14" s="6" t="n">
        <v>1.4124</v>
      </c>
      <c r="L14" s="6" t="n">
        <v>18</v>
      </c>
      <c r="M14" s="6" t="n">
        <v>2</v>
      </c>
      <c r="N14" s="6" t="n">
        <v>45</v>
      </c>
    </row>
    <row r="15">
      <c r="A15" s="9" t="n">
        <v>2008</v>
      </c>
      <c r="B15" s="9" t="inlineStr">
        <is>
          <t>FIN</t>
        </is>
      </c>
      <c r="C15" s="9" t="inlineStr">
        <is>
          <t>Finlandia</t>
        </is>
      </c>
      <c r="D15" s="9" t="inlineStr">
        <is>
          <t>B09</t>
        </is>
      </c>
      <c r="E15" s="9" t="inlineStr">
        <is>
          <t>servicios apoyo mineria</t>
        </is>
      </c>
      <c r="F15" s="9" t="n">
        <v>38.9</v>
      </c>
      <c r="G15" s="9" t="n">
        <v>0.007</v>
      </c>
      <c r="H15" s="9" t="n">
        <v>1.7692</v>
      </c>
      <c r="I15" s="9" t="n">
        <v>1.9414</v>
      </c>
      <c r="J15" s="9" t="n">
        <v>1.0631</v>
      </c>
      <c r="K15" s="9" t="n">
        <v>1.0925</v>
      </c>
      <c r="L15" s="9" t="n">
        <v>13</v>
      </c>
      <c r="M15" s="9" t="n">
        <v>15</v>
      </c>
      <c r="N15" s="9" t="n">
        <v>45</v>
      </c>
    </row>
    <row r="16">
      <c r="A16" s="6" t="n">
        <v>2008</v>
      </c>
      <c r="B16" s="6" t="inlineStr">
        <is>
          <t>SWE</t>
        </is>
      </c>
      <c r="C16" s="6" t="inlineStr">
        <is>
          <t>Suecia</t>
        </is>
      </c>
      <c r="D16" s="6" t="inlineStr">
        <is>
          <t>B05_06</t>
        </is>
      </c>
      <c r="E16" s="6" t="inlineStr">
        <is>
          <t>mineria energeticos</t>
        </is>
      </c>
      <c r="F16" s="6" t="n">
        <v>290.5</v>
      </c>
      <c r="G16" s="6" t="n">
        <v>0.029</v>
      </c>
      <c r="H16" s="6" t="n">
        <v>1.698</v>
      </c>
      <c r="I16" s="6" t="n">
        <v>2.8804</v>
      </c>
      <c r="J16" s="6" t="n">
        <v>1</v>
      </c>
      <c r="K16" s="6" t="n">
        <v>1.6334</v>
      </c>
      <c r="L16" s="6" t="n">
        <v>25</v>
      </c>
      <c r="M16" s="6" t="n">
        <v>1</v>
      </c>
      <c r="N16" s="6" t="n">
        <v>45</v>
      </c>
    </row>
    <row r="17">
      <c r="A17" s="9" t="n">
        <v>2008</v>
      </c>
      <c r="B17" s="9" t="inlineStr">
        <is>
          <t>SWE</t>
        </is>
      </c>
      <c r="C17" s="9" t="inlineStr">
        <is>
          <t>Suecia</t>
        </is>
      </c>
      <c r="D17" s="9" t="inlineStr">
        <is>
          <t>B07_08</t>
        </is>
      </c>
      <c r="E17" s="9" t="inlineStr">
        <is>
          <t>mineria no energetica (metales+otra)</t>
        </is>
      </c>
      <c r="F17" s="9" t="n">
        <v>4852.6</v>
      </c>
      <c r="G17" s="9" t="n">
        <v>0.487</v>
      </c>
      <c r="H17" s="9" t="n">
        <v>1.4698</v>
      </c>
      <c r="I17" s="9" t="n">
        <v>2.2251</v>
      </c>
      <c r="J17" s="9" t="n">
        <v>0.8656</v>
      </c>
      <c r="K17" s="9" t="n">
        <v>1.2618</v>
      </c>
      <c r="L17" s="9" t="n">
        <v>41</v>
      </c>
      <c r="M17" s="9" t="n">
        <v>5</v>
      </c>
      <c r="N17" s="9" t="n">
        <v>45</v>
      </c>
    </row>
    <row r="18">
      <c r="A18" s="6" t="n">
        <v>2008</v>
      </c>
      <c r="B18" s="6" t="inlineStr">
        <is>
          <t>SWE</t>
        </is>
      </c>
      <c r="C18" s="6" t="inlineStr">
        <is>
          <t>Suecia</t>
        </is>
      </c>
      <c r="D18" s="6" t="inlineStr">
        <is>
          <t>B09</t>
        </is>
      </c>
      <c r="E18" s="6" t="inlineStr">
        <is>
          <t>servicios apoyo mineria</t>
        </is>
      </c>
      <c r="F18" s="6" t="n">
        <v>286.6</v>
      </c>
      <c r="G18" s="6" t="n">
        <v>0.029</v>
      </c>
      <c r="H18" s="6" t="n">
        <v>1.77</v>
      </c>
      <c r="I18" s="6" t="n">
        <v>1.2236</v>
      </c>
      <c r="J18" s="6" t="n">
        <v>1.0424</v>
      </c>
      <c r="K18" s="6" t="n">
        <v>0.6939</v>
      </c>
      <c r="L18" s="6" t="n">
        <v>14</v>
      </c>
      <c r="M18" s="6" t="n">
        <v>42</v>
      </c>
      <c r="N18" s="6" t="n">
        <v>45</v>
      </c>
    </row>
    <row r="19">
      <c r="A19" s="9" t="n">
        <v>2008</v>
      </c>
      <c r="B19" s="9" t="inlineStr">
        <is>
          <t>CHN</t>
        </is>
      </c>
      <c r="C19" s="9" t="inlineStr">
        <is>
          <t>China</t>
        </is>
      </c>
      <c r="D19" s="9" t="inlineStr">
        <is>
          <t>B05_06</t>
        </is>
      </c>
      <c r="E19" s="9" t="inlineStr">
        <is>
          <t>mineria energeticos</t>
        </is>
      </c>
      <c r="F19" s="9" t="n">
        <v>281922.7</v>
      </c>
      <c r="G19" s="9" t="n">
        <v>2.271</v>
      </c>
      <c r="H19" s="9" t="n">
        <v>1.6585</v>
      </c>
      <c r="I19" s="9" t="n">
        <v>4.0436</v>
      </c>
      <c r="J19" s="9" t="n">
        <v>0.7452</v>
      </c>
      <c r="K19" s="9" t="n">
        <v>1.7119</v>
      </c>
      <c r="L19" s="9" t="n">
        <v>39</v>
      </c>
      <c r="M19" s="9" t="n">
        <v>2</v>
      </c>
      <c r="N19" s="9" t="n">
        <v>45</v>
      </c>
    </row>
    <row r="20">
      <c r="A20" s="6" t="n">
        <v>2008</v>
      </c>
      <c r="B20" s="6" t="inlineStr">
        <is>
          <t>CHN</t>
        </is>
      </c>
      <c r="C20" s="6" t="inlineStr">
        <is>
          <t>China</t>
        </is>
      </c>
      <c r="D20" s="6" t="inlineStr">
        <is>
          <t>B07_08</t>
        </is>
      </c>
      <c r="E20" s="6" t="inlineStr">
        <is>
          <t>mineria no energetica (metales+otra)</t>
        </is>
      </c>
      <c r="F20" s="6" t="n">
        <v>138839.2</v>
      </c>
      <c r="G20" s="6" t="n">
        <v>1.118</v>
      </c>
      <c r="H20" s="6" t="n">
        <v>2.0653</v>
      </c>
      <c r="I20" s="6" t="n">
        <v>3.6785</v>
      </c>
      <c r="J20" s="6" t="n">
        <v>0.928</v>
      </c>
      <c r="K20" s="6" t="n">
        <v>1.5573</v>
      </c>
      <c r="L20" s="6" t="n">
        <v>28</v>
      </c>
      <c r="M20" s="6" t="n">
        <v>3</v>
      </c>
      <c r="N20" s="6" t="n">
        <v>45</v>
      </c>
    </row>
    <row r="21">
      <c r="A21" s="9" t="n">
        <v>2008</v>
      </c>
      <c r="B21" s="9" t="inlineStr">
        <is>
          <t>CHN</t>
        </is>
      </c>
      <c r="C21" s="9" t="inlineStr">
        <is>
          <t>China</t>
        </is>
      </c>
      <c r="D21" s="9" t="inlineStr">
        <is>
          <t>B09</t>
        </is>
      </c>
      <c r="E21" s="9" t="inlineStr">
        <is>
          <t>servicios apoyo mineria</t>
        </is>
      </c>
      <c r="F21" s="9" t="n">
        <v>10999.6</v>
      </c>
      <c r="G21" s="9" t="n">
        <v>0.089</v>
      </c>
      <c r="H21" s="9" t="n">
        <v>2.0043</v>
      </c>
      <c r="I21" s="9" t="n">
        <v>4.3597</v>
      </c>
      <c r="J21" s="9" t="n">
        <v>0.9005</v>
      </c>
      <c r="K21" s="9" t="n">
        <v>1.8457</v>
      </c>
      <c r="L21" s="9" t="n">
        <v>29</v>
      </c>
      <c r="M21" s="9" t="n">
        <v>1</v>
      </c>
      <c r="N21" s="9" t="n">
        <v>45</v>
      </c>
    </row>
    <row r="22">
      <c r="A22" s="6" t="n">
        <v>2008</v>
      </c>
      <c r="B22" s="6" t="inlineStr">
        <is>
          <t>BRA</t>
        </is>
      </c>
      <c r="C22" s="6" t="inlineStr">
        <is>
          <t>Brasil</t>
        </is>
      </c>
      <c r="D22" s="6" t="inlineStr">
        <is>
          <t>B05_06</t>
        </is>
      </c>
      <c r="E22" s="6" t="inlineStr">
        <is>
          <t>mineria energeticos</t>
        </is>
      </c>
      <c r="F22" s="6" t="n">
        <v>67998.2</v>
      </c>
      <c r="G22" s="6" t="n">
        <v>2.231</v>
      </c>
      <c r="H22" s="6" t="n">
        <v>1.6842</v>
      </c>
      <c r="I22" s="6" t="n">
        <v>3.0368</v>
      </c>
      <c r="J22" s="6" t="n">
        <v>0.8957000000000001</v>
      </c>
      <c r="K22" s="6" t="n">
        <v>1.551</v>
      </c>
      <c r="L22" s="6" t="n">
        <v>32</v>
      </c>
      <c r="M22" s="6" t="n">
        <v>2</v>
      </c>
      <c r="N22" s="6" t="n">
        <v>45</v>
      </c>
    </row>
    <row r="23">
      <c r="A23" s="9" t="n">
        <v>2008</v>
      </c>
      <c r="B23" s="9" t="inlineStr">
        <is>
          <t>BRA</t>
        </is>
      </c>
      <c r="C23" s="9" t="inlineStr">
        <is>
          <t>Brasil</t>
        </is>
      </c>
      <c r="D23" s="9" t="inlineStr">
        <is>
          <t>B07_08</t>
        </is>
      </c>
      <c r="E23" s="9" t="inlineStr">
        <is>
          <t>mineria no energetica (metales+otra)</t>
        </is>
      </c>
      <c r="F23" s="9" t="n">
        <v>30852.7</v>
      </c>
      <c r="G23" s="9" t="n">
        <v>1.012</v>
      </c>
      <c r="H23" s="9" t="n">
        <v>1.8556</v>
      </c>
      <c r="I23" s="9" t="n">
        <v>1.9009</v>
      </c>
      <c r="J23" s="9" t="n">
        <v>0.9869</v>
      </c>
      <c r="K23" s="9" t="n">
        <v>0.9708</v>
      </c>
      <c r="L23" s="9" t="n">
        <v>24</v>
      </c>
      <c r="M23" s="9" t="n">
        <v>26</v>
      </c>
      <c r="N23" s="9" t="n">
        <v>45</v>
      </c>
    </row>
    <row r="24">
      <c r="A24" s="6" t="n">
        <v>2008</v>
      </c>
      <c r="B24" s="6" t="inlineStr">
        <is>
          <t>BRA</t>
        </is>
      </c>
      <c r="C24" s="6" t="inlineStr">
        <is>
          <t>Brasil</t>
        </is>
      </c>
      <c r="D24" s="6" t="inlineStr">
        <is>
          <t>B09</t>
        </is>
      </c>
      <c r="E24" s="6" t="inlineStr">
        <is>
          <t>servicios apoyo mineria</t>
        </is>
      </c>
      <c r="F24" s="6" t="n">
        <v>2821.3</v>
      </c>
      <c r="G24" s="6" t="n">
        <v>0.093</v>
      </c>
      <c r="H24" s="6" t="n">
        <v>1.4636</v>
      </c>
      <c r="I24" s="6" t="n">
        <v>3.406</v>
      </c>
      <c r="J24" s="6" t="n">
        <v>0.7784</v>
      </c>
      <c r="K24" s="6" t="n">
        <v>1.7396</v>
      </c>
      <c r="L24" s="6" t="n">
        <v>39</v>
      </c>
      <c r="M24" s="6" t="n">
        <v>1</v>
      </c>
      <c r="N24" s="6" t="n">
        <v>45</v>
      </c>
    </row>
    <row r="25">
      <c r="A25" s="9" t="n">
        <v>2008</v>
      </c>
      <c r="B25" s="9" t="inlineStr">
        <is>
          <t>PER</t>
        </is>
      </c>
      <c r="C25" s="9" t="inlineStr">
        <is>
          <t>Peru</t>
        </is>
      </c>
      <c r="D25" s="9" t="inlineStr">
        <is>
          <t>B05_06</t>
        </is>
      </c>
      <c r="E25" s="9" t="inlineStr">
        <is>
          <t>mineria energeticos</t>
        </is>
      </c>
      <c r="F25" s="9" t="n">
        <v>5508.3</v>
      </c>
      <c r="G25" s="9" t="n">
        <v>2.527</v>
      </c>
      <c r="H25" s="9" t="n">
        <v>1.5022</v>
      </c>
      <c r="I25" s="9" t="n">
        <v>2.8708</v>
      </c>
      <c r="J25" s="9" t="n">
        <v>0.9096</v>
      </c>
      <c r="K25" s="9" t="n">
        <v>1.5941</v>
      </c>
      <c r="L25" s="9" t="n">
        <v>36</v>
      </c>
      <c r="M25" s="9" t="n">
        <v>2</v>
      </c>
      <c r="N25" s="9" t="n">
        <v>45</v>
      </c>
    </row>
    <row r="26">
      <c r="A26" s="6" t="n">
        <v>2008</v>
      </c>
      <c r="B26" s="6" t="inlineStr">
        <is>
          <t>PER</t>
        </is>
      </c>
      <c r="C26" s="6" t="inlineStr">
        <is>
          <t>Peru</t>
        </is>
      </c>
      <c r="D26" s="6" t="inlineStr">
        <is>
          <t>B07_08</t>
        </is>
      </c>
      <c r="E26" s="6" t="inlineStr">
        <is>
          <t>mineria no energetica (metales+otra)</t>
        </is>
      </c>
      <c r="F26" s="6" t="n">
        <v>16941</v>
      </c>
      <c r="G26" s="6" t="n">
        <v>7.772</v>
      </c>
      <c r="H26" s="6" t="n">
        <v>1.4517</v>
      </c>
      <c r="I26" s="6" t="n">
        <v>1.1982</v>
      </c>
      <c r="J26" s="6" t="n">
        <v>0.879</v>
      </c>
      <c r="K26" s="6" t="n">
        <v>0.6654</v>
      </c>
      <c r="L26" s="6" t="n">
        <v>39</v>
      </c>
      <c r="M26" s="6" t="n">
        <v>36</v>
      </c>
      <c r="N26" s="6" t="n">
        <v>45</v>
      </c>
    </row>
    <row r="27">
      <c r="A27" s="9" t="n">
        <v>2008</v>
      </c>
      <c r="B27" s="9" t="inlineStr">
        <is>
          <t>PER</t>
        </is>
      </c>
      <c r="C27" s="9" t="inlineStr">
        <is>
          <t>Peru</t>
        </is>
      </c>
      <c r="D27" s="9" t="inlineStr">
        <is>
          <t>B09</t>
        </is>
      </c>
      <c r="E27" s="9" t="inlineStr">
        <is>
          <t>servicios apoyo mineria</t>
        </is>
      </c>
      <c r="F27" s="9" t="n">
        <v>1226.5</v>
      </c>
      <c r="G27" s="9" t="n">
        <v>0.5629999999999999</v>
      </c>
      <c r="H27" s="9" t="n">
        <v>1.2676</v>
      </c>
      <c r="I27" s="9" t="n">
        <v>2.1657</v>
      </c>
      <c r="J27" s="9" t="n">
        <v>0.7675999999999999</v>
      </c>
      <c r="K27" s="9" t="n">
        <v>1.2026</v>
      </c>
      <c r="L27" s="9" t="n">
        <v>43</v>
      </c>
      <c r="M27" s="9" t="n">
        <v>13</v>
      </c>
      <c r="N27" s="9" t="n">
        <v>45</v>
      </c>
    </row>
    <row r="28">
      <c r="A28" s="6" t="n">
        <v>2013</v>
      </c>
      <c r="B28" s="6" t="inlineStr">
        <is>
          <t>MEX</t>
        </is>
      </c>
      <c r="C28" s="6" t="inlineStr">
        <is>
          <t>Mexico</t>
        </is>
      </c>
      <c r="D28" s="6" t="inlineStr">
        <is>
          <t>B05_06</t>
        </is>
      </c>
      <c r="E28" s="6" t="inlineStr">
        <is>
          <t>mineria energeticos</t>
        </is>
      </c>
      <c r="F28" s="6" t="n">
        <v>81640.39999999999</v>
      </c>
      <c r="G28" s="6" t="n">
        <v>3.772</v>
      </c>
      <c r="H28" s="6" t="n">
        <v>1.1636</v>
      </c>
      <c r="I28" s="6" t="n">
        <v>2.0395</v>
      </c>
      <c r="J28" s="6" t="n">
        <v>0.7412</v>
      </c>
      <c r="K28" s="6" t="n">
        <v>1.3123</v>
      </c>
      <c r="L28" s="6" t="n">
        <v>42</v>
      </c>
      <c r="M28" s="6" t="n">
        <v>7</v>
      </c>
      <c r="N28" s="6" t="n">
        <v>45</v>
      </c>
    </row>
    <row r="29">
      <c r="A29" s="9" t="n">
        <v>2013</v>
      </c>
      <c r="B29" s="9" t="inlineStr">
        <is>
          <t>MEX</t>
        </is>
      </c>
      <c r="C29" s="9" t="inlineStr">
        <is>
          <t>Mexico</t>
        </is>
      </c>
      <c r="D29" s="9" t="inlineStr">
        <is>
          <t>B07_08</t>
        </is>
      </c>
      <c r="E29" s="9" t="inlineStr">
        <is>
          <t>mineria no energetica (metales+otra)</t>
        </is>
      </c>
      <c r="F29" s="9" t="n">
        <v>19358.9</v>
      </c>
      <c r="G29" s="9" t="n">
        <v>0.894</v>
      </c>
      <c r="H29" s="9" t="n">
        <v>1.4557</v>
      </c>
      <c r="I29" s="9" t="n">
        <v>2.4627</v>
      </c>
      <c r="J29" s="9" t="n">
        <v>0.9273</v>
      </c>
      <c r="K29" s="9" t="n">
        <v>1.5846</v>
      </c>
      <c r="L29" s="9" t="n">
        <v>29</v>
      </c>
      <c r="M29" s="9" t="n">
        <v>1</v>
      </c>
      <c r="N29" s="9" t="n">
        <v>45</v>
      </c>
    </row>
    <row r="30">
      <c r="A30" s="6" t="n">
        <v>2013</v>
      </c>
      <c r="B30" s="6" t="inlineStr">
        <is>
          <t>MEX</t>
        </is>
      </c>
      <c r="C30" s="6" t="inlineStr">
        <is>
          <t>Mexico</t>
        </is>
      </c>
      <c r="D30" s="6" t="inlineStr">
        <is>
          <t>B09</t>
        </is>
      </c>
      <c r="E30" s="6" t="inlineStr">
        <is>
          <t>servicios apoyo mineria</t>
        </is>
      </c>
      <c r="F30" s="6" t="n">
        <v>13552</v>
      </c>
      <c r="G30" s="6" t="n">
        <v>0.626</v>
      </c>
      <c r="H30" s="6" t="n">
        <v>1.6</v>
      </c>
      <c r="I30" s="6" t="n">
        <v>1.3298</v>
      </c>
      <c r="J30" s="6" t="n">
        <v>1.0193</v>
      </c>
      <c r="K30" s="6" t="n">
        <v>0.8556</v>
      </c>
      <c r="L30" s="6" t="n">
        <v>20</v>
      </c>
      <c r="M30" s="6" t="n">
        <v>29</v>
      </c>
      <c r="N30" s="6" t="n">
        <v>45</v>
      </c>
    </row>
    <row r="31">
      <c r="A31" s="9" t="n">
        <v>2013</v>
      </c>
      <c r="B31" s="9" t="inlineStr">
        <is>
          <t>CHL</t>
        </is>
      </c>
      <c r="C31" s="9" t="inlineStr">
        <is>
          <t>Chile</t>
        </is>
      </c>
      <c r="D31" s="9" t="inlineStr">
        <is>
          <t>B05_06</t>
        </is>
      </c>
      <c r="E31" s="9" t="inlineStr">
        <is>
          <t>mineria energeticos</t>
        </is>
      </c>
      <c r="F31" s="9" t="n">
        <v>626.3</v>
      </c>
      <c r="G31" s="9" t="n">
        <v>0.122</v>
      </c>
      <c r="H31" s="9" t="n">
        <v>1.635</v>
      </c>
      <c r="I31" s="9" t="n">
        <v>2.4909</v>
      </c>
      <c r="J31" s="9" t="n">
        <v>0.9875</v>
      </c>
      <c r="K31" s="9" t="n">
        <v>1.4452</v>
      </c>
      <c r="L31" s="9" t="n">
        <v>27</v>
      </c>
      <c r="M31" s="9" t="n">
        <v>3</v>
      </c>
      <c r="N31" s="9" t="n">
        <v>45</v>
      </c>
    </row>
    <row r="32">
      <c r="A32" s="6" t="n">
        <v>2013</v>
      </c>
      <c r="B32" s="6" t="inlineStr">
        <is>
          <t>CHL</t>
        </is>
      </c>
      <c r="C32" s="6" t="inlineStr">
        <is>
          <t>Chile</t>
        </is>
      </c>
      <c r="D32" s="6" t="inlineStr">
        <is>
          <t>B07_08</t>
        </is>
      </c>
      <c r="E32" s="6" t="inlineStr">
        <is>
          <t>mineria no energetica (metales+otra)</t>
        </is>
      </c>
      <c r="F32" s="6" t="n">
        <v>64338.1</v>
      </c>
      <c r="G32" s="6" t="n">
        <v>12.485</v>
      </c>
      <c r="H32" s="6" t="n">
        <v>1.7611</v>
      </c>
      <c r="I32" s="6" t="n">
        <v>1.46</v>
      </c>
      <c r="J32" s="6" t="n">
        <v>1.0637</v>
      </c>
      <c r="K32" s="6" t="n">
        <v>0.8471</v>
      </c>
      <c r="L32" s="6" t="n">
        <v>15</v>
      </c>
      <c r="M32" s="6" t="n">
        <v>30</v>
      </c>
      <c r="N32" s="6" t="n">
        <v>45</v>
      </c>
    </row>
    <row r="33">
      <c r="A33" s="9" t="n">
        <v>2013</v>
      </c>
      <c r="B33" s="9" t="inlineStr">
        <is>
          <t>CHL</t>
        </is>
      </c>
      <c r="C33" s="9" t="inlineStr">
        <is>
          <t>Chile</t>
        </is>
      </c>
      <c r="D33" s="9" t="inlineStr">
        <is>
          <t>B09</t>
        </is>
      </c>
      <c r="E33" s="9" t="inlineStr">
        <is>
          <t>servicios apoyo mineria</t>
        </is>
      </c>
      <c r="F33" s="9" t="n">
        <v>133.5</v>
      </c>
      <c r="G33" s="9" t="n">
        <v>0.026</v>
      </c>
      <c r="H33" s="9" t="n">
        <v>1.5175</v>
      </c>
      <c r="I33" s="9" t="n">
        <v>2.1209</v>
      </c>
      <c r="J33" s="9" t="n">
        <v>0.9165</v>
      </c>
      <c r="K33" s="9" t="n">
        <v>1.2306</v>
      </c>
      <c r="L33" s="9" t="n">
        <v>32</v>
      </c>
      <c r="M33" s="9" t="n">
        <v>10</v>
      </c>
      <c r="N33" s="9" t="n">
        <v>45</v>
      </c>
    </row>
    <row r="34">
      <c r="A34" s="6" t="n">
        <v>2013</v>
      </c>
      <c r="B34" s="6" t="inlineStr">
        <is>
          <t>AUS</t>
        </is>
      </c>
      <c r="C34" s="6" t="inlineStr">
        <is>
          <t>Australia</t>
        </is>
      </c>
      <c r="D34" s="6" t="inlineStr">
        <is>
          <t>B05_06</t>
        </is>
      </c>
      <c r="E34" s="6" t="inlineStr">
        <is>
          <t>mineria energeticos</t>
        </is>
      </c>
      <c r="F34" s="6" t="n">
        <v>91161</v>
      </c>
      <c r="G34" s="6" t="n">
        <v>3.191</v>
      </c>
      <c r="H34" s="6" t="n">
        <v>1.7789</v>
      </c>
      <c r="I34" s="6" t="n">
        <v>1.6328</v>
      </c>
      <c r="J34" s="6" t="n">
        <v>0.9725</v>
      </c>
      <c r="K34" s="6" t="n">
        <v>0.861</v>
      </c>
      <c r="L34" s="6" t="n">
        <v>31</v>
      </c>
      <c r="M34" s="6" t="n">
        <v>29</v>
      </c>
      <c r="N34" s="6" t="n">
        <v>45</v>
      </c>
    </row>
    <row r="35">
      <c r="A35" s="9" t="n">
        <v>2013</v>
      </c>
      <c r="B35" s="9" t="inlineStr">
        <is>
          <t>AUS</t>
        </is>
      </c>
      <c r="C35" s="9" t="inlineStr">
        <is>
          <t>Australia</t>
        </is>
      </c>
      <c r="D35" s="9" t="inlineStr">
        <is>
          <t>B07_08</t>
        </is>
      </c>
      <c r="E35" s="9" t="inlineStr">
        <is>
          <t>mineria no energetica (metales+otra)</t>
        </is>
      </c>
      <c r="F35" s="9" t="n">
        <v>122115.4</v>
      </c>
      <c r="G35" s="9" t="n">
        <v>4.274</v>
      </c>
      <c r="H35" s="9" t="n">
        <v>1.6956</v>
      </c>
      <c r="I35" s="9" t="n">
        <v>1.5621</v>
      </c>
      <c r="J35" s="9" t="n">
        <v>0.9268999999999999</v>
      </c>
      <c r="K35" s="9" t="n">
        <v>0.8237</v>
      </c>
      <c r="L35" s="9" t="n">
        <v>37</v>
      </c>
      <c r="M35" s="9" t="n">
        <v>30</v>
      </c>
      <c r="N35" s="9" t="n">
        <v>45</v>
      </c>
    </row>
    <row r="36">
      <c r="A36" s="6" t="n">
        <v>2013</v>
      </c>
      <c r="B36" s="6" t="inlineStr">
        <is>
          <t>AUS</t>
        </is>
      </c>
      <c r="C36" s="6" t="inlineStr">
        <is>
          <t>Australia</t>
        </is>
      </c>
      <c r="D36" s="6" t="inlineStr">
        <is>
          <t>B09</t>
        </is>
      </c>
      <c r="E36" s="6" t="inlineStr">
        <is>
          <t>servicios apoyo mineria</t>
        </is>
      </c>
      <c r="F36" s="6" t="n">
        <v>17719.8</v>
      </c>
      <c r="G36" s="6" t="n">
        <v>0.62</v>
      </c>
      <c r="H36" s="6" t="n">
        <v>1.7196</v>
      </c>
      <c r="I36" s="6" t="n">
        <v>2.014</v>
      </c>
      <c r="J36" s="6" t="n">
        <v>0.9401</v>
      </c>
      <c r="K36" s="6" t="n">
        <v>1.062</v>
      </c>
      <c r="L36" s="6" t="n">
        <v>35</v>
      </c>
      <c r="M36" s="6" t="n">
        <v>21</v>
      </c>
      <c r="N36" s="6" t="n">
        <v>45</v>
      </c>
    </row>
    <row r="37">
      <c r="A37" s="9" t="n">
        <v>2013</v>
      </c>
      <c r="B37" s="9" t="inlineStr">
        <is>
          <t>FIN</t>
        </is>
      </c>
      <c r="C37" s="9" t="inlineStr">
        <is>
          <t>Finlandia</t>
        </is>
      </c>
      <c r="D37" s="9" t="inlineStr">
        <is>
          <t>B05_06</t>
        </is>
      </c>
      <c r="E37" s="9" t="inlineStr">
        <is>
          <t>mineria energeticos</t>
        </is>
      </c>
      <c r="F37" s="9" t="n">
        <v>568.7</v>
      </c>
      <c r="G37" s="9" t="n">
        <v>0.111</v>
      </c>
      <c r="H37" s="9" t="n">
        <v>1.7713</v>
      </c>
      <c r="I37" s="9" t="n">
        <v>3.2844</v>
      </c>
      <c r="J37" s="9" t="n">
        <v>1.0318</v>
      </c>
      <c r="K37" s="9" t="n">
        <v>1.7961</v>
      </c>
      <c r="L37" s="9" t="n">
        <v>16</v>
      </c>
      <c r="M37" s="9" t="n">
        <v>1</v>
      </c>
      <c r="N37" s="9" t="n">
        <v>45</v>
      </c>
    </row>
    <row r="38">
      <c r="A38" s="6" t="n">
        <v>2013</v>
      </c>
      <c r="B38" s="6" t="inlineStr">
        <is>
          <t>FIN</t>
        </is>
      </c>
      <c r="C38" s="6" t="inlineStr">
        <is>
          <t>Finlandia</t>
        </is>
      </c>
      <c r="D38" s="6" t="inlineStr">
        <is>
          <t>B07_08</t>
        </is>
      </c>
      <c r="E38" s="6" t="inlineStr">
        <is>
          <t>mineria no energetica (metales+otra)</t>
        </is>
      </c>
      <c r="F38" s="6" t="n">
        <v>1881.2</v>
      </c>
      <c r="G38" s="6" t="n">
        <v>0.369</v>
      </c>
      <c r="H38" s="6" t="n">
        <v>1.7111</v>
      </c>
      <c r="I38" s="6" t="n">
        <v>2.5727</v>
      </c>
      <c r="J38" s="6" t="n">
        <v>0.9967</v>
      </c>
      <c r="K38" s="6" t="n">
        <v>1.4069</v>
      </c>
      <c r="L38" s="6" t="n">
        <v>24</v>
      </c>
      <c r="M38" s="6" t="n">
        <v>3</v>
      </c>
      <c r="N38" s="6" t="n">
        <v>45</v>
      </c>
    </row>
    <row r="39">
      <c r="A39" s="9" t="n">
        <v>2013</v>
      </c>
      <c r="B39" s="9" t="inlineStr">
        <is>
          <t>FIN</t>
        </is>
      </c>
      <c r="C39" s="9" t="inlineStr">
        <is>
          <t>Finlandia</t>
        </is>
      </c>
      <c r="D39" s="9" t="inlineStr">
        <is>
          <t>B09</t>
        </is>
      </c>
      <c r="E39" s="9" t="inlineStr">
        <is>
          <t>servicios apoyo mineria</t>
        </is>
      </c>
      <c r="F39" s="9" t="n">
        <v>62.6</v>
      </c>
      <c r="G39" s="9" t="n">
        <v>0.012</v>
      </c>
      <c r="H39" s="9" t="n">
        <v>1.997</v>
      </c>
      <c r="I39" s="9" t="n">
        <v>2.3258</v>
      </c>
      <c r="J39" s="9" t="n">
        <v>1.1633</v>
      </c>
      <c r="K39" s="9" t="n">
        <v>1.2718</v>
      </c>
      <c r="L39" s="9" t="n">
        <v>6</v>
      </c>
      <c r="M39" s="9" t="n">
        <v>8</v>
      </c>
      <c r="N39" s="9" t="n">
        <v>45</v>
      </c>
    </row>
    <row r="40">
      <c r="A40" s="6" t="n">
        <v>2013</v>
      </c>
      <c r="B40" s="6" t="inlineStr">
        <is>
          <t>SWE</t>
        </is>
      </c>
      <c r="C40" s="6" t="inlineStr">
        <is>
          <t>Suecia</t>
        </is>
      </c>
      <c r="D40" s="6" t="inlineStr">
        <is>
          <t>B05_06</t>
        </is>
      </c>
      <c r="E40" s="6" t="inlineStr">
        <is>
          <t>mineria energeticos</t>
        </is>
      </c>
      <c r="F40" s="6" t="n">
        <v>354.2</v>
      </c>
      <c r="G40" s="6" t="n">
        <v>0.033</v>
      </c>
      <c r="H40" s="6" t="n">
        <v>1.9936</v>
      </c>
      <c r="I40" s="6" t="n">
        <v>2.9336</v>
      </c>
      <c r="J40" s="6" t="n">
        <v>1.158</v>
      </c>
      <c r="K40" s="6" t="n">
        <v>1.687</v>
      </c>
      <c r="L40" s="6" t="n">
        <v>6</v>
      </c>
      <c r="M40" s="6" t="n">
        <v>1</v>
      </c>
      <c r="N40" s="6" t="n">
        <v>45</v>
      </c>
    </row>
    <row r="41">
      <c r="A41" s="9" t="n">
        <v>2013</v>
      </c>
      <c r="B41" s="9" t="inlineStr">
        <is>
          <t>SWE</t>
        </is>
      </c>
      <c r="C41" s="9" t="inlineStr">
        <is>
          <t>Suecia</t>
        </is>
      </c>
      <c r="D41" s="9" t="inlineStr">
        <is>
          <t>B07_08</t>
        </is>
      </c>
      <c r="E41" s="9" t="inlineStr">
        <is>
          <t>mineria no energetica (metales+otra)</t>
        </is>
      </c>
      <c r="F41" s="9" t="n">
        <v>5716.9</v>
      </c>
      <c r="G41" s="9" t="n">
        <v>0.53</v>
      </c>
      <c r="H41" s="9" t="n">
        <v>1.715</v>
      </c>
      <c r="I41" s="9" t="n">
        <v>2.1989</v>
      </c>
      <c r="J41" s="9" t="n">
        <v>0.9961</v>
      </c>
      <c r="K41" s="9" t="n">
        <v>1.2645</v>
      </c>
      <c r="L41" s="9" t="n">
        <v>26</v>
      </c>
      <c r="M41" s="9" t="n">
        <v>6</v>
      </c>
      <c r="N41" s="9" t="n">
        <v>45</v>
      </c>
    </row>
    <row r="42">
      <c r="A42" s="6" t="n">
        <v>2013</v>
      </c>
      <c r="B42" s="6" t="inlineStr">
        <is>
          <t>SWE</t>
        </is>
      </c>
      <c r="C42" s="6" t="inlineStr">
        <is>
          <t>Suecia</t>
        </is>
      </c>
      <c r="D42" s="6" t="inlineStr">
        <is>
          <t>B09</t>
        </is>
      </c>
      <c r="E42" s="6" t="inlineStr">
        <is>
          <t>servicios apoyo mineria</t>
        </is>
      </c>
      <c r="F42" s="6" t="n">
        <v>194.4</v>
      </c>
      <c r="G42" s="6" t="n">
        <v>0.018</v>
      </c>
      <c r="H42" s="6" t="n">
        <v>1.7897</v>
      </c>
      <c r="I42" s="6" t="n">
        <v>1.0695</v>
      </c>
      <c r="J42" s="6" t="n">
        <v>1.0395</v>
      </c>
      <c r="K42" s="6" t="n">
        <v>0.6151</v>
      </c>
      <c r="L42" s="6" t="n">
        <v>16</v>
      </c>
      <c r="M42" s="6" t="n">
        <v>43</v>
      </c>
      <c r="N42" s="6" t="n">
        <v>45</v>
      </c>
    </row>
    <row r="43">
      <c r="A43" s="9" t="n">
        <v>2013</v>
      </c>
      <c r="B43" s="9" t="inlineStr">
        <is>
          <t>CHN</t>
        </is>
      </c>
      <c r="C43" s="9" t="inlineStr">
        <is>
          <t>China</t>
        </is>
      </c>
      <c r="D43" s="9" t="inlineStr">
        <is>
          <t>B05_06</t>
        </is>
      </c>
      <c r="E43" s="9" t="inlineStr">
        <is>
          <t>mineria energeticos</t>
        </is>
      </c>
      <c r="F43" s="9" t="n">
        <v>485859.4</v>
      </c>
      <c r="G43" s="9" t="n">
        <v>1.852</v>
      </c>
      <c r="H43" s="9" t="n">
        <v>1.9458</v>
      </c>
      <c r="I43" s="9" t="n">
        <v>4.3471</v>
      </c>
      <c r="J43" s="9" t="n">
        <v>0.8353</v>
      </c>
      <c r="K43" s="9" t="n">
        <v>1.7325</v>
      </c>
      <c r="L43" s="9" t="n">
        <v>35</v>
      </c>
      <c r="M43" s="9" t="n">
        <v>2</v>
      </c>
      <c r="N43" s="9" t="n">
        <v>45</v>
      </c>
    </row>
    <row r="44">
      <c r="A44" s="6" t="n">
        <v>2013</v>
      </c>
      <c r="B44" s="6" t="inlineStr">
        <is>
          <t>CHN</t>
        </is>
      </c>
      <c r="C44" s="6" t="inlineStr">
        <is>
          <t>China</t>
        </is>
      </c>
      <c r="D44" s="6" t="inlineStr">
        <is>
          <t>B07_08</t>
        </is>
      </c>
      <c r="E44" s="6" t="inlineStr">
        <is>
          <t>mineria no energetica (metales+otra)</t>
        </is>
      </c>
      <c r="F44" s="6" t="n">
        <v>285369</v>
      </c>
      <c r="G44" s="6" t="n">
        <v>1.088</v>
      </c>
      <c r="H44" s="6" t="n">
        <v>2.3537</v>
      </c>
      <c r="I44" s="6" t="n">
        <v>3.9232</v>
      </c>
      <c r="J44" s="6" t="n">
        <v>1.0104</v>
      </c>
      <c r="K44" s="6" t="n">
        <v>1.5635</v>
      </c>
      <c r="L44" s="6" t="n">
        <v>25</v>
      </c>
      <c r="M44" s="6" t="n">
        <v>3</v>
      </c>
      <c r="N44" s="6" t="n">
        <v>45</v>
      </c>
    </row>
    <row r="45">
      <c r="A45" s="9" t="n">
        <v>2013</v>
      </c>
      <c r="B45" s="9" t="inlineStr">
        <is>
          <t>CHN</t>
        </is>
      </c>
      <c r="C45" s="9" t="inlineStr">
        <is>
          <t>China</t>
        </is>
      </c>
      <c r="D45" s="9" t="inlineStr">
        <is>
          <t>B09</t>
        </is>
      </c>
      <c r="E45" s="9" t="inlineStr">
        <is>
          <t>servicios apoyo mineria</t>
        </is>
      </c>
      <c r="F45" s="9" t="n">
        <v>21552.1</v>
      </c>
      <c r="G45" s="9" t="n">
        <v>0.082</v>
      </c>
      <c r="H45" s="9" t="n">
        <v>2.3614</v>
      </c>
      <c r="I45" s="9" t="n">
        <v>4.7726</v>
      </c>
      <c r="J45" s="9" t="n">
        <v>1.0137</v>
      </c>
      <c r="K45" s="9" t="n">
        <v>1.902</v>
      </c>
      <c r="L45" s="9" t="n">
        <v>24</v>
      </c>
      <c r="M45" s="9" t="n">
        <v>1</v>
      </c>
      <c r="N45" s="9" t="n">
        <v>45</v>
      </c>
    </row>
    <row r="46">
      <c r="A46" s="6" t="n">
        <v>2013</v>
      </c>
      <c r="B46" s="6" t="inlineStr">
        <is>
          <t>BRA</t>
        </is>
      </c>
      <c r="C46" s="6" t="inlineStr">
        <is>
          <t>Brasil</t>
        </is>
      </c>
      <c r="D46" s="6" t="inlineStr">
        <is>
          <t>B05_06</t>
        </is>
      </c>
      <c r="E46" s="6" t="inlineStr">
        <is>
          <t>mineria energeticos</t>
        </is>
      </c>
      <c r="F46" s="6" t="n">
        <v>82146.3</v>
      </c>
      <c r="G46" s="6" t="n">
        <v>1.945</v>
      </c>
      <c r="H46" s="6" t="n">
        <v>1.5239</v>
      </c>
      <c r="I46" s="6" t="n">
        <v>3.0287</v>
      </c>
      <c r="J46" s="6" t="n">
        <v>0.8363</v>
      </c>
      <c r="K46" s="6" t="n">
        <v>1.5511</v>
      </c>
      <c r="L46" s="6" t="n">
        <v>36</v>
      </c>
      <c r="M46" s="6" t="n">
        <v>2</v>
      </c>
      <c r="N46" s="6" t="n">
        <v>45</v>
      </c>
    </row>
    <row r="47">
      <c r="A47" s="9" t="n">
        <v>2013</v>
      </c>
      <c r="B47" s="9" t="inlineStr">
        <is>
          <t>BRA</t>
        </is>
      </c>
      <c r="C47" s="9" t="inlineStr">
        <is>
          <t>Brasil</t>
        </is>
      </c>
      <c r="D47" s="9" t="inlineStr">
        <is>
          <t>B07_08</t>
        </is>
      </c>
      <c r="E47" s="9" t="inlineStr">
        <is>
          <t>mineria no energetica (metales+otra)</t>
        </is>
      </c>
      <c r="F47" s="9" t="n">
        <v>53769.5</v>
      </c>
      <c r="G47" s="9" t="n">
        <v>1.273</v>
      </c>
      <c r="H47" s="9" t="n">
        <v>1.5835</v>
      </c>
      <c r="I47" s="9" t="n">
        <v>1.7508</v>
      </c>
      <c r="J47" s="9" t="n">
        <v>0.869</v>
      </c>
      <c r="K47" s="9" t="n">
        <v>0.8967000000000001</v>
      </c>
      <c r="L47" s="9" t="n">
        <v>30</v>
      </c>
      <c r="M47" s="9" t="n">
        <v>28</v>
      </c>
      <c r="N47" s="9" t="n">
        <v>45</v>
      </c>
    </row>
    <row r="48">
      <c r="A48" s="6" t="n">
        <v>2013</v>
      </c>
      <c r="B48" s="6" t="inlineStr">
        <is>
          <t>BRA</t>
        </is>
      </c>
      <c r="C48" s="6" t="inlineStr">
        <is>
          <t>Brasil</t>
        </is>
      </c>
      <c r="D48" s="6" t="inlineStr">
        <is>
          <t>B09</t>
        </is>
      </c>
      <c r="E48" s="6" t="inlineStr">
        <is>
          <t>servicios apoyo mineria</t>
        </is>
      </c>
      <c r="F48" s="6" t="n">
        <v>4220.1</v>
      </c>
      <c r="G48" s="6" t="n">
        <v>0.1</v>
      </c>
      <c r="H48" s="6" t="n">
        <v>1.562</v>
      </c>
      <c r="I48" s="6" t="n">
        <v>3.4166</v>
      </c>
      <c r="J48" s="6" t="n">
        <v>0.8572</v>
      </c>
      <c r="K48" s="6" t="n">
        <v>1.7498</v>
      </c>
      <c r="L48" s="6" t="n">
        <v>33</v>
      </c>
      <c r="M48" s="6" t="n">
        <v>1</v>
      </c>
      <c r="N48" s="6" t="n">
        <v>45</v>
      </c>
    </row>
    <row r="49">
      <c r="A49" s="9" t="n">
        <v>2013</v>
      </c>
      <c r="B49" s="9" t="inlineStr">
        <is>
          <t>PER</t>
        </is>
      </c>
      <c r="C49" s="9" t="inlineStr">
        <is>
          <t>Peru</t>
        </is>
      </c>
      <c r="D49" s="9" t="inlineStr">
        <is>
          <t>B05_06</t>
        </is>
      </c>
      <c r="E49" s="9" t="inlineStr">
        <is>
          <t>mineria energeticos</t>
        </is>
      </c>
      <c r="F49" s="9" t="n">
        <v>10209.2</v>
      </c>
      <c r="G49" s="9" t="n">
        <v>2.89</v>
      </c>
      <c r="H49" s="9" t="n">
        <v>1.6056</v>
      </c>
      <c r="I49" s="9" t="n">
        <v>2.8364</v>
      </c>
      <c r="J49" s="9" t="n">
        <v>0.9674</v>
      </c>
      <c r="K49" s="9" t="n">
        <v>1.5757</v>
      </c>
      <c r="L49" s="9" t="n">
        <v>27</v>
      </c>
      <c r="M49" s="9" t="n">
        <v>2</v>
      </c>
      <c r="N49" s="9" t="n">
        <v>45</v>
      </c>
    </row>
    <row r="50">
      <c r="A50" s="6" t="n">
        <v>2013</v>
      </c>
      <c r="B50" s="6" t="inlineStr">
        <is>
          <t>PER</t>
        </is>
      </c>
      <c r="C50" s="6" t="inlineStr">
        <is>
          <t>Peru</t>
        </is>
      </c>
      <c r="D50" s="6" t="inlineStr">
        <is>
          <t>B07_08</t>
        </is>
      </c>
      <c r="E50" s="6" t="inlineStr">
        <is>
          <t>mineria no energetica (metales+otra)</t>
        </is>
      </c>
      <c r="F50" s="6" t="n">
        <v>22955.9</v>
      </c>
      <c r="G50" s="6" t="n">
        <v>6.498</v>
      </c>
      <c r="H50" s="6" t="n">
        <v>1.5038</v>
      </c>
      <c r="I50" s="6" t="n">
        <v>1.1304</v>
      </c>
      <c r="J50" s="6" t="n">
        <v>0.906</v>
      </c>
      <c r="K50" s="6" t="n">
        <v>0.628</v>
      </c>
      <c r="L50" s="6" t="n">
        <v>34</v>
      </c>
      <c r="M50" s="6" t="n">
        <v>39</v>
      </c>
      <c r="N50" s="6" t="n">
        <v>45</v>
      </c>
    </row>
    <row r="51">
      <c r="A51" s="9" t="n">
        <v>2013</v>
      </c>
      <c r="B51" s="9" t="inlineStr">
        <is>
          <t>PER</t>
        </is>
      </c>
      <c r="C51" s="9" t="inlineStr">
        <is>
          <t>Peru</t>
        </is>
      </c>
      <c r="D51" s="9" t="inlineStr">
        <is>
          <t>B09</t>
        </is>
      </c>
      <c r="E51" s="9" t="inlineStr">
        <is>
          <t>servicios apoyo mineria</t>
        </is>
      </c>
      <c r="F51" s="9" t="n">
        <v>1182.2</v>
      </c>
      <c r="G51" s="9" t="n">
        <v>0.335</v>
      </c>
      <c r="H51" s="9" t="n">
        <v>1.2307</v>
      </c>
      <c r="I51" s="9" t="n">
        <v>2.4457</v>
      </c>
      <c r="J51" s="9" t="n">
        <v>0.7415</v>
      </c>
      <c r="K51" s="9" t="n">
        <v>1.3587</v>
      </c>
      <c r="L51" s="9" t="n">
        <v>43</v>
      </c>
      <c r="M51" s="9" t="n">
        <v>9</v>
      </c>
      <c r="N51" s="9" t="n">
        <v>45</v>
      </c>
    </row>
    <row r="52">
      <c r="A52" s="6" t="n">
        <v>2018</v>
      </c>
      <c r="B52" s="6" t="inlineStr">
        <is>
          <t>MEX</t>
        </is>
      </c>
      <c r="C52" s="6" t="inlineStr">
        <is>
          <t>Mexico</t>
        </is>
      </c>
      <c r="D52" s="6" t="inlineStr">
        <is>
          <t>B05_06</t>
        </is>
      </c>
      <c r="E52" s="6" t="inlineStr">
        <is>
          <t>mineria energeticos</t>
        </is>
      </c>
      <c r="F52" s="6" t="n">
        <v>46900.8</v>
      </c>
      <c r="G52" s="6" t="n">
        <v>2.262</v>
      </c>
      <c r="H52" s="6" t="n">
        <v>1.3047</v>
      </c>
      <c r="I52" s="6" t="n">
        <v>1.862</v>
      </c>
      <c r="J52" s="6" t="n">
        <v>0.8743</v>
      </c>
      <c r="K52" s="6" t="n">
        <v>1.2344</v>
      </c>
      <c r="L52" s="6" t="n">
        <v>37</v>
      </c>
      <c r="M52" s="6" t="n">
        <v>11</v>
      </c>
      <c r="N52" s="6" t="n">
        <v>45</v>
      </c>
    </row>
    <row r="53">
      <c r="A53" s="9" t="n">
        <v>2018</v>
      </c>
      <c r="B53" s="9" t="inlineStr">
        <is>
          <t>MEX</t>
        </is>
      </c>
      <c r="C53" s="9" t="inlineStr">
        <is>
          <t>Mexico</t>
        </is>
      </c>
      <c r="D53" s="9" t="inlineStr">
        <is>
          <t>B07_08</t>
        </is>
      </c>
      <c r="E53" s="9" t="inlineStr">
        <is>
          <t>mineria no energetica (metales+otra)</t>
        </is>
      </c>
      <c r="F53" s="9" t="n">
        <v>18673.1</v>
      </c>
      <c r="G53" s="9" t="n">
        <v>0.901</v>
      </c>
      <c r="H53" s="9" t="n">
        <v>1.3491</v>
      </c>
      <c r="I53" s="9" t="n">
        <v>2.2755</v>
      </c>
      <c r="J53" s="9" t="n">
        <v>0.9041</v>
      </c>
      <c r="K53" s="9" t="n">
        <v>1.5085</v>
      </c>
      <c r="L53" s="9" t="n">
        <v>34</v>
      </c>
      <c r="M53" s="9" t="n">
        <v>2</v>
      </c>
      <c r="N53" s="9" t="n">
        <v>45</v>
      </c>
    </row>
    <row r="54">
      <c r="A54" s="6" t="n">
        <v>2018</v>
      </c>
      <c r="B54" s="6" t="inlineStr">
        <is>
          <t>MEX</t>
        </is>
      </c>
      <c r="C54" s="6" t="inlineStr">
        <is>
          <t>Mexico</t>
        </is>
      </c>
      <c r="D54" s="6" t="inlineStr">
        <is>
          <t>B09</t>
        </is>
      </c>
      <c r="E54" s="6" t="inlineStr">
        <is>
          <t>servicios apoyo mineria</t>
        </is>
      </c>
      <c r="F54" s="6" t="n">
        <v>7921.5</v>
      </c>
      <c r="G54" s="6" t="n">
        <v>0.382</v>
      </c>
      <c r="H54" s="6" t="n">
        <v>1.4962</v>
      </c>
      <c r="I54" s="6" t="n">
        <v>1.3469</v>
      </c>
      <c r="J54" s="6" t="n">
        <v>1.0026</v>
      </c>
      <c r="K54" s="6" t="n">
        <v>0.8929</v>
      </c>
      <c r="L54" s="6" t="n">
        <v>23</v>
      </c>
      <c r="M54" s="6" t="n">
        <v>24</v>
      </c>
      <c r="N54" s="6" t="n">
        <v>45</v>
      </c>
    </row>
    <row r="55">
      <c r="A55" s="9" t="n">
        <v>2018</v>
      </c>
      <c r="B55" s="9" t="inlineStr">
        <is>
          <t>CHL</t>
        </is>
      </c>
      <c r="C55" s="9" t="inlineStr">
        <is>
          <t>Chile</t>
        </is>
      </c>
      <c r="D55" s="9" t="inlineStr">
        <is>
          <t>B05_06</t>
        </is>
      </c>
      <c r="E55" s="9" t="inlineStr">
        <is>
          <t>mineria energeticos</t>
        </is>
      </c>
      <c r="F55" s="9" t="n">
        <v>331.2</v>
      </c>
      <c r="G55" s="9" t="n">
        <v>0.064</v>
      </c>
      <c r="H55" s="9" t="n">
        <v>1.6924</v>
      </c>
      <c r="I55" s="9" t="n">
        <v>2.7999</v>
      </c>
      <c r="J55" s="9" t="n">
        <v>1.0324</v>
      </c>
      <c r="K55" s="9" t="n">
        <v>1.6317</v>
      </c>
      <c r="L55" s="9" t="n">
        <v>22</v>
      </c>
      <c r="M55" s="9" t="n">
        <v>1</v>
      </c>
      <c r="N55" s="9" t="n">
        <v>45</v>
      </c>
    </row>
    <row r="56">
      <c r="A56" s="6" t="n">
        <v>2018</v>
      </c>
      <c r="B56" s="6" t="inlineStr">
        <is>
          <t>CHL</t>
        </is>
      </c>
      <c r="C56" s="6" t="inlineStr">
        <is>
          <t>Chile</t>
        </is>
      </c>
      <c r="D56" s="6" t="inlineStr">
        <is>
          <t>B07_08</t>
        </is>
      </c>
      <c r="E56" s="6" t="inlineStr">
        <is>
          <t>mineria no energetica (metales+otra)</t>
        </is>
      </c>
      <c r="F56" s="6" t="n">
        <v>48030.3</v>
      </c>
      <c r="G56" s="6" t="n">
        <v>9.303000000000001</v>
      </c>
      <c r="H56" s="6" t="n">
        <v>1.5437</v>
      </c>
      <c r="I56" s="6" t="n">
        <v>1.2446</v>
      </c>
      <c r="J56" s="6" t="n">
        <v>0.9417</v>
      </c>
      <c r="K56" s="6" t="n">
        <v>0.7252999999999999</v>
      </c>
      <c r="L56" s="6" t="n">
        <v>29</v>
      </c>
      <c r="M56" s="6" t="n">
        <v>36</v>
      </c>
      <c r="N56" s="6" t="n">
        <v>45</v>
      </c>
    </row>
    <row r="57">
      <c r="A57" s="9" t="n">
        <v>2018</v>
      </c>
      <c r="B57" s="9" t="inlineStr">
        <is>
          <t>CHL</t>
        </is>
      </c>
      <c r="C57" s="9" t="inlineStr">
        <is>
          <t>Chile</t>
        </is>
      </c>
      <c r="D57" s="9" t="inlineStr">
        <is>
          <t>B09</t>
        </is>
      </c>
      <c r="E57" s="9" t="inlineStr">
        <is>
          <t>servicios apoyo mineria</t>
        </is>
      </c>
      <c r="F57" s="9" t="n">
        <v>138</v>
      </c>
      <c r="G57" s="9" t="n">
        <v>0.027</v>
      </c>
      <c r="H57" s="9" t="n">
        <v>1.5015</v>
      </c>
      <c r="I57" s="9" t="n">
        <v>2.055</v>
      </c>
      <c r="J57" s="9" t="n">
        <v>0.916</v>
      </c>
      <c r="K57" s="9" t="n">
        <v>1.1976</v>
      </c>
      <c r="L57" s="9" t="n">
        <v>32</v>
      </c>
      <c r="M57" s="9" t="n">
        <v>9</v>
      </c>
      <c r="N57" s="9" t="n">
        <v>45</v>
      </c>
    </row>
    <row r="58">
      <c r="A58" s="6" t="n">
        <v>2018</v>
      </c>
      <c r="B58" s="6" t="inlineStr">
        <is>
          <t>AUS</t>
        </is>
      </c>
      <c r="C58" s="6" t="inlineStr">
        <is>
          <t>Australia</t>
        </is>
      </c>
      <c r="D58" s="6" t="inlineStr">
        <is>
          <t>B05_06</t>
        </is>
      </c>
      <c r="E58" s="6" t="inlineStr">
        <is>
          <t>mineria energeticos</t>
        </is>
      </c>
      <c r="F58" s="6" t="n">
        <v>114355.2</v>
      </c>
      <c r="G58" s="6" t="n">
        <v>4.32</v>
      </c>
      <c r="H58" s="6" t="n">
        <v>1.5791</v>
      </c>
      <c r="I58" s="6" t="n">
        <v>1.427</v>
      </c>
      <c r="J58" s="6" t="n">
        <v>0.8459</v>
      </c>
      <c r="K58" s="6" t="n">
        <v>0.7462</v>
      </c>
      <c r="L58" s="6" t="n">
        <v>38</v>
      </c>
      <c r="M58" s="6" t="n">
        <v>35</v>
      </c>
      <c r="N58" s="6" t="n">
        <v>45</v>
      </c>
    </row>
    <row r="59">
      <c r="A59" s="9" t="n">
        <v>2018</v>
      </c>
      <c r="B59" s="9" t="inlineStr">
        <is>
          <t>AUS</t>
        </is>
      </c>
      <c r="C59" s="9" t="inlineStr">
        <is>
          <t>Australia</t>
        </is>
      </c>
      <c r="D59" s="9" t="inlineStr">
        <is>
          <t>B07_08</t>
        </is>
      </c>
      <c r="E59" s="9" t="inlineStr">
        <is>
          <t>mineria no energetica (metales+otra)</t>
        </is>
      </c>
      <c r="F59" s="9" t="n">
        <v>104872.3</v>
      </c>
      <c r="G59" s="9" t="n">
        <v>3.961</v>
      </c>
      <c r="H59" s="9" t="n">
        <v>1.7557</v>
      </c>
      <c r="I59" s="9" t="n">
        <v>1.5823</v>
      </c>
      <c r="J59" s="9" t="n">
        <v>0.9405</v>
      </c>
      <c r="K59" s="9" t="n">
        <v>0.8274</v>
      </c>
      <c r="L59" s="9" t="n">
        <v>35</v>
      </c>
      <c r="M59" s="9" t="n">
        <v>31</v>
      </c>
      <c r="N59" s="9" t="n">
        <v>45</v>
      </c>
    </row>
    <row r="60">
      <c r="A60" s="6" t="n">
        <v>2018</v>
      </c>
      <c r="B60" s="6" t="inlineStr">
        <is>
          <t>AUS</t>
        </is>
      </c>
      <c r="C60" s="6" t="inlineStr">
        <is>
          <t>Australia</t>
        </is>
      </c>
      <c r="D60" s="6" t="inlineStr">
        <is>
          <t>B09</t>
        </is>
      </c>
      <c r="E60" s="6" t="inlineStr">
        <is>
          <t>servicios apoyo mineria</t>
        </is>
      </c>
      <c r="F60" s="6" t="n">
        <v>12015.2</v>
      </c>
      <c r="G60" s="6" t="n">
        <v>0.454</v>
      </c>
      <c r="H60" s="6" t="n">
        <v>1.8871</v>
      </c>
      <c r="I60" s="6" t="n">
        <v>2.222</v>
      </c>
      <c r="J60" s="6" t="n">
        <v>1.0109</v>
      </c>
      <c r="K60" s="6" t="n">
        <v>1.1619</v>
      </c>
      <c r="L60" s="6" t="n">
        <v>23</v>
      </c>
      <c r="M60" s="6" t="n">
        <v>16</v>
      </c>
      <c r="N60" s="6" t="n">
        <v>45</v>
      </c>
    </row>
    <row r="61">
      <c r="A61" s="9" t="n">
        <v>2018</v>
      </c>
      <c r="B61" s="9" t="inlineStr">
        <is>
          <t>FIN</t>
        </is>
      </c>
      <c r="C61" s="9" t="inlineStr">
        <is>
          <t>Finlandia</t>
        </is>
      </c>
      <c r="D61" s="9" t="inlineStr">
        <is>
          <t>B05_06</t>
        </is>
      </c>
      <c r="E61" s="9" t="inlineStr">
        <is>
          <t>mineria energeticos</t>
        </is>
      </c>
      <c r="F61" s="9" t="n">
        <v>646.4</v>
      </c>
      <c r="G61" s="9" t="n">
        <v>0.125</v>
      </c>
      <c r="H61" s="9" t="n">
        <v>1.6956</v>
      </c>
      <c r="I61" s="9" t="n">
        <v>2.9309</v>
      </c>
      <c r="J61" s="9" t="n">
        <v>0.9992</v>
      </c>
      <c r="K61" s="9" t="n">
        <v>1.6242</v>
      </c>
      <c r="L61" s="9" t="n">
        <v>20</v>
      </c>
      <c r="M61" s="9" t="n">
        <v>1</v>
      </c>
      <c r="N61" s="9" t="n">
        <v>45</v>
      </c>
    </row>
    <row r="62">
      <c r="A62" s="6" t="n">
        <v>2018</v>
      </c>
      <c r="B62" s="6" t="inlineStr">
        <is>
          <t>FIN</t>
        </is>
      </c>
      <c r="C62" s="6" t="inlineStr">
        <is>
          <t>Finlandia</t>
        </is>
      </c>
      <c r="D62" s="6" t="inlineStr">
        <is>
          <t>B07_08</t>
        </is>
      </c>
      <c r="E62" s="6" t="inlineStr">
        <is>
          <t>mineria no energetica (metales+otra)</t>
        </is>
      </c>
      <c r="F62" s="6" t="n">
        <v>2077.7</v>
      </c>
      <c r="G62" s="6" t="n">
        <v>0.403</v>
      </c>
      <c r="H62" s="6" t="n">
        <v>1.6255</v>
      </c>
      <c r="I62" s="6" t="n">
        <v>2.3577</v>
      </c>
      <c r="J62" s="6" t="n">
        <v>0.9579</v>
      </c>
      <c r="K62" s="6" t="n">
        <v>1.3065</v>
      </c>
      <c r="L62" s="6" t="n">
        <v>33</v>
      </c>
      <c r="M62" s="6" t="n">
        <v>7</v>
      </c>
      <c r="N62" s="6" t="n">
        <v>45</v>
      </c>
    </row>
    <row r="63">
      <c r="A63" s="9" t="n">
        <v>2018</v>
      </c>
      <c r="B63" s="9" t="inlineStr">
        <is>
          <t>FIN</t>
        </is>
      </c>
      <c r="C63" s="9" t="inlineStr">
        <is>
          <t>Finlandia</t>
        </is>
      </c>
      <c r="D63" s="9" t="inlineStr">
        <is>
          <t>B09</t>
        </is>
      </c>
      <c r="E63" s="9" t="inlineStr">
        <is>
          <t>servicios apoyo mineria</t>
        </is>
      </c>
      <c r="F63" s="9" t="n">
        <v>307.4</v>
      </c>
      <c r="G63" s="9" t="n">
        <v>0.06</v>
      </c>
      <c r="H63" s="9" t="n">
        <v>1.6731</v>
      </c>
      <c r="I63" s="9" t="n">
        <v>2.8052</v>
      </c>
      <c r="J63" s="9" t="n">
        <v>0.986</v>
      </c>
      <c r="K63" s="9" t="n">
        <v>1.5545</v>
      </c>
      <c r="L63" s="9" t="n">
        <v>24</v>
      </c>
      <c r="M63" s="9" t="n">
        <v>2</v>
      </c>
      <c r="N63" s="9" t="n">
        <v>45</v>
      </c>
    </row>
    <row r="64">
      <c r="A64" s="6" t="n">
        <v>2018</v>
      </c>
      <c r="B64" s="6" t="inlineStr">
        <is>
          <t>SWE</t>
        </is>
      </c>
      <c r="C64" s="6" t="inlineStr">
        <is>
          <t>Suecia</t>
        </is>
      </c>
      <c r="D64" s="6" t="inlineStr">
        <is>
          <t>B05_06</t>
        </is>
      </c>
      <c r="E64" s="6" t="inlineStr">
        <is>
          <t>mineria energeticos</t>
        </is>
      </c>
      <c r="F64" s="6" t="n">
        <v>381.2</v>
      </c>
      <c r="G64" s="6" t="n">
        <v>0.037</v>
      </c>
      <c r="H64" s="6" t="n">
        <v>1.8764</v>
      </c>
      <c r="I64" s="6" t="n">
        <v>2.8926</v>
      </c>
      <c r="J64" s="6" t="n">
        <v>1.1031</v>
      </c>
      <c r="K64" s="6" t="n">
        <v>1.6697</v>
      </c>
      <c r="L64" s="6" t="n">
        <v>11</v>
      </c>
      <c r="M64" s="6" t="n">
        <v>1</v>
      </c>
      <c r="N64" s="6" t="n">
        <v>45</v>
      </c>
    </row>
    <row r="65">
      <c r="A65" s="9" t="n">
        <v>2018</v>
      </c>
      <c r="B65" s="9" t="inlineStr">
        <is>
          <t>SWE</t>
        </is>
      </c>
      <c r="C65" s="9" t="inlineStr">
        <is>
          <t>Suecia</t>
        </is>
      </c>
      <c r="D65" s="9" t="inlineStr">
        <is>
          <t>B07_08</t>
        </is>
      </c>
      <c r="E65" s="9" t="inlineStr">
        <is>
          <t>mineria no energetica (metales+otra)</t>
        </is>
      </c>
      <c r="F65" s="9" t="n">
        <v>5367.4</v>
      </c>
      <c r="G65" s="9" t="n">
        <v>0.523</v>
      </c>
      <c r="H65" s="9" t="n">
        <v>1.5612</v>
      </c>
      <c r="I65" s="9" t="n">
        <v>2.192</v>
      </c>
      <c r="J65" s="9" t="n">
        <v>0.9177999999999999</v>
      </c>
      <c r="K65" s="9" t="n">
        <v>1.2653</v>
      </c>
      <c r="L65" s="9" t="n">
        <v>36</v>
      </c>
      <c r="M65" s="9" t="n">
        <v>6</v>
      </c>
      <c r="N65" s="9" t="n">
        <v>45</v>
      </c>
    </row>
    <row r="66">
      <c r="A66" s="6" t="n">
        <v>2018</v>
      </c>
      <c r="B66" s="6" t="inlineStr">
        <is>
          <t>SWE</t>
        </is>
      </c>
      <c r="C66" s="6" t="inlineStr">
        <is>
          <t>Suecia</t>
        </is>
      </c>
      <c r="D66" s="6" t="inlineStr">
        <is>
          <t>B09</t>
        </is>
      </c>
      <c r="E66" s="6" t="inlineStr">
        <is>
          <t>servicios apoyo mineria</t>
        </is>
      </c>
      <c r="F66" s="6" t="n">
        <v>141</v>
      </c>
      <c r="G66" s="6" t="n">
        <v>0.014</v>
      </c>
      <c r="H66" s="6" t="n">
        <v>2.0757</v>
      </c>
      <c r="I66" s="6" t="n">
        <v>1.0178</v>
      </c>
      <c r="J66" s="6" t="n">
        <v>1.2202</v>
      </c>
      <c r="K66" s="6" t="n">
        <v>0.5875</v>
      </c>
      <c r="L66" s="6" t="n">
        <v>2</v>
      </c>
      <c r="M66" s="6" t="n">
        <v>44</v>
      </c>
      <c r="N66" s="6" t="n">
        <v>45</v>
      </c>
    </row>
    <row r="67">
      <c r="A67" s="9" t="n">
        <v>2018</v>
      </c>
      <c r="B67" s="9" t="inlineStr">
        <is>
          <t>CHN</t>
        </is>
      </c>
      <c r="C67" s="9" t="inlineStr">
        <is>
          <t>China</t>
        </is>
      </c>
      <c r="D67" s="9" t="inlineStr">
        <is>
          <t>B05_06</t>
        </is>
      </c>
      <c r="E67" s="9" t="inlineStr">
        <is>
          <t>mineria energeticos</t>
        </is>
      </c>
      <c r="F67" s="9" t="n">
        <v>614013.3</v>
      </c>
      <c r="G67" s="9" t="n">
        <v>1.774</v>
      </c>
      <c r="H67" s="9" t="n">
        <v>2.3477</v>
      </c>
      <c r="I67" s="9" t="n">
        <v>4.2656</v>
      </c>
      <c r="J67" s="9" t="n">
        <v>1.0472</v>
      </c>
      <c r="K67" s="9" t="n">
        <v>1.7551</v>
      </c>
      <c r="L67" s="9" t="n">
        <v>24</v>
      </c>
      <c r="M67" s="9" t="n">
        <v>2</v>
      </c>
      <c r="N67" s="9" t="n">
        <v>45</v>
      </c>
    </row>
    <row r="68">
      <c r="A68" s="6" t="n">
        <v>2018</v>
      </c>
      <c r="B68" s="6" t="inlineStr">
        <is>
          <t>CHN</t>
        </is>
      </c>
      <c r="C68" s="6" t="inlineStr">
        <is>
          <t>China</t>
        </is>
      </c>
      <c r="D68" s="6" t="inlineStr">
        <is>
          <t>B07_08</t>
        </is>
      </c>
      <c r="E68" s="6" t="inlineStr">
        <is>
          <t>mineria no energetica (metales+otra)</t>
        </is>
      </c>
      <c r="F68" s="6" t="n">
        <v>311518.7</v>
      </c>
      <c r="G68" s="6" t="n">
        <v>0.9</v>
      </c>
      <c r="H68" s="6" t="n">
        <v>2.4851</v>
      </c>
      <c r="I68" s="6" t="n">
        <v>3.7213</v>
      </c>
      <c r="J68" s="6" t="n">
        <v>1.1085</v>
      </c>
      <c r="K68" s="6" t="n">
        <v>1.5312</v>
      </c>
      <c r="L68" s="6" t="n">
        <v>20</v>
      </c>
      <c r="M68" s="6" t="n">
        <v>3</v>
      </c>
      <c r="N68" s="6" t="n">
        <v>45</v>
      </c>
    </row>
    <row r="69">
      <c r="A69" s="9" t="n">
        <v>2018</v>
      </c>
      <c r="B69" s="9" t="inlineStr">
        <is>
          <t>CHN</t>
        </is>
      </c>
      <c r="C69" s="9" t="inlineStr">
        <is>
          <t>China</t>
        </is>
      </c>
      <c r="D69" s="9" t="inlineStr">
        <is>
          <t>B09</t>
        </is>
      </c>
      <c r="E69" s="9" t="inlineStr">
        <is>
          <t>servicios apoyo mineria</t>
        </is>
      </c>
      <c r="F69" s="9" t="n">
        <v>28094.6</v>
      </c>
      <c r="G69" s="9" t="n">
        <v>0.081</v>
      </c>
      <c r="H69" s="9" t="n">
        <v>2.6689</v>
      </c>
      <c r="I69" s="9" t="n">
        <v>5.0287</v>
      </c>
      <c r="J69" s="9" t="n">
        <v>1.1905</v>
      </c>
      <c r="K69" s="9" t="n">
        <v>2.0691</v>
      </c>
      <c r="L69" s="9" t="n">
        <v>12</v>
      </c>
      <c r="M69" s="9" t="n">
        <v>1</v>
      </c>
      <c r="N69" s="9" t="n">
        <v>45</v>
      </c>
    </row>
    <row r="70">
      <c r="A70" s="6" t="n">
        <v>2018</v>
      </c>
      <c r="B70" s="6" t="inlineStr">
        <is>
          <t>BRA</t>
        </is>
      </c>
      <c r="C70" s="6" t="inlineStr">
        <is>
          <t>Brasil</t>
        </is>
      </c>
      <c r="D70" s="6" t="inlineStr">
        <is>
          <t>B05_06</t>
        </is>
      </c>
      <c r="E70" s="6" t="inlineStr">
        <is>
          <t>mineria energeticos</t>
        </is>
      </c>
      <c r="F70" s="6" t="n">
        <v>54078.8</v>
      </c>
      <c r="G70" s="6" t="n">
        <v>1.645</v>
      </c>
      <c r="H70" s="6" t="n">
        <v>1.806</v>
      </c>
      <c r="I70" s="6" t="n">
        <v>2.3178</v>
      </c>
      <c r="J70" s="6" t="n">
        <v>0.9776</v>
      </c>
      <c r="K70" s="6" t="n">
        <v>1.196</v>
      </c>
      <c r="L70" s="6" t="n">
        <v>24</v>
      </c>
      <c r="M70" s="6" t="n">
        <v>12</v>
      </c>
      <c r="N70" s="6" t="n">
        <v>45</v>
      </c>
    </row>
    <row r="71">
      <c r="A71" s="9" t="n">
        <v>2018</v>
      </c>
      <c r="B71" s="9" t="inlineStr">
        <is>
          <t>BRA</t>
        </is>
      </c>
      <c r="C71" s="9" t="inlineStr">
        <is>
          <t>Brasil</t>
        </is>
      </c>
      <c r="D71" s="9" t="inlineStr">
        <is>
          <t>B07_08</t>
        </is>
      </c>
      <c r="E71" s="9" t="inlineStr">
        <is>
          <t>mineria no energetica (metales+otra)</t>
        </is>
      </c>
      <c r="F71" s="9" t="n">
        <v>39989</v>
      </c>
      <c r="G71" s="9" t="n">
        <v>1.216</v>
      </c>
      <c r="H71" s="9" t="n">
        <v>1.9188</v>
      </c>
      <c r="I71" s="9" t="n">
        <v>1.923</v>
      </c>
      <c r="J71" s="9" t="n">
        <v>1.0386</v>
      </c>
      <c r="K71" s="9" t="n">
        <v>0.9923</v>
      </c>
      <c r="L71" s="9" t="n">
        <v>21</v>
      </c>
      <c r="M71" s="9" t="n">
        <v>25</v>
      </c>
      <c r="N71" s="9" t="n">
        <v>45</v>
      </c>
    </row>
    <row r="72">
      <c r="A72" s="6" t="n">
        <v>2018</v>
      </c>
      <c r="B72" s="6" t="inlineStr">
        <is>
          <t>BRA</t>
        </is>
      </c>
      <c r="C72" s="6" t="inlineStr">
        <is>
          <t>Brasil</t>
        </is>
      </c>
      <c r="D72" s="6" t="inlineStr">
        <is>
          <t>B09</t>
        </is>
      </c>
      <c r="E72" s="6" t="inlineStr">
        <is>
          <t>servicios apoyo mineria</t>
        </is>
      </c>
      <c r="F72" s="6" t="n">
        <v>3328.4</v>
      </c>
      <c r="G72" s="6" t="n">
        <v>0.101</v>
      </c>
      <c r="H72" s="6" t="n">
        <v>1.761</v>
      </c>
      <c r="I72" s="6" t="n">
        <v>3.331</v>
      </c>
      <c r="J72" s="6" t="n">
        <v>0.9532</v>
      </c>
      <c r="K72" s="6" t="n">
        <v>1.7189</v>
      </c>
      <c r="L72" s="6" t="n">
        <v>28</v>
      </c>
      <c r="M72" s="6" t="n">
        <v>1</v>
      </c>
      <c r="N72" s="6" t="n">
        <v>45</v>
      </c>
    </row>
    <row r="73">
      <c r="A73" s="9" t="n">
        <v>2018</v>
      </c>
      <c r="B73" s="9" t="inlineStr">
        <is>
          <t>PER</t>
        </is>
      </c>
      <c r="C73" s="9" t="inlineStr">
        <is>
          <t>Peru</t>
        </is>
      </c>
      <c r="D73" s="9" t="inlineStr">
        <is>
          <t>B05_06</t>
        </is>
      </c>
      <c r="E73" s="9" t="inlineStr">
        <is>
          <t>mineria energeticos</t>
        </is>
      </c>
      <c r="F73" s="9" t="n">
        <v>7126.6</v>
      </c>
      <c r="G73" s="9" t="n">
        <v>1.878</v>
      </c>
      <c r="H73" s="9" t="n">
        <v>1.7302</v>
      </c>
      <c r="I73" s="9" t="n">
        <v>2.7695</v>
      </c>
      <c r="J73" s="9" t="n">
        <v>1.0597</v>
      </c>
      <c r="K73" s="9" t="n">
        <v>1.5512</v>
      </c>
      <c r="L73" s="9" t="n">
        <v>17</v>
      </c>
      <c r="M73" s="9" t="n">
        <v>2</v>
      </c>
      <c r="N73" s="9" t="n">
        <v>45</v>
      </c>
    </row>
    <row r="74">
      <c r="A74" s="6" t="n">
        <v>2018</v>
      </c>
      <c r="B74" s="6" t="inlineStr">
        <is>
          <t>PER</t>
        </is>
      </c>
      <c r="C74" s="6" t="inlineStr">
        <is>
          <t>Peru</t>
        </is>
      </c>
      <c r="D74" s="6" t="inlineStr">
        <is>
          <t>B07_08</t>
        </is>
      </c>
      <c r="E74" s="6" t="inlineStr">
        <is>
          <t>mineria no energetica (metales+otra)</t>
        </is>
      </c>
      <c r="F74" s="6" t="n">
        <v>28115.7</v>
      </c>
      <c r="G74" s="6" t="n">
        <v>7.407</v>
      </c>
      <c r="H74" s="6" t="n">
        <v>1.4977</v>
      </c>
      <c r="I74" s="6" t="n">
        <v>1.1139</v>
      </c>
      <c r="J74" s="6" t="n">
        <v>0.9173</v>
      </c>
      <c r="K74" s="6" t="n">
        <v>0.6239</v>
      </c>
      <c r="L74" s="6" t="n">
        <v>32</v>
      </c>
      <c r="M74" s="6" t="n">
        <v>39</v>
      </c>
      <c r="N74" s="6" t="n">
        <v>45</v>
      </c>
    </row>
    <row r="75">
      <c r="A75" s="9" t="n">
        <v>2018</v>
      </c>
      <c r="B75" s="9" t="inlineStr">
        <is>
          <t>PER</t>
        </is>
      </c>
      <c r="C75" s="9" t="inlineStr">
        <is>
          <t>Peru</t>
        </is>
      </c>
      <c r="D75" s="9" t="inlineStr">
        <is>
          <t>B09</t>
        </is>
      </c>
      <c r="E75" s="9" t="inlineStr">
        <is>
          <t>servicios apoyo mineria</t>
        </is>
      </c>
      <c r="F75" s="9" t="n">
        <v>618.4</v>
      </c>
      <c r="G75" s="9" t="n">
        <v>0.163</v>
      </c>
      <c r="H75" s="9" t="n">
        <v>1.2465</v>
      </c>
      <c r="I75" s="9" t="n">
        <v>2.6006</v>
      </c>
      <c r="J75" s="9" t="n">
        <v>0.7634</v>
      </c>
      <c r="K75" s="9" t="n">
        <v>1.4566</v>
      </c>
      <c r="L75" s="9" t="n">
        <v>43</v>
      </c>
      <c r="M75" s="9" t="n">
        <v>5</v>
      </c>
      <c r="N75" s="9" t="n">
        <v>45</v>
      </c>
    </row>
    <row r="76">
      <c r="A76" s="6" t="n">
        <v>2020</v>
      </c>
      <c r="B76" s="6" t="inlineStr">
        <is>
          <t>MEX</t>
        </is>
      </c>
      <c r="C76" s="6" t="inlineStr">
        <is>
          <t>Mexico</t>
        </is>
      </c>
      <c r="D76" s="6" t="inlineStr">
        <is>
          <t>B05_06</t>
        </is>
      </c>
      <c r="E76" s="6" t="inlineStr">
        <is>
          <t>mineria energeticos</t>
        </is>
      </c>
      <c r="F76" s="6" t="n">
        <v>32375.1</v>
      </c>
      <c r="G76" s="6" t="n">
        <v>1.808</v>
      </c>
      <c r="H76" s="6" t="n">
        <v>1.2779</v>
      </c>
      <c r="I76" s="6" t="n">
        <v>1.5334</v>
      </c>
      <c r="J76" s="6" t="n">
        <v>0.8676</v>
      </c>
      <c r="K76" s="6" t="n">
        <v>1.0306</v>
      </c>
      <c r="L76" s="6" t="n">
        <v>36</v>
      </c>
      <c r="M76" s="6" t="n">
        <v>18</v>
      </c>
      <c r="N76" s="6" t="n">
        <v>45</v>
      </c>
    </row>
    <row r="77">
      <c r="A77" s="9" t="n">
        <v>2020</v>
      </c>
      <c r="B77" s="9" t="inlineStr">
        <is>
          <t>MEX</t>
        </is>
      </c>
      <c r="C77" s="9" t="inlineStr">
        <is>
          <t>Mexico</t>
        </is>
      </c>
      <c r="D77" s="9" t="inlineStr">
        <is>
          <t>B07_08</t>
        </is>
      </c>
      <c r="E77" s="9" t="inlineStr">
        <is>
          <t>mineria no energetica (metales+otra)</t>
        </is>
      </c>
      <c r="F77" s="9" t="n">
        <v>20512.9</v>
      </c>
      <c r="G77" s="9" t="n">
        <v>1.145</v>
      </c>
      <c r="H77" s="9" t="n">
        <v>1.306</v>
      </c>
      <c r="I77" s="9" t="n">
        <v>2.1172</v>
      </c>
      <c r="J77" s="9" t="n">
        <v>0.8867</v>
      </c>
      <c r="K77" s="9" t="n">
        <v>1.423</v>
      </c>
      <c r="L77" s="9" t="n">
        <v>35</v>
      </c>
      <c r="M77" s="9" t="n">
        <v>4</v>
      </c>
      <c r="N77" s="9" t="n">
        <v>45</v>
      </c>
    </row>
    <row r="78">
      <c r="A78" s="6" t="n">
        <v>2020</v>
      </c>
      <c r="B78" s="6" t="inlineStr">
        <is>
          <t>MEX</t>
        </is>
      </c>
      <c r="C78" s="6" t="inlineStr">
        <is>
          <t>Mexico</t>
        </is>
      </c>
      <c r="D78" s="6" t="inlineStr">
        <is>
          <t>B09</t>
        </is>
      </c>
      <c r="E78" s="6" t="inlineStr">
        <is>
          <t>servicios apoyo mineria</t>
        </is>
      </c>
      <c r="F78" s="6" t="n">
        <v>9287.1</v>
      </c>
      <c r="G78" s="6" t="n">
        <v>0.519</v>
      </c>
      <c r="H78" s="6" t="n">
        <v>1.4739</v>
      </c>
      <c r="I78" s="6" t="n">
        <v>1.285</v>
      </c>
      <c r="J78" s="6" t="n">
        <v>1.0007</v>
      </c>
      <c r="K78" s="6" t="n">
        <v>0.8637</v>
      </c>
      <c r="L78" s="6" t="n">
        <v>21</v>
      </c>
      <c r="M78" s="6" t="n">
        <v>29</v>
      </c>
      <c r="N78" s="6" t="n">
        <v>45</v>
      </c>
    </row>
    <row r="79">
      <c r="A79" s="9" t="n">
        <v>2020</v>
      </c>
      <c r="B79" s="9" t="inlineStr">
        <is>
          <t>CHL</t>
        </is>
      </c>
      <c r="C79" s="9" t="inlineStr">
        <is>
          <t>Chile</t>
        </is>
      </c>
      <c r="D79" s="9" t="inlineStr">
        <is>
          <t>B05_06</t>
        </is>
      </c>
      <c r="E79" s="9" t="inlineStr">
        <is>
          <t>mineria energeticos</t>
        </is>
      </c>
      <c r="F79" s="9" t="n">
        <v>167.1</v>
      </c>
      <c r="G79" s="9" t="n">
        <v>0.038</v>
      </c>
      <c r="H79" s="9" t="n">
        <v>1.9082</v>
      </c>
      <c r="I79" s="9" t="n">
        <v>2.7943</v>
      </c>
      <c r="J79" s="9" t="n">
        <v>1.1433</v>
      </c>
      <c r="K79" s="9" t="n">
        <v>1.6015</v>
      </c>
      <c r="L79" s="9" t="n">
        <v>11</v>
      </c>
      <c r="M79" s="9" t="n">
        <v>1</v>
      </c>
      <c r="N79" s="9" t="n">
        <v>45</v>
      </c>
    </row>
    <row r="80">
      <c r="A80" s="6" t="n">
        <v>2020</v>
      </c>
      <c r="B80" s="6" t="inlineStr">
        <is>
          <t>CHL</t>
        </is>
      </c>
      <c r="C80" s="6" t="inlineStr">
        <is>
          <t>Chile</t>
        </is>
      </c>
      <c r="D80" s="6" t="inlineStr">
        <is>
          <t>B07_08</t>
        </is>
      </c>
      <c r="E80" s="6" t="inlineStr">
        <is>
          <t>mineria no energetica (metales+otra)</t>
        </is>
      </c>
      <c r="F80" s="6" t="n">
        <v>50459.5</v>
      </c>
      <c r="G80" s="6" t="n">
        <v>11.431</v>
      </c>
      <c r="H80" s="6" t="n">
        <v>1.5094</v>
      </c>
      <c r="I80" s="6" t="n">
        <v>1.3715</v>
      </c>
      <c r="J80" s="6" t="n">
        <v>0.9043</v>
      </c>
      <c r="K80" s="6" t="n">
        <v>0.786</v>
      </c>
      <c r="L80" s="6" t="n">
        <v>31</v>
      </c>
      <c r="M80" s="6" t="n">
        <v>34</v>
      </c>
      <c r="N80" s="6" t="n">
        <v>45</v>
      </c>
    </row>
    <row r="81">
      <c r="A81" s="9" t="n">
        <v>2020</v>
      </c>
      <c r="B81" s="9" t="inlineStr">
        <is>
          <t>CHL</t>
        </is>
      </c>
      <c r="C81" s="9" t="inlineStr">
        <is>
          <t>Chile</t>
        </is>
      </c>
      <c r="D81" s="9" t="inlineStr">
        <is>
          <t>B09</t>
        </is>
      </c>
      <c r="E81" s="9" t="inlineStr">
        <is>
          <t>servicios apoyo mineria</t>
        </is>
      </c>
      <c r="F81" s="9" t="n">
        <v>118.8</v>
      </c>
      <c r="G81" s="9" t="n">
        <v>0.027</v>
      </c>
      <c r="H81" s="9" t="n">
        <v>1.5077</v>
      </c>
      <c r="I81" s="9" t="n">
        <v>2.1093</v>
      </c>
      <c r="J81" s="9" t="n">
        <v>0.9033</v>
      </c>
      <c r="K81" s="9" t="n">
        <v>1.2089</v>
      </c>
      <c r="L81" s="9" t="n">
        <v>32</v>
      </c>
      <c r="M81" s="9" t="n">
        <v>9</v>
      </c>
      <c r="N81" s="9" t="n">
        <v>45</v>
      </c>
    </row>
    <row r="82">
      <c r="A82" s="6" t="n">
        <v>2020</v>
      </c>
      <c r="B82" s="6" t="inlineStr">
        <is>
          <t>AUS</t>
        </is>
      </c>
      <c r="C82" s="6" t="inlineStr">
        <is>
          <t>Australia</t>
        </is>
      </c>
      <c r="D82" s="6" t="inlineStr">
        <is>
          <t>B05_06</t>
        </is>
      </c>
      <c r="E82" s="6" t="inlineStr">
        <is>
          <t>mineria energeticos</t>
        </is>
      </c>
      <c r="F82" s="6" t="n">
        <v>77688</v>
      </c>
      <c r="G82" s="6" t="n">
        <v>2.958</v>
      </c>
      <c r="H82" s="6" t="n">
        <v>1.8669</v>
      </c>
      <c r="I82" s="6" t="n">
        <v>1.2166</v>
      </c>
      <c r="J82" s="6" t="n">
        <v>1.0004</v>
      </c>
      <c r="K82" s="6" t="n">
        <v>0.6369</v>
      </c>
      <c r="L82" s="6" t="n">
        <v>25</v>
      </c>
      <c r="M82" s="6" t="n">
        <v>41</v>
      </c>
      <c r="N82" s="6" t="n">
        <v>45</v>
      </c>
    </row>
    <row r="83">
      <c r="A83" s="9" t="n">
        <v>2020</v>
      </c>
      <c r="B83" s="9" t="inlineStr">
        <is>
          <t>AUS</t>
        </is>
      </c>
      <c r="C83" s="9" t="inlineStr">
        <is>
          <t>Australia</t>
        </is>
      </c>
      <c r="D83" s="9" t="inlineStr">
        <is>
          <t>B07_08</t>
        </is>
      </c>
      <c r="E83" s="9" t="inlineStr">
        <is>
          <t>mineria no energetica (metales+otra)</t>
        </is>
      </c>
      <c r="F83" s="9" t="n">
        <v>158631.3</v>
      </c>
      <c r="G83" s="9" t="n">
        <v>6.039</v>
      </c>
      <c r="H83" s="9" t="n">
        <v>1.5366</v>
      </c>
      <c r="I83" s="9" t="n">
        <v>1.7323</v>
      </c>
      <c r="J83" s="9" t="n">
        <v>0.8233</v>
      </c>
      <c r="K83" s="9" t="n">
        <v>0.9069</v>
      </c>
      <c r="L83" s="9" t="n">
        <v>40</v>
      </c>
      <c r="M83" s="9" t="n">
        <v>26</v>
      </c>
      <c r="N83" s="9" t="n">
        <v>45</v>
      </c>
    </row>
    <row r="84">
      <c r="A84" s="6" t="n">
        <v>2020</v>
      </c>
      <c r="B84" s="6" t="inlineStr">
        <is>
          <t>AUS</t>
        </is>
      </c>
      <c r="C84" s="6" t="inlineStr">
        <is>
          <t>Australia</t>
        </is>
      </c>
      <c r="D84" s="6" t="inlineStr">
        <is>
          <t>B09</t>
        </is>
      </c>
      <c r="E84" s="6" t="inlineStr">
        <is>
          <t>servicios apoyo mineria</t>
        </is>
      </c>
      <c r="F84" s="6" t="n">
        <v>12533.6</v>
      </c>
      <c r="G84" s="6" t="n">
        <v>0.477</v>
      </c>
      <c r="H84" s="6" t="n">
        <v>1.7758</v>
      </c>
      <c r="I84" s="6" t="n">
        <v>2.225</v>
      </c>
      <c r="J84" s="6" t="n">
        <v>0.9515</v>
      </c>
      <c r="K84" s="6" t="n">
        <v>1.1649</v>
      </c>
      <c r="L84" s="6" t="n">
        <v>34</v>
      </c>
      <c r="M84" s="6" t="n">
        <v>16</v>
      </c>
      <c r="N84" s="6" t="n">
        <v>45</v>
      </c>
    </row>
    <row r="85">
      <c r="A85" s="9" t="n">
        <v>2020</v>
      </c>
      <c r="B85" s="9" t="inlineStr">
        <is>
          <t>FIN</t>
        </is>
      </c>
      <c r="C85" s="9" t="inlineStr">
        <is>
          <t>Finlandia</t>
        </is>
      </c>
      <c r="D85" s="9" t="inlineStr">
        <is>
          <t>B05_06</t>
        </is>
      </c>
      <c r="E85" s="9" t="inlineStr">
        <is>
          <t>mineria energeticos</t>
        </is>
      </c>
      <c r="F85" s="9" t="n">
        <v>626.4</v>
      </c>
      <c r="G85" s="9" t="n">
        <v>0.126</v>
      </c>
      <c r="H85" s="9" t="n">
        <v>1.7276</v>
      </c>
      <c r="I85" s="9" t="n">
        <v>3.0163</v>
      </c>
      <c r="J85" s="9" t="n">
        <v>1.0046</v>
      </c>
      <c r="K85" s="9" t="n">
        <v>1.6597</v>
      </c>
      <c r="L85" s="9" t="n">
        <v>21</v>
      </c>
      <c r="M85" s="9" t="n">
        <v>1</v>
      </c>
      <c r="N85" s="9" t="n">
        <v>45</v>
      </c>
    </row>
    <row r="86">
      <c r="A86" s="6" t="n">
        <v>2020</v>
      </c>
      <c r="B86" s="6" t="inlineStr">
        <is>
          <t>FIN</t>
        </is>
      </c>
      <c r="C86" s="6" t="inlineStr">
        <is>
          <t>Finlandia</t>
        </is>
      </c>
      <c r="D86" s="6" t="inlineStr">
        <is>
          <t>B07_08</t>
        </is>
      </c>
      <c r="E86" s="6" t="inlineStr">
        <is>
          <t>mineria no energetica (metales+otra)</t>
        </is>
      </c>
      <c r="F86" s="6" t="n">
        <v>2012.4</v>
      </c>
      <c r="G86" s="6" t="n">
        <v>0.405</v>
      </c>
      <c r="H86" s="6" t="n">
        <v>1.6484</v>
      </c>
      <c r="I86" s="6" t="n">
        <v>2.2431</v>
      </c>
      <c r="J86" s="6" t="n">
        <v>0.9585</v>
      </c>
      <c r="K86" s="6" t="n">
        <v>1.2342</v>
      </c>
      <c r="L86" s="6" t="n">
        <v>30</v>
      </c>
      <c r="M86" s="6" t="n">
        <v>9</v>
      </c>
      <c r="N86" s="6" t="n">
        <v>45</v>
      </c>
    </row>
    <row r="87">
      <c r="A87" s="9" t="n">
        <v>2020</v>
      </c>
      <c r="B87" s="9" t="inlineStr">
        <is>
          <t>FIN</t>
        </is>
      </c>
      <c r="C87" s="9" t="inlineStr">
        <is>
          <t>Finlandia</t>
        </is>
      </c>
      <c r="D87" s="9" t="inlineStr">
        <is>
          <t>B09</t>
        </is>
      </c>
      <c r="E87" s="9" t="inlineStr">
        <is>
          <t>servicios apoyo mineria</t>
        </is>
      </c>
      <c r="F87" s="9" t="n">
        <v>294.6</v>
      </c>
      <c r="G87" s="9" t="n">
        <v>0.059</v>
      </c>
      <c r="H87" s="9" t="n">
        <v>1.7156</v>
      </c>
      <c r="I87" s="9" t="n">
        <v>2.7901</v>
      </c>
      <c r="J87" s="9" t="n">
        <v>0.9976</v>
      </c>
      <c r="K87" s="9" t="n">
        <v>1.5352</v>
      </c>
      <c r="L87" s="9" t="n">
        <v>23</v>
      </c>
      <c r="M87" s="9" t="n">
        <v>2</v>
      </c>
      <c r="N87" s="9" t="n">
        <v>45</v>
      </c>
    </row>
    <row r="88">
      <c r="A88" s="6" t="n">
        <v>2020</v>
      </c>
      <c r="B88" s="6" t="inlineStr">
        <is>
          <t>SWE</t>
        </is>
      </c>
      <c r="C88" s="6" t="inlineStr">
        <is>
          <t>Suecia</t>
        </is>
      </c>
      <c r="D88" s="6" t="inlineStr">
        <is>
          <t>B05_06</t>
        </is>
      </c>
      <c r="E88" s="6" t="inlineStr">
        <is>
          <t>mineria energeticos</t>
        </is>
      </c>
      <c r="F88" s="6" t="n">
        <v>388.3</v>
      </c>
      <c r="G88" s="6" t="n">
        <v>0.039</v>
      </c>
      <c r="H88" s="6" t="n">
        <v>1.9471</v>
      </c>
      <c r="I88" s="6" t="n">
        <v>2.9107</v>
      </c>
      <c r="J88" s="6" t="n">
        <v>1.1395</v>
      </c>
      <c r="K88" s="6" t="n">
        <v>1.6864</v>
      </c>
      <c r="L88" s="6" t="n">
        <v>9</v>
      </c>
      <c r="M88" s="6" t="n">
        <v>1</v>
      </c>
      <c r="N88" s="6" t="n">
        <v>45</v>
      </c>
    </row>
    <row r="89">
      <c r="A89" s="9" t="n">
        <v>2020</v>
      </c>
      <c r="B89" s="9" t="inlineStr">
        <is>
          <t>SWE</t>
        </is>
      </c>
      <c r="C89" s="9" t="inlineStr">
        <is>
          <t>Suecia</t>
        </is>
      </c>
      <c r="D89" s="9" t="inlineStr">
        <is>
          <t>B07_08</t>
        </is>
      </c>
      <c r="E89" s="9" t="inlineStr">
        <is>
          <t>mineria no energetica (metales+otra)</t>
        </is>
      </c>
      <c r="F89" s="9" t="n">
        <v>5684.6</v>
      </c>
      <c r="G89" s="9" t="n">
        <v>0.578</v>
      </c>
      <c r="H89" s="9" t="n">
        <v>1.6138</v>
      </c>
      <c r="I89" s="9" t="n">
        <v>2.3286</v>
      </c>
      <c r="J89" s="9" t="n">
        <v>0.9445</v>
      </c>
      <c r="K89" s="9" t="n">
        <v>1.3492</v>
      </c>
      <c r="L89" s="9" t="n">
        <v>30</v>
      </c>
      <c r="M89" s="9" t="n">
        <v>5</v>
      </c>
      <c r="N89" s="9" t="n">
        <v>45</v>
      </c>
    </row>
    <row r="90">
      <c r="A90" s="6" t="n">
        <v>2020</v>
      </c>
      <c r="B90" s="6" t="inlineStr">
        <is>
          <t>SWE</t>
        </is>
      </c>
      <c r="C90" s="6" t="inlineStr">
        <is>
          <t>Suecia</t>
        </is>
      </c>
      <c r="D90" s="6" t="inlineStr">
        <is>
          <t>B09</t>
        </is>
      </c>
      <c r="E90" s="6" t="inlineStr">
        <is>
          <t>servicios apoyo mineria</t>
        </is>
      </c>
      <c r="F90" s="6" t="n">
        <v>166.5</v>
      </c>
      <c r="G90" s="6" t="n">
        <v>0.017</v>
      </c>
      <c r="H90" s="6" t="n">
        <v>2.1415</v>
      </c>
      <c r="I90" s="6" t="n">
        <v>1.0182</v>
      </c>
      <c r="J90" s="6" t="n">
        <v>1.2533</v>
      </c>
      <c r="K90" s="6" t="n">
        <v>0.5899</v>
      </c>
      <c r="L90" s="6" t="n">
        <v>2</v>
      </c>
      <c r="M90" s="6" t="n">
        <v>44</v>
      </c>
      <c r="N90" s="6" t="n">
        <v>45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12" customWidth="1" min="5" max="5"/>
    <col width="11" customWidth="1" min="6" max="6"/>
    <col width="16" customWidth="1" min="7" max="7"/>
    <col width="20" customWidth="1" min="8" max="8"/>
    <col width="13" customWidth="1" min="9" max="9"/>
    <col width="16" customWidth="1" min="10" max="10"/>
  </cols>
  <sheetData>
    <row r="1" ht="24" customHeight="1">
      <c r="A1" s="1" t="inlineStr">
        <is>
          <t>Comparacion internacional - DVA / crudo_share (el enclave en dinero)</t>
        </is>
      </c>
    </row>
    <row r="2" ht="40" customHeight="1">
      <c r="A2" s="2" t="inlineStr">
        <is>
          <t>Descomposicion del valor agregado minero exportado: crudo_share = fraccion que sale en bruto a reprocesarse afuera. Columna verde comprueba la identidad crudo_share + reproc_domestico_share = 1 (validacion del script: 0 violaciones). Clave: Mexico crudo 0.38 vs China 0.07 con Ghosh casi igual.</t>
        </is>
      </c>
    </row>
    <row r="3">
      <c r="A3" s="3" t="inlineStr">
        <is>
          <t>anio</t>
        </is>
      </c>
      <c r="B3" s="3" t="inlineStr">
        <is>
          <t>pais</t>
        </is>
      </c>
      <c r="C3" s="3" t="inlineStr">
        <is>
          <t>pais_nombre</t>
        </is>
      </c>
      <c r="D3" s="3" t="inlineStr">
        <is>
          <t>sector</t>
        </is>
      </c>
      <c r="E3" s="3" t="inlineStr">
        <is>
          <t>exgr_musd</t>
        </is>
      </c>
      <c r="F3" s="3" t="inlineStr">
        <is>
          <t>dva_share</t>
        </is>
      </c>
      <c r="G3" s="3" t="inlineStr">
        <is>
          <t>vax_mineria_musd</t>
        </is>
      </c>
      <c r="H3" s="3" t="inlineStr">
        <is>
          <t>reproc_domestico_share</t>
        </is>
      </c>
      <c r="I3" s="3" t="inlineStr">
        <is>
          <t>crudo_share</t>
        </is>
      </c>
      <c r="J3" s="3" t="inlineStr">
        <is>
          <t>foreign_abs_share</t>
        </is>
      </c>
      <c r="K3" s="10" t="inlineStr">
        <is>
          <t>crudo+reproc (=1?)</t>
        </is>
      </c>
    </row>
    <row r="4">
      <c r="A4" s="6" t="n">
        <v>1995</v>
      </c>
      <c r="B4" s="6" t="inlineStr">
        <is>
          <t>MEX</t>
        </is>
      </c>
      <c r="C4" s="6" t="inlineStr">
        <is>
          <t>Mexico</t>
        </is>
      </c>
      <c r="D4" s="6" t="inlineStr">
        <is>
          <t>B05_06</t>
        </is>
      </c>
      <c r="E4" s="6" t="n">
        <v>7393.3</v>
      </c>
      <c r="F4" s="6" t="n">
        <v>0.9749</v>
      </c>
      <c r="G4" s="6" t="n">
        <v>8838.700000000001</v>
      </c>
      <c r="H4" s="6" t="n">
        <v>0.2375</v>
      </c>
      <c r="I4" s="6" t="n">
        <v>0.7625</v>
      </c>
      <c r="J4" s="6" t="n">
        <v>0.4729</v>
      </c>
      <c r="K4" s="11">
        <f>ROUND(I4+H4,4)</f>
        <v/>
      </c>
    </row>
    <row r="5">
      <c r="A5" s="9" t="n">
        <v>1995</v>
      </c>
      <c r="B5" s="9" t="inlineStr">
        <is>
          <t>MEX</t>
        </is>
      </c>
      <c r="C5" s="9" t="inlineStr">
        <is>
          <t>Mexico</t>
        </is>
      </c>
      <c r="D5" s="9" t="inlineStr">
        <is>
          <t>B07_08</t>
        </is>
      </c>
      <c r="E5" s="9" t="n">
        <v>212</v>
      </c>
      <c r="F5" s="9" t="n">
        <v>0.9359</v>
      </c>
      <c r="G5" s="9" t="n">
        <v>717.2</v>
      </c>
      <c r="H5" s="9" t="n">
        <v>0.7641</v>
      </c>
      <c r="I5" s="9" t="n">
        <v>0.2359</v>
      </c>
      <c r="J5" s="9" t="n">
        <v>0.215</v>
      </c>
      <c r="K5" s="11">
        <f>ROUND(I5+H5,4)</f>
        <v/>
      </c>
    </row>
    <row r="6">
      <c r="A6" s="6" t="n">
        <v>1995</v>
      </c>
      <c r="B6" s="6" t="inlineStr">
        <is>
          <t>MEX</t>
        </is>
      </c>
      <c r="C6" s="6" t="inlineStr">
        <is>
          <t>Mexico</t>
        </is>
      </c>
      <c r="D6" s="6" t="inlineStr">
        <is>
          <t>B09</t>
        </is>
      </c>
      <c r="E6" s="6" t="n">
        <v>7.4</v>
      </c>
      <c r="F6" s="6" t="n">
        <v>0.9132</v>
      </c>
      <c r="G6" s="6" t="n">
        <v>52.1</v>
      </c>
      <c r="H6" s="6" t="n">
        <v>0.2274</v>
      </c>
      <c r="I6" s="6" t="n">
        <v>0.7726</v>
      </c>
      <c r="J6" s="6" t="n">
        <v>0.0953</v>
      </c>
      <c r="K6" s="11">
        <f>ROUND(I6+H6,4)</f>
        <v/>
      </c>
    </row>
    <row r="7">
      <c r="A7" s="9" t="n">
        <v>1995</v>
      </c>
      <c r="B7" s="9" t="inlineStr">
        <is>
          <t>CHL</t>
        </is>
      </c>
      <c r="C7" s="9" t="inlineStr">
        <is>
          <t>Chile</t>
        </is>
      </c>
      <c r="D7" s="9" t="inlineStr">
        <is>
          <t>B05_06</t>
        </is>
      </c>
      <c r="E7" s="9" t="n">
        <v>0.1</v>
      </c>
      <c r="F7" s="9" t="n">
        <v>0.8336</v>
      </c>
      <c r="G7" s="9" t="n">
        <v>13.9</v>
      </c>
      <c r="H7" s="9" t="n">
        <v>0.7376</v>
      </c>
      <c r="I7" s="9" t="n">
        <v>0.2624</v>
      </c>
      <c r="J7" s="9" t="n">
        <v>0.2742</v>
      </c>
      <c r="K7" s="11">
        <f>ROUND(I7+H7,4)</f>
        <v/>
      </c>
    </row>
    <row r="8">
      <c r="A8" s="6" t="n">
        <v>1995</v>
      </c>
      <c r="B8" s="6" t="inlineStr">
        <is>
          <t>CHL</t>
        </is>
      </c>
      <c r="C8" s="6" t="inlineStr">
        <is>
          <t>Chile</t>
        </is>
      </c>
      <c r="D8" s="6" t="inlineStr">
        <is>
          <t>B07_08</t>
        </is>
      </c>
      <c r="E8" s="6" t="n">
        <v>7763.9</v>
      </c>
      <c r="F8" s="6" t="n">
        <v>0.8756</v>
      </c>
      <c r="G8" s="6" t="n">
        <v>5107.7</v>
      </c>
      <c r="H8" s="6" t="n">
        <v>0.0014</v>
      </c>
      <c r="I8" s="6" t="n">
        <v>0.9986</v>
      </c>
      <c r="J8" s="6" t="n">
        <v>0.9956</v>
      </c>
      <c r="K8" s="11">
        <f>ROUND(I8+H8,4)</f>
        <v/>
      </c>
    </row>
    <row r="9">
      <c r="A9" s="9" t="n">
        <v>1995</v>
      </c>
      <c r="B9" s="9" t="inlineStr">
        <is>
          <t>CHL</t>
        </is>
      </c>
      <c r="C9" s="9" t="inlineStr">
        <is>
          <t>Chile</t>
        </is>
      </c>
      <c r="D9" s="9" t="inlineStr">
        <is>
          <t>B09</t>
        </is>
      </c>
      <c r="E9" s="9" t="n">
        <v>6.5</v>
      </c>
      <c r="F9" s="9" t="n">
        <v>0.905</v>
      </c>
      <c r="G9" s="9" t="n">
        <v>4.6</v>
      </c>
      <c r="H9" s="9" t="n">
        <v>0.008399999999999999</v>
      </c>
      <c r="I9" s="9" t="n">
        <v>0.9916</v>
      </c>
      <c r="J9" s="9" t="n">
        <v>0.2548</v>
      </c>
      <c r="K9" s="11">
        <f>ROUND(I9+H9,4)</f>
        <v/>
      </c>
    </row>
    <row r="10">
      <c r="A10" s="6" t="n">
        <v>1995</v>
      </c>
      <c r="B10" s="6" t="inlineStr">
        <is>
          <t>AUS</t>
        </is>
      </c>
      <c r="C10" s="6" t="inlineStr">
        <is>
          <t>Australia</t>
        </is>
      </c>
      <c r="D10" s="6" t="inlineStr">
        <is>
          <t>B05_06</t>
        </is>
      </c>
      <c r="E10" s="6" t="n">
        <v>7067.8</v>
      </c>
      <c r="F10" s="6" t="n">
        <v>0.9216</v>
      </c>
      <c r="G10" s="6" t="n">
        <v>5535.5</v>
      </c>
      <c r="H10" s="6" t="n">
        <v>0.1362</v>
      </c>
      <c r="I10" s="6" t="n">
        <v>0.8638</v>
      </c>
      <c r="J10" s="6" t="n">
        <v>0.6870000000000001</v>
      </c>
      <c r="K10" s="11">
        <f>ROUND(I10+H10,4)</f>
        <v/>
      </c>
    </row>
    <row r="11">
      <c r="A11" s="9" t="n">
        <v>1995</v>
      </c>
      <c r="B11" s="9" t="inlineStr">
        <is>
          <t>AUS</t>
        </is>
      </c>
      <c r="C11" s="9" t="inlineStr">
        <is>
          <t>Australia</t>
        </is>
      </c>
      <c r="D11" s="9" t="inlineStr">
        <is>
          <t>B07_08</t>
        </is>
      </c>
      <c r="E11" s="9" t="n">
        <v>4419.2</v>
      </c>
      <c r="F11" s="9" t="n">
        <v>0.8907</v>
      </c>
      <c r="G11" s="9" t="n">
        <v>5044.3</v>
      </c>
      <c r="H11" s="9" t="n">
        <v>0.4842</v>
      </c>
      <c r="I11" s="9" t="n">
        <v>0.5158</v>
      </c>
      <c r="J11" s="9" t="n">
        <v>0.6784</v>
      </c>
      <c r="K11" s="11">
        <f>ROUND(I11+H11,4)</f>
        <v/>
      </c>
    </row>
    <row r="12">
      <c r="A12" s="6" t="n">
        <v>1995</v>
      </c>
      <c r="B12" s="6" t="inlineStr">
        <is>
          <t>AUS</t>
        </is>
      </c>
      <c r="C12" s="6" t="inlineStr">
        <is>
          <t>Australia</t>
        </is>
      </c>
      <c r="D12" s="6" t="inlineStr">
        <is>
          <t>B09</t>
        </is>
      </c>
      <c r="E12" s="6" t="n">
        <v>29.4</v>
      </c>
      <c r="F12" s="6" t="n">
        <v>0.9273</v>
      </c>
      <c r="G12" s="6" t="n">
        <v>710.1</v>
      </c>
      <c r="H12" s="6" t="n">
        <v>0.3082</v>
      </c>
      <c r="I12" s="6" t="n">
        <v>0.6918</v>
      </c>
      <c r="J12" s="6" t="n">
        <v>0.3545</v>
      </c>
      <c r="K12" s="11">
        <f>ROUND(I12+H12,4)</f>
        <v/>
      </c>
    </row>
    <row r="13">
      <c r="A13" s="9" t="n">
        <v>1995</v>
      </c>
      <c r="B13" s="9" t="inlineStr">
        <is>
          <t>FIN</t>
        </is>
      </c>
      <c r="C13" s="9" t="inlineStr">
        <is>
          <t>Finlandia</t>
        </is>
      </c>
      <c r="D13" s="9" t="inlineStr">
        <is>
          <t>B05_06</t>
        </is>
      </c>
      <c r="E13" s="9" t="n">
        <v>9.6</v>
      </c>
      <c r="F13" s="9" t="n">
        <v>0.731</v>
      </c>
      <c r="G13" s="9" t="n">
        <v>38.5</v>
      </c>
      <c r="H13" s="9" t="n">
        <v>0.897</v>
      </c>
      <c r="I13" s="9" t="n">
        <v>0.103</v>
      </c>
      <c r="J13" s="9" t="n">
        <v>0.3481</v>
      </c>
      <c r="K13" s="11">
        <f>ROUND(I13+H13,4)</f>
        <v/>
      </c>
    </row>
    <row r="14">
      <c r="A14" s="6" t="n">
        <v>1995</v>
      </c>
      <c r="B14" s="6" t="inlineStr">
        <is>
          <t>FIN</t>
        </is>
      </c>
      <c r="C14" s="6" t="inlineStr">
        <is>
          <t>Finlandia</t>
        </is>
      </c>
      <c r="D14" s="6" t="inlineStr">
        <is>
          <t>B07_08</t>
        </is>
      </c>
      <c r="E14" s="6" t="n">
        <v>117.5</v>
      </c>
      <c r="F14" s="6" t="n">
        <v>0.7516</v>
      </c>
      <c r="G14" s="6" t="n">
        <v>163.9</v>
      </c>
      <c r="H14" s="6" t="n">
        <v>0.6858</v>
      </c>
      <c r="I14" s="6" t="n">
        <v>0.3142</v>
      </c>
      <c r="J14" s="6" t="n">
        <v>0.5244</v>
      </c>
      <c r="K14" s="11">
        <f>ROUND(I14+H14,4)</f>
        <v/>
      </c>
    </row>
    <row r="15">
      <c r="A15" s="9" t="n">
        <v>1995</v>
      </c>
      <c r="B15" s="9" t="inlineStr">
        <is>
          <t>FIN</t>
        </is>
      </c>
      <c r="C15" s="9" t="inlineStr">
        <is>
          <t>Finlandia</t>
        </is>
      </c>
      <c r="D15" s="9" t="inlineStr">
        <is>
          <t>B09</t>
        </is>
      </c>
      <c r="E15" s="9" t="n">
        <v>1.2</v>
      </c>
      <c r="F15" s="9" t="n">
        <v>0.7158</v>
      </c>
      <c r="G15" s="9" t="n">
        <v>0.7</v>
      </c>
      <c r="H15" s="9" t="n">
        <v>0.3963</v>
      </c>
      <c r="I15" s="9" t="n">
        <v>0.6037</v>
      </c>
      <c r="J15" s="9" t="n">
        <v>0.5272</v>
      </c>
      <c r="K15" s="11">
        <f>ROUND(I15+H15,4)</f>
        <v/>
      </c>
    </row>
    <row r="16">
      <c r="A16" s="6" t="n">
        <v>1995</v>
      </c>
      <c r="B16" s="6" t="inlineStr">
        <is>
          <t>SWE</t>
        </is>
      </c>
      <c r="C16" s="6" t="inlineStr">
        <is>
          <t>Suecia</t>
        </is>
      </c>
      <c r="D16" s="6" t="inlineStr">
        <is>
          <t>B05_06</t>
        </is>
      </c>
      <c r="E16" s="6" t="n">
        <v>6.2</v>
      </c>
      <c r="F16" s="6" t="n">
        <v>0.6773</v>
      </c>
      <c r="G16" s="6" t="n">
        <v>13.1</v>
      </c>
      <c r="H16" s="6" t="n">
        <v>0.8997000000000001</v>
      </c>
      <c r="I16" s="6" t="n">
        <v>0.1003</v>
      </c>
      <c r="J16" s="6" t="n">
        <v>0.3755</v>
      </c>
      <c r="K16" s="11">
        <f>ROUND(I16+H16,4)</f>
        <v/>
      </c>
    </row>
    <row r="17">
      <c r="A17" s="9" t="n">
        <v>1995</v>
      </c>
      <c r="B17" s="9" t="inlineStr">
        <is>
          <t>SWE</t>
        </is>
      </c>
      <c r="C17" s="9" t="inlineStr">
        <is>
          <t>Suecia</t>
        </is>
      </c>
      <c r="D17" s="9" t="inlineStr">
        <is>
          <t>B07_08</t>
        </is>
      </c>
      <c r="E17" s="9" t="n">
        <v>474.8</v>
      </c>
      <c r="F17" s="9" t="n">
        <v>0.7584</v>
      </c>
      <c r="G17" s="9" t="n">
        <v>480.6</v>
      </c>
      <c r="H17" s="9" t="n">
        <v>0.5773</v>
      </c>
      <c r="I17" s="9" t="n">
        <v>0.4227</v>
      </c>
      <c r="J17" s="9" t="n">
        <v>0.7322</v>
      </c>
      <c r="K17" s="11">
        <f>ROUND(I17+H17,4)</f>
        <v/>
      </c>
    </row>
    <row r="18">
      <c r="A18" s="6" t="n">
        <v>1995</v>
      </c>
      <c r="B18" s="6" t="inlineStr">
        <is>
          <t>SWE</t>
        </is>
      </c>
      <c r="C18" s="6" t="inlineStr">
        <is>
          <t>Suecia</t>
        </is>
      </c>
      <c r="D18" s="6" t="inlineStr">
        <is>
          <t>B09</t>
        </is>
      </c>
      <c r="E18" s="6" t="n">
        <v>86.2</v>
      </c>
      <c r="F18" s="6" t="n">
        <v>0.6778999999999999</v>
      </c>
      <c r="G18" s="6" t="n">
        <v>16.1</v>
      </c>
      <c r="H18" s="6" t="n">
        <v>0.0055</v>
      </c>
      <c r="I18" s="6" t="n">
        <v>0.9945000000000001</v>
      </c>
      <c r="J18" s="6" t="n">
        <v>0.9864000000000001</v>
      </c>
      <c r="K18" s="11">
        <f>ROUND(I18+H18,4)</f>
        <v/>
      </c>
    </row>
    <row r="19">
      <c r="A19" s="9" t="n">
        <v>1996</v>
      </c>
      <c r="B19" s="9" t="inlineStr">
        <is>
          <t>MEX</t>
        </is>
      </c>
      <c r="C19" s="9" t="inlineStr">
        <is>
          <t>Mexico</t>
        </is>
      </c>
      <c r="D19" s="9" t="inlineStr">
        <is>
          <t>B05_06</t>
        </is>
      </c>
      <c r="E19" s="9" t="n">
        <v>10618.4</v>
      </c>
      <c r="F19" s="9" t="n">
        <v>0.9676</v>
      </c>
      <c r="G19" s="9" t="n">
        <v>11594.7</v>
      </c>
      <c r="H19" s="9" t="n">
        <v>0.1807</v>
      </c>
      <c r="I19" s="9" t="n">
        <v>0.8193</v>
      </c>
      <c r="J19" s="9" t="n">
        <v>0.5565</v>
      </c>
      <c r="K19" s="11">
        <f>ROUND(I19+H19,4)</f>
        <v/>
      </c>
    </row>
    <row r="20">
      <c r="A20" s="6" t="n">
        <v>1996</v>
      </c>
      <c r="B20" s="6" t="inlineStr">
        <is>
          <t>MEX</t>
        </is>
      </c>
      <c r="C20" s="6" t="inlineStr">
        <is>
          <t>Mexico</t>
        </is>
      </c>
      <c r="D20" s="6" t="inlineStr">
        <is>
          <t>B07_08</t>
        </is>
      </c>
      <c r="E20" s="6" t="n">
        <v>252.1</v>
      </c>
      <c r="F20" s="6" t="n">
        <v>0.92</v>
      </c>
      <c r="G20" s="6" t="n">
        <v>667.1</v>
      </c>
      <c r="H20" s="6" t="n">
        <v>0.7115</v>
      </c>
      <c r="I20" s="6" t="n">
        <v>0.2885</v>
      </c>
      <c r="J20" s="6" t="n">
        <v>0.2161</v>
      </c>
      <c r="K20" s="11">
        <f>ROUND(I20+H20,4)</f>
        <v/>
      </c>
    </row>
    <row r="21">
      <c r="A21" s="9" t="n">
        <v>1996</v>
      </c>
      <c r="B21" s="9" t="inlineStr">
        <is>
          <t>MEX</t>
        </is>
      </c>
      <c r="C21" s="9" t="inlineStr">
        <is>
          <t>Mexico</t>
        </is>
      </c>
      <c r="D21" s="9" t="inlineStr">
        <is>
          <t>B09</t>
        </is>
      </c>
      <c r="E21" s="9" t="n">
        <v>6.8</v>
      </c>
      <c r="F21" s="9" t="n">
        <v>0.8964</v>
      </c>
      <c r="G21" s="9" t="n">
        <v>62.6</v>
      </c>
      <c r="H21" s="9" t="n">
        <v>0.1763</v>
      </c>
      <c r="I21" s="9" t="n">
        <v>0.8237</v>
      </c>
      <c r="J21" s="9" t="n">
        <v>0.1038</v>
      </c>
      <c r="K21" s="11">
        <f>ROUND(I21+H21,4)</f>
        <v/>
      </c>
    </row>
    <row r="22">
      <c r="A22" s="6" t="n">
        <v>1996</v>
      </c>
      <c r="B22" s="6" t="inlineStr">
        <is>
          <t>CHL</t>
        </is>
      </c>
      <c r="C22" s="6" t="inlineStr">
        <is>
          <t>Chile</t>
        </is>
      </c>
      <c r="D22" s="6" t="inlineStr">
        <is>
          <t>B05_06</t>
        </is>
      </c>
      <c r="E22" s="6" t="n">
        <v>1</v>
      </c>
      <c r="F22" s="6" t="n">
        <v>0.8312</v>
      </c>
      <c r="G22" s="6" t="n">
        <v>12.2</v>
      </c>
      <c r="H22" s="6" t="n">
        <v>0.6545</v>
      </c>
      <c r="I22" s="6" t="n">
        <v>0.3455</v>
      </c>
      <c r="J22" s="6" t="n">
        <v>0.2285</v>
      </c>
      <c r="K22" s="11">
        <f>ROUND(I22+H22,4)</f>
        <v/>
      </c>
    </row>
    <row r="23">
      <c r="A23" s="9" t="n">
        <v>1996</v>
      </c>
      <c r="B23" s="9" t="inlineStr">
        <is>
          <t>CHL</t>
        </is>
      </c>
      <c r="C23" s="9" t="inlineStr">
        <is>
          <t>Chile</t>
        </is>
      </c>
      <c r="D23" s="9" t="inlineStr">
        <is>
          <t>B07_08</t>
        </is>
      </c>
      <c r="E23" s="9" t="n">
        <v>7717.3</v>
      </c>
      <c r="F23" s="9" t="n">
        <v>0.8761</v>
      </c>
      <c r="G23" s="9" t="n">
        <v>5201.8</v>
      </c>
      <c r="H23" s="9" t="n">
        <v>0.0052</v>
      </c>
      <c r="I23" s="9" t="n">
        <v>0.9948</v>
      </c>
      <c r="J23" s="9" t="n">
        <v>0.9646</v>
      </c>
      <c r="K23" s="11">
        <f>ROUND(I23+H23,4)</f>
        <v/>
      </c>
    </row>
    <row r="24">
      <c r="A24" s="6" t="n">
        <v>1996</v>
      </c>
      <c r="B24" s="6" t="inlineStr">
        <is>
          <t>CHL</t>
        </is>
      </c>
      <c r="C24" s="6" t="inlineStr">
        <is>
          <t>Chile</t>
        </is>
      </c>
      <c r="D24" s="6" t="inlineStr">
        <is>
          <t>B09</t>
        </is>
      </c>
      <c r="E24" s="6" t="n">
        <v>1.8</v>
      </c>
      <c r="F24" s="6" t="n">
        <v>0.9061</v>
      </c>
      <c r="G24" s="6" t="n">
        <v>1.3</v>
      </c>
      <c r="H24" s="6" t="n">
        <v>0.0375</v>
      </c>
      <c r="I24" s="6" t="n">
        <v>0.9625</v>
      </c>
      <c r="J24" s="6" t="n">
        <v>0.0698</v>
      </c>
      <c r="K24" s="11">
        <f>ROUND(I24+H24,4)</f>
        <v/>
      </c>
    </row>
    <row r="25">
      <c r="A25" s="9" t="n">
        <v>1996</v>
      </c>
      <c r="B25" s="9" t="inlineStr">
        <is>
          <t>AUS</t>
        </is>
      </c>
      <c r="C25" s="9" t="inlineStr">
        <is>
          <t>Australia</t>
        </is>
      </c>
      <c r="D25" s="9" t="inlineStr">
        <is>
          <t>B05_06</t>
        </is>
      </c>
      <c r="E25" s="9" t="n">
        <v>7983.3</v>
      </c>
      <c r="F25" s="9" t="n">
        <v>0.928</v>
      </c>
      <c r="G25" s="9" t="n">
        <v>6667</v>
      </c>
      <c r="H25" s="9" t="n">
        <v>0.1617</v>
      </c>
      <c r="I25" s="9" t="n">
        <v>0.8383</v>
      </c>
      <c r="J25" s="9" t="n">
        <v>0.6636</v>
      </c>
      <c r="K25" s="11">
        <f>ROUND(I25+H25,4)</f>
        <v/>
      </c>
    </row>
    <row r="26">
      <c r="A26" s="6" t="n">
        <v>1996</v>
      </c>
      <c r="B26" s="6" t="inlineStr">
        <is>
          <t>AUS</t>
        </is>
      </c>
      <c r="C26" s="6" t="inlineStr">
        <is>
          <t>Australia</t>
        </is>
      </c>
      <c r="D26" s="6" t="inlineStr">
        <is>
          <t>B07_08</t>
        </is>
      </c>
      <c r="E26" s="6" t="n">
        <v>4990.7</v>
      </c>
      <c r="F26" s="6" t="n">
        <v>0.8638</v>
      </c>
      <c r="G26" s="6" t="n">
        <v>4632.1</v>
      </c>
      <c r="H26" s="6" t="n">
        <v>0.4837</v>
      </c>
      <c r="I26" s="6" t="n">
        <v>0.5163</v>
      </c>
      <c r="J26" s="6" t="n">
        <v>0.7306</v>
      </c>
      <c r="K26" s="11">
        <f>ROUND(I26+H26,4)</f>
        <v/>
      </c>
    </row>
    <row r="27">
      <c r="A27" s="9" t="n">
        <v>1996</v>
      </c>
      <c r="B27" s="9" t="inlineStr">
        <is>
          <t>AUS</t>
        </is>
      </c>
      <c r="C27" s="9" t="inlineStr">
        <is>
          <t>Australia</t>
        </is>
      </c>
      <c r="D27" s="9" t="inlineStr">
        <is>
          <t>B09</t>
        </is>
      </c>
      <c r="E27" s="9" t="n">
        <v>38.6</v>
      </c>
      <c r="F27" s="9" t="n">
        <v>0.8919</v>
      </c>
      <c r="G27" s="9" t="n">
        <v>746.9</v>
      </c>
      <c r="H27" s="9" t="n">
        <v>0.3309</v>
      </c>
      <c r="I27" s="9" t="n">
        <v>0.6691</v>
      </c>
      <c r="J27" s="9" t="n">
        <v>0.3549</v>
      </c>
      <c r="K27" s="11">
        <f>ROUND(I27+H27,4)</f>
        <v/>
      </c>
    </row>
    <row r="28">
      <c r="A28" s="6" t="n">
        <v>1996</v>
      </c>
      <c r="B28" s="6" t="inlineStr">
        <is>
          <t>FIN</t>
        </is>
      </c>
      <c r="C28" s="6" t="inlineStr">
        <is>
          <t>Finlandia</t>
        </is>
      </c>
      <c r="D28" s="6" t="inlineStr">
        <is>
          <t>B05_06</t>
        </is>
      </c>
      <c r="E28" s="6" t="n">
        <v>21.4</v>
      </c>
      <c r="F28" s="6" t="n">
        <v>0.7416</v>
      </c>
      <c r="G28" s="6" t="n">
        <v>40</v>
      </c>
      <c r="H28" s="6" t="n">
        <v>0.7855</v>
      </c>
      <c r="I28" s="6" t="n">
        <v>0.2145</v>
      </c>
      <c r="J28" s="6" t="n">
        <v>0.3694</v>
      </c>
      <c r="K28" s="11">
        <f>ROUND(I28+H28,4)</f>
        <v/>
      </c>
    </row>
    <row r="29">
      <c r="A29" s="9" t="n">
        <v>1996</v>
      </c>
      <c r="B29" s="9" t="inlineStr">
        <is>
          <t>FIN</t>
        </is>
      </c>
      <c r="C29" s="9" t="inlineStr">
        <is>
          <t>Finlandia</t>
        </is>
      </c>
      <c r="D29" s="9" t="inlineStr">
        <is>
          <t>B07_08</t>
        </is>
      </c>
      <c r="E29" s="9" t="n">
        <v>84.5</v>
      </c>
      <c r="F29" s="9" t="n">
        <v>0.7264</v>
      </c>
      <c r="G29" s="9" t="n">
        <v>142.4</v>
      </c>
      <c r="H29" s="9" t="n">
        <v>0.7718</v>
      </c>
      <c r="I29" s="9" t="n">
        <v>0.2282</v>
      </c>
      <c r="J29" s="9" t="n">
        <v>0.5406</v>
      </c>
      <c r="K29" s="11">
        <f>ROUND(I29+H29,4)</f>
        <v/>
      </c>
    </row>
    <row r="30">
      <c r="A30" s="6" t="n">
        <v>1996</v>
      </c>
      <c r="B30" s="6" t="inlineStr">
        <is>
          <t>FIN</t>
        </is>
      </c>
      <c r="C30" s="6" t="inlineStr">
        <is>
          <t>Finlandia</t>
        </is>
      </c>
      <c r="D30" s="6" t="inlineStr">
        <is>
          <t>B09</t>
        </is>
      </c>
      <c r="E30" s="6" t="n">
        <v>1.1</v>
      </c>
      <c r="F30" s="6" t="n">
        <v>0.9550999999999999</v>
      </c>
      <c r="G30" s="6" t="n">
        <v>1.2</v>
      </c>
      <c r="H30" s="6" t="n">
        <v>0.1517</v>
      </c>
      <c r="I30" s="6" t="n">
        <v>0.8483000000000001</v>
      </c>
      <c r="J30" s="6" t="n">
        <v>0.7528</v>
      </c>
      <c r="K30" s="11">
        <f>ROUND(I30+H30,4)</f>
        <v/>
      </c>
    </row>
    <row r="31">
      <c r="A31" s="9" t="n">
        <v>1996</v>
      </c>
      <c r="B31" s="9" t="inlineStr">
        <is>
          <t>SWE</t>
        </is>
      </c>
      <c r="C31" s="9" t="inlineStr">
        <is>
          <t>Suecia</t>
        </is>
      </c>
      <c r="D31" s="9" t="inlineStr">
        <is>
          <t>B05_06</t>
        </is>
      </c>
      <c r="E31" s="9" t="n">
        <v>6.9</v>
      </c>
      <c r="F31" s="9" t="n">
        <v>0.6689000000000001</v>
      </c>
      <c r="G31" s="9" t="n">
        <v>9.800000000000001</v>
      </c>
      <c r="H31" s="9" t="n">
        <v>0.8908</v>
      </c>
      <c r="I31" s="9" t="n">
        <v>0.1092</v>
      </c>
      <c r="J31" s="9" t="n">
        <v>0.3777</v>
      </c>
      <c r="K31" s="11">
        <f>ROUND(I31+H31,4)</f>
        <v/>
      </c>
    </row>
    <row r="32">
      <c r="A32" s="6" t="n">
        <v>1996</v>
      </c>
      <c r="B32" s="6" t="inlineStr">
        <is>
          <t>SWE</t>
        </is>
      </c>
      <c r="C32" s="6" t="inlineStr">
        <is>
          <t>Suecia</t>
        </is>
      </c>
      <c r="D32" s="6" t="inlineStr">
        <is>
          <t>B07_08</t>
        </is>
      </c>
      <c r="E32" s="6" t="n">
        <v>449.6</v>
      </c>
      <c r="F32" s="6" t="n">
        <v>0.7318</v>
      </c>
      <c r="G32" s="6" t="n">
        <v>422</v>
      </c>
      <c r="H32" s="6" t="n">
        <v>0.6104000000000001</v>
      </c>
      <c r="I32" s="6" t="n">
        <v>0.3896</v>
      </c>
      <c r="J32" s="6" t="n">
        <v>0.745</v>
      </c>
      <c r="K32" s="11">
        <f>ROUND(I32+H32,4)</f>
        <v/>
      </c>
    </row>
    <row r="33">
      <c r="A33" s="9" t="n">
        <v>1996</v>
      </c>
      <c r="B33" s="9" t="inlineStr">
        <is>
          <t>SWE</t>
        </is>
      </c>
      <c r="C33" s="9" t="inlineStr">
        <is>
          <t>Suecia</t>
        </is>
      </c>
      <c r="D33" s="9" t="inlineStr">
        <is>
          <t>B09</t>
        </is>
      </c>
      <c r="E33" s="9" t="n">
        <v>78.59999999999999</v>
      </c>
      <c r="F33" s="9" t="n">
        <v>0.6594</v>
      </c>
      <c r="G33" s="9" t="n">
        <v>10.5</v>
      </c>
      <c r="H33" s="9" t="n">
        <v>0.0056</v>
      </c>
      <c r="I33" s="9" t="n">
        <v>0.9944</v>
      </c>
      <c r="J33" s="9" t="n">
        <v>0.986</v>
      </c>
      <c r="K33" s="11">
        <f>ROUND(I33+H33,4)</f>
        <v/>
      </c>
    </row>
    <row r="34">
      <c r="A34" s="6" t="n">
        <v>1997</v>
      </c>
      <c r="B34" s="6" t="inlineStr">
        <is>
          <t>MEX</t>
        </is>
      </c>
      <c r="C34" s="6" t="inlineStr">
        <is>
          <t>Mexico</t>
        </is>
      </c>
      <c r="D34" s="6" t="inlineStr">
        <is>
          <t>B05_06</t>
        </is>
      </c>
      <c r="E34" s="6" t="n">
        <v>10320.4</v>
      </c>
      <c r="F34" s="6" t="n">
        <v>0.9717</v>
      </c>
      <c r="G34" s="6" t="n">
        <v>12217.4</v>
      </c>
      <c r="H34" s="6" t="n">
        <v>0.2341</v>
      </c>
      <c r="I34" s="6" t="n">
        <v>0.7659</v>
      </c>
      <c r="J34" s="6" t="n">
        <v>0.4606</v>
      </c>
      <c r="K34" s="11">
        <f>ROUND(I34+H34,4)</f>
        <v/>
      </c>
    </row>
    <row r="35">
      <c r="A35" s="9" t="n">
        <v>1997</v>
      </c>
      <c r="B35" s="9" t="inlineStr">
        <is>
          <t>MEX</t>
        </is>
      </c>
      <c r="C35" s="9" t="inlineStr">
        <is>
          <t>Mexico</t>
        </is>
      </c>
      <c r="D35" s="9" t="inlineStr">
        <is>
          <t>B07_08</t>
        </is>
      </c>
      <c r="E35" s="9" t="n">
        <v>287.5</v>
      </c>
      <c r="F35" s="9" t="n">
        <v>0.9147999999999999</v>
      </c>
      <c r="G35" s="9" t="n">
        <v>666.9</v>
      </c>
      <c r="H35" s="9" t="n">
        <v>0.6836</v>
      </c>
      <c r="I35" s="9" t="n">
        <v>0.3164</v>
      </c>
      <c r="J35" s="9" t="n">
        <v>0.2001</v>
      </c>
      <c r="K35" s="11">
        <f>ROUND(I35+H35,4)</f>
        <v/>
      </c>
    </row>
    <row r="36">
      <c r="A36" s="6" t="n">
        <v>1997</v>
      </c>
      <c r="B36" s="6" t="inlineStr">
        <is>
          <t>MEX</t>
        </is>
      </c>
      <c r="C36" s="6" t="inlineStr">
        <is>
          <t>Mexico</t>
        </is>
      </c>
      <c r="D36" s="6" t="inlineStr">
        <is>
          <t>B09</t>
        </is>
      </c>
      <c r="E36" s="6" t="n">
        <v>6.8</v>
      </c>
      <c r="F36" s="6" t="n">
        <v>0.8927</v>
      </c>
      <c r="G36" s="6" t="n">
        <v>81.2</v>
      </c>
      <c r="H36" s="6" t="n">
        <v>0.2301</v>
      </c>
      <c r="I36" s="6" t="n">
        <v>0.7699</v>
      </c>
      <c r="J36" s="6" t="n">
        <v>0.0743</v>
      </c>
      <c r="K36" s="11">
        <f>ROUND(I36+H36,4)</f>
        <v/>
      </c>
    </row>
    <row r="37">
      <c r="A37" s="9" t="n">
        <v>1997</v>
      </c>
      <c r="B37" s="9" t="inlineStr">
        <is>
          <t>CHL</t>
        </is>
      </c>
      <c r="C37" s="9" t="inlineStr">
        <is>
          <t>Chile</t>
        </is>
      </c>
      <c r="D37" s="9" t="inlineStr">
        <is>
          <t>B05_06</t>
        </is>
      </c>
      <c r="E37" s="9" t="n">
        <v>1.3</v>
      </c>
      <c r="F37" s="9" t="n">
        <v>0.8224</v>
      </c>
      <c r="G37" s="9" t="n">
        <v>12.9</v>
      </c>
      <c r="H37" s="9" t="n">
        <v>0.6311</v>
      </c>
      <c r="I37" s="9" t="n">
        <v>0.3689</v>
      </c>
      <c r="J37" s="9" t="n">
        <v>0.2414</v>
      </c>
      <c r="K37" s="11">
        <f>ROUND(I37+H37,4)</f>
        <v/>
      </c>
    </row>
    <row r="38">
      <c r="A38" s="6" t="n">
        <v>1997</v>
      </c>
      <c r="B38" s="6" t="inlineStr">
        <is>
          <t>CHL</t>
        </is>
      </c>
      <c r="C38" s="6" t="inlineStr">
        <is>
          <t>Chile</t>
        </is>
      </c>
      <c r="D38" s="6" t="inlineStr">
        <is>
          <t>B07_08</t>
        </is>
      </c>
      <c r="E38" s="6" t="n">
        <v>8343.9</v>
      </c>
      <c r="F38" s="6" t="n">
        <v>0.8593</v>
      </c>
      <c r="G38" s="6" t="n">
        <v>5193</v>
      </c>
      <c r="H38" s="6" t="n">
        <v>0.006</v>
      </c>
      <c r="I38" s="6" t="n">
        <v>0.994</v>
      </c>
      <c r="J38" s="6" t="n">
        <v>0.9613</v>
      </c>
      <c r="K38" s="11">
        <f>ROUND(I38+H38,4)</f>
        <v/>
      </c>
    </row>
    <row r="39">
      <c r="A39" s="9" t="n">
        <v>1997</v>
      </c>
      <c r="B39" s="9" t="inlineStr">
        <is>
          <t>CHL</t>
        </is>
      </c>
      <c r="C39" s="9" t="inlineStr">
        <is>
          <t>Chile</t>
        </is>
      </c>
      <c r="D39" s="9" t="inlineStr">
        <is>
          <t>B09</t>
        </is>
      </c>
      <c r="E39" s="9" t="n">
        <v>2.8</v>
      </c>
      <c r="F39" s="9" t="n">
        <v>0.8991</v>
      </c>
      <c r="G39" s="9" t="n">
        <v>2</v>
      </c>
      <c r="H39" s="9" t="n">
        <v>0.0297</v>
      </c>
      <c r="I39" s="9" t="n">
        <v>0.9703000000000001</v>
      </c>
      <c r="J39" s="9" t="n">
        <v>0.1054</v>
      </c>
      <c r="K39" s="11">
        <f>ROUND(I39+H39,4)</f>
        <v/>
      </c>
    </row>
    <row r="40">
      <c r="A40" s="6" t="n">
        <v>1997</v>
      </c>
      <c r="B40" s="6" t="inlineStr">
        <is>
          <t>AUS</t>
        </is>
      </c>
      <c r="C40" s="6" t="inlineStr">
        <is>
          <t>Australia</t>
        </is>
      </c>
      <c r="D40" s="6" t="inlineStr">
        <is>
          <t>B05_06</t>
        </is>
      </c>
      <c r="E40" s="6" t="n">
        <v>8084.5</v>
      </c>
      <c r="F40" s="6" t="n">
        <v>0.925</v>
      </c>
      <c r="G40" s="6" t="n">
        <v>6769.6</v>
      </c>
      <c r="H40" s="6" t="n">
        <v>0.1784</v>
      </c>
      <c r="I40" s="6" t="n">
        <v>0.8216</v>
      </c>
      <c r="J40" s="6" t="n">
        <v>0.6559</v>
      </c>
      <c r="K40" s="11">
        <f>ROUND(I40+H40,4)</f>
        <v/>
      </c>
    </row>
    <row r="41">
      <c r="A41" s="9" t="n">
        <v>1997</v>
      </c>
      <c r="B41" s="9" t="inlineStr">
        <is>
          <t>AUS</t>
        </is>
      </c>
      <c r="C41" s="9" t="inlineStr">
        <is>
          <t>Australia</t>
        </is>
      </c>
      <c r="D41" s="9" t="inlineStr">
        <is>
          <t>B07_08</t>
        </is>
      </c>
      <c r="E41" s="9" t="n">
        <v>5084.2</v>
      </c>
      <c r="F41" s="9" t="n">
        <v>0.8637</v>
      </c>
      <c r="G41" s="9" t="n">
        <v>4508.3</v>
      </c>
      <c r="H41" s="9" t="n">
        <v>0.466</v>
      </c>
      <c r="I41" s="9" t="n">
        <v>0.534</v>
      </c>
      <c r="J41" s="9" t="n">
        <v>0.7266</v>
      </c>
      <c r="K41" s="11">
        <f>ROUND(I41+H41,4)</f>
        <v/>
      </c>
    </row>
    <row r="42">
      <c r="A42" s="6" t="n">
        <v>1997</v>
      </c>
      <c r="B42" s="6" t="inlineStr">
        <is>
          <t>AUS</t>
        </is>
      </c>
      <c r="C42" s="6" t="inlineStr">
        <is>
          <t>Australia</t>
        </is>
      </c>
      <c r="D42" s="6" t="inlineStr">
        <is>
          <t>B09</t>
        </is>
      </c>
      <c r="E42" s="6" t="n">
        <v>34.8</v>
      </c>
      <c r="F42" s="6" t="n">
        <v>0.8899</v>
      </c>
      <c r="G42" s="6" t="n">
        <v>850.3</v>
      </c>
      <c r="H42" s="6" t="n">
        <v>0.3334</v>
      </c>
      <c r="I42" s="6" t="n">
        <v>0.6666</v>
      </c>
      <c r="J42" s="6" t="n">
        <v>0.398</v>
      </c>
      <c r="K42" s="11">
        <f>ROUND(I42+H42,4)</f>
        <v/>
      </c>
    </row>
    <row r="43">
      <c r="A43" s="9" t="n">
        <v>1997</v>
      </c>
      <c r="B43" s="9" t="inlineStr">
        <is>
          <t>FIN</t>
        </is>
      </c>
      <c r="C43" s="9" t="inlineStr">
        <is>
          <t>Finlandia</t>
        </is>
      </c>
      <c r="D43" s="9" t="inlineStr">
        <is>
          <t>B05_06</t>
        </is>
      </c>
      <c r="E43" s="9" t="n">
        <v>21.2</v>
      </c>
      <c r="F43" s="9" t="n">
        <v>0.7266</v>
      </c>
      <c r="G43" s="9" t="n">
        <v>38.2</v>
      </c>
      <c r="H43" s="9" t="n">
        <v>0.7891</v>
      </c>
      <c r="I43" s="9" t="n">
        <v>0.2109</v>
      </c>
      <c r="J43" s="9" t="n">
        <v>0.3889</v>
      </c>
      <c r="K43" s="11">
        <f>ROUND(I43+H43,4)</f>
        <v/>
      </c>
    </row>
    <row r="44">
      <c r="A44" s="6" t="n">
        <v>1997</v>
      </c>
      <c r="B44" s="6" t="inlineStr">
        <is>
          <t>FIN</t>
        </is>
      </c>
      <c r="C44" s="6" t="inlineStr">
        <is>
          <t>Finlandia</t>
        </is>
      </c>
      <c r="D44" s="6" t="inlineStr">
        <is>
          <t>B07_08</t>
        </is>
      </c>
      <c r="E44" s="6" t="n">
        <v>88.7</v>
      </c>
      <c r="F44" s="6" t="n">
        <v>0.7111</v>
      </c>
      <c r="G44" s="6" t="n">
        <v>139.1</v>
      </c>
      <c r="H44" s="6" t="n">
        <v>0.7522</v>
      </c>
      <c r="I44" s="6" t="n">
        <v>0.2478</v>
      </c>
      <c r="J44" s="6" t="n">
        <v>0.5664</v>
      </c>
      <c r="K44" s="11">
        <f>ROUND(I44+H44,4)</f>
        <v/>
      </c>
    </row>
    <row r="45">
      <c r="A45" s="9" t="n">
        <v>1997</v>
      </c>
      <c r="B45" s="9" t="inlineStr">
        <is>
          <t>FIN</t>
        </is>
      </c>
      <c r="C45" s="9" t="inlineStr">
        <is>
          <t>Finlandia</t>
        </is>
      </c>
      <c r="D45" s="9" t="inlineStr">
        <is>
          <t>B09</t>
        </is>
      </c>
      <c r="E45" s="9" t="n">
        <v>1</v>
      </c>
      <c r="F45" s="9" t="n">
        <v>0.9156</v>
      </c>
      <c r="G45" s="9" t="n">
        <v>1</v>
      </c>
      <c r="H45" s="9" t="n">
        <v>0.1907</v>
      </c>
      <c r="I45" s="9" t="n">
        <v>0.8093</v>
      </c>
      <c r="J45" s="9" t="n">
        <v>0.7209</v>
      </c>
      <c r="K45" s="11">
        <f>ROUND(I45+H45,4)</f>
        <v/>
      </c>
    </row>
    <row r="46">
      <c r="A46" s="6" t="n">
        <v>1997</v>
      </c>
      <c r="B46" s="6" t="inlineStr">
        <is>
          <t>SWE</t>
        </is>
      </c>
      <c r="C46" s="6" t="inlineStr">
        <is>
          <t>Suecia</t>
        </is>
      </c>
      <c r="D46" s="6" t="inlineStr">
        <is>
          <t>B05_06</t>
        </is>
      </c>
      <c r="E46" s="6" t="n">
        <v>6.7</v>
      </c>
      <c r="F46" s="6" t="n">
        <v>0.6615</v>
      </c>
      <c r="G46" s="6" t="n">
        <v>10.9</v>
      </c>
      <c r="H46" s="6" t="n">
        <v>0.8953</v>
      </c>
      <c r="I46" s="6" t="n">
        <v>0.1047</v>
      </c>
      <c r="J46" s="6" t="n">
        <v>0.4192</v>
      </c>
      <c r="K46" s="11">
        <f>ROUND(I46+H46,4)</f>
        <v/>
      </c>
    </row>
    <row r="47">
      <c r="A47" s="9" t="n">
        <v>1997</v>
      </c>
      <c r="B47" s="9" t="inlineStr">
        <is>
          <t>SWE</t>
        </is>
      </c>
      <c r="C47" s="9" t="inlineStr">
        <is>
          <t>Suecia</t>
        </is>
      </c>
      <c r="D47" s="9" t="inlineStr">
        <is>
          <t>B07_08</t>
        </is>
      </c>
      <c r="E47" s="9" t="n">
        <v>533.6</v>
      </c>
      <c r="F47" s="9" t="n">
        <v>0.7382</v>
      </c>
      <c r="G47" s="9" t="n">
        <v>484.7</v>
      </c>
      <c r="H47" s="9" t="n">
        <v>0.5636</v>
      </c>
      <c r="I47" s="9" t="n">
        <v>0.4364</v>
      </c>
      <c r="J47" s="9" t="n">
        <v>0.7776999999999999</v>
      </c>
      <c r="K47" s="11">
        <f>ROUND(I47+H47,4)</f>
        <v/>
      </c>
    </row>
    <row r="48">
      <c r="A48" s="6" t="n">
        <v>1997</v>
      </c>
      <c r="B48" s="6" t="inlineStr">
        <is>
          <t>SWE</t>
        </is>
      </c>
      <c r="C48" s="6" t="inlineStr">
        <is>
          <t>Suecia</t>
        </is>
      </c>
      <c r="D48" s="6" t="inlineStr">
        <is>
          <t>B09</t>
        </is>
      </c>
      <c r="E48" s="6" t="n">
        <v>86.59999999999999</v>
      </c>
      <c r="F48" s="6" t="n">
        <v>0.6601</v>
      </c>
      <c r="G48" s="6" t="n">
        <v>13.9</v>
      </c>
      <c r="H48" s="6" t="n">
        <v>0.0062</v>
      </c>
      <c r="I48" s="6" t="n">
        <v>0.9938</v>
      </c>
      <c r="J48" s="6" t="n">
        <v>0.9858</v>
      </c>
      <c r="K48" s="11">
        <f>ROUND(I48+H48,4)</f>
        <v/>
      </c>
    </row>
    <row r="49">
      <c r="A49" s="9" t="n">
        <v>1998</v>
      </c>
      <c r="B49" s="9" t="inlineStr">
        <is>
          <t>MEX</t>
        </is>
      </c>
      <c r="C49" s="9" t="inlineStr">
        <is>
          <t>Mexico</t>
        </is>
      </c>
      <c r="D49" s="9" t="inlineStr">
        <is>
          <t>B05_06</t>
        </is>
      </c>
      <c r="E49" s="9" t="n">
        <v>6497.3</v>
      </c>
      <c r="F49" s="9" t="n">
        <v>0.9749</v>
      </c>
      <c r="G49" s="9" t="n">
        <v>9236</v>
      </c>
      <c r="H49" s="9" t="n">
        <v>0.3506</v>
      </c>
      <c r="I49" s="9" t="n">
        <v>0.6494</v>
      </c>
      <c r="J49" s="9" t="n">
        <v>0.3762</v>
      </c>
      <c r="K49" s="11">
        <f>ROUND(I49+H49,4)</f>
        <v/>
      </c>
    </row>
    <row r="50">
      <c r="A50" s="6" t="n">
        <v>1998</v>
      </c>
      <c r="B50" s="6" t="inlineStr">
        <is>
          <t>MEX</t>
        </is>
      </c>
      <c r="C50" s="6" t="inlineStr">
        <is>
          <t>Mexico</t>
        </is>
      </c>
      <c r="D50" s="6" t="inlineStr">
        <is>
          <t>B07_08</t>
        </is>
      </c>
      <c r="E50" s="6" t="n">
        <v>310.5</v>
      </c>
      <c r="F50" s="6" t="n">
        <v>0.9022</v>
      </c>
      <c r="G50" s="6" t="n">
        <v>605.4</v>
      </c>
      <c r="H50" s="6" t="n">
        <v>0.6471</v>
      </c>
      <c r="I50" s="6" t="n">
        <v>0.3529</v>
      </c>
      <c r="J50" s="6" t="n">
        <v>0.1894</v>
      </c>
      <c r="K50" s="11">
        <f>ROUND(I50+H50,4)</f>
        <v/>
      </c>
    </row>
    <row r="51">
      <c r="A51" s="9" t="n">
        <v>1998</v>
      </c>
      <c r="B51" s="9" t="inlineStr">
        <is>
          <t>MEX</t>
        </is>
      </c>
      <c r="C51" s="9" t="inlineStr">
        <is>
          <t>Mexico</t>
        </is>
      </c>
      <c r="D51" s="9" t="inlineStr">
        <is>
          <t>B09</t>
        </is>
      </c>
      <c r="E51" s="9" t="n">
        <v>7.8</v>
      </c>
      <c r="F51" s="9" t="n">
        <v>0.8864</v>
      </c>
      <c r="G51" s="9" t="n">
        <v>54.9</v>
      </c>
      <c r="H51" s="9" t="n">
        <v>0.3319</v>
      </c>
      <c r="I51" s="9" t="n">
        <v>0.6681</v>
      </c>
      <c r="J51" s="9" t="n">
        <v>0.0475</v>
      </c>
      <c r="K51" s="11">
        <f>ROUND(I51+H51,4)</f>
        <v/>
      </c>
    </row>
    <row r="52">
      <c r="A52" s="6" t="n">
        <v>1998</v>
      </c>
      <c r="B52" s="6" t="inlineStr">
        <is>
          <t>CHL</t>
        </is>
      </c>
      <c r="C52" s="6" t="inlineStr">
        <is>
          <t>Chile</t>
        </is>
      </c>
      <c r="D52" s="6" t="inlineStr">
        <is>
          <t>B05_06</t>
        </is>
      </c>
      <c r="E52" s="6" t="n">
        <v>1</v>
      </c>
      <c r="F52" s="6" t="n">
        <v>0.792</v>
      </c>
      <c r="G52" s="6" t="n">
        <v>9.800000000000001</v>
      </c>
      <c r="H52" s="6" t="n">
        <v>0.5561</v>
      </c>
      <c r="I52" s="6" t="n">
        <v>0.4439</v>
      </c>
      <c r="J52" s="6" t="n">
        <v>0.2612</v>
      </c>
      <c r="K52" s="11">
        <f>ROUND(I52+H52,4)</f>
        <v/>
      </c>
    </row>
    <row r="53">
      <c r="A53" s="9" t="n">
        <v>1998</v>
      </c>
      <c r="B53" s="9" t="inlineStr">
        <is>
          <t>CHL</t>
        </is>
      </c>
      <c r="C53" s="9" t="inlineStr">
        <is>
          <t>Chile</t>
        </is>
      </c>
      <c r="D53" s="9" t="inlineStr">
        <is>
          <t>B07_08</t>
        </is>
      </c>
      <c r="E53" s="9" t="n">
        <v>8095.5</v>
      </c>
      <c r="F53" s="9" t="n">
        <v>0.8004</v>
      </c>
      <c r="G53" s="9" t="n">
        <v>3651.4</v>
      </c>
      <c r="H53" s="9" t="n">
        <v>0.0055</v>
      </c>
      <c r="I53" s="9" t="n">
        <v>0.9945000000000001</v>
      </c>
      <c r="J53" s="9" t="n">
        <v>0.9625</v>
      </c>
      <c r="K53" s="11">
        <f>ROUND(I53+H53,4)</f>
        <v/>
      </c>
    </row>
    <row r="54">
      <c r="A54" s="6" t="n">
        <v>1998</v>
      </c>
      <c r="B54" s="6" t="inlineStr">
        <is>
          <t>CHL</t>
        </is>
      </c>
      <c r="C54" s="6" t="inlineStr">
        <is>
          <t>Chile</t>
        </is>
      </c>
      <c r="D54" s="6" t="inlineStr">
        <is>
          <t>B09</t>
        </is>
      </c>
      <c r="E54" s="6" t="n">
        <v>3</v>
      </c>
      <c r="F54" s="6" t="n">
        <v>0.8586</v>
      </c>
      <c r="G54" s="6" t="n">
        <v>1.8</v>
      </c>
      <c r="H54" s="6" t="n">
        <v>0.0274</v>
      </c>
      <c r="I54" s="6" t="n">
        <v>0.9726</v>
      </c>
      <c r="J54" s="6" t="n">
        <v>0.1418</v>
      </c>
      <c r="K54" s="11">
        <f>ROUND(I54+H54,4)</f>
        <v/>
      </c>
    </row>
    <row r="55">
      <c r="A55" s="9" t="n">
        <v>1998</v>
      </c>
      <c r="B55" s="9" t="inlineStr">
        <is>
          <t>AUS</t>
        </is>
      </c>
      <c r="C55" s="9" t="inlineStr">
        <is>
          <t>Australia</t>
        </is>
      </c>
      <c r="D55" s="9" t="inlineStr">
        <is>
          <t>B05_06</t>
        </is>
      </c>
      <c r="E55" s="9" t="n">
        <v>8036.1</v>
      </c>
      <c r="F55" s="9" t="n">
        <v>0.9236</v>
      </c>
      <c r="G55" s="9" t="n">
        <v>6113.2</v>
      </c>
      <c r="H55" s="9" t="n">
        <v>0.0944</v>
      </c>
      <c r="I55" s="9" t="n">
        <v>0.9056</v>
      </c>
      <c r="J55" s="9" t="n">
        <v>0.7357</v>
      </c>
      <c r="K55" s="11">
        <f>ROUND(I55+H55,4)</f>
        <v/>
      </c>
    </row>
    <row r="56">
      <c r="A56" s="6" t="n">
        <v>1998</v>
      </c>
      <c r="B56" s="6" t="inlineStr">
        <is>
          <t>AUS</t>
        </is>
      </c>
      <c r="C56" s="6" t="inlineStr">
        <is>
          <t>Australia</t>
        </is>
      </c>
      <c r="D56" s="6" t="inlineStr">
        <is>
          <t>B07_08</t>
        </is>
      </c>
      <c r="E56" s="6" t="n">
        <v>4738.7</v>
      </c>
      <c r="F56" s="6" t="n">
        <v>0.8641</v>
      </c>
      <c r="G56" s="6" t="n">
        <v>4223.1</v>
      </c>
      <c r="H56" s="6" t="n">
        <v>0.445</v>
      </c>
      <c r="I56" s="6" t="n">
        <v>0.555</v>
      </c>
      <c r="J56" s="6" t="n">
        <v>0.7321</v>
      </c>
      <c r="K56" s="11">
        <f>ROUND(I56+H56,4)</f>
        <v/>
      </c>
    </row>
    <row r="57">
      <c r="A57" s="9" t="n">
        <v>1998</v>
      </c>
      <c r="B57" s="9" t="inlineStr">
        <is>
          <t>AUS</t>
        </is>
      </c>
      <c r="C57" s="9" t="inlineStr">
        <is>
          <t>Australia</t>
        </is>
      </c>
      <c r="D57" s="9" t="inlineStr">
        <is>
          <t>B09</t>
        </is>
      </c>
      <c r="E57" s="9" t="n">
        <v>23</v>
      </c>
      <c r="F57" s="9" t="n">
        <v>0.8858</v>
      </c>
      <c r="G57" s="9" t="n">
        <v>727</v>
      </c>
      <c r="H57" s="9" t="n">
        <v>0.2906</v>
      </c>
      <c r="I57" s="9" t="n">
        <v>0.7094</v>
      </c>
      <c r="J57" s="9" t="n">
        <v>0.4401</v>
      </c>
      <c r="K57" s="11">
        <f>ROUND(I57+H57,4)</f>
        <v/>
      </c>
    </row>
    <row r="58">
      <c r="A58" s="6" t="n">
        <v>1998</v>
      </c>
      <c r="B58" s="6" t="inlineStr">
        <is>
          <t>FIN</t>
        </is>
      </c>
      <c r="C58" s="6" t="inlineStr">
        <is>
          <t>Finlandia</t>
        </is>
      </c>
      <c r="D58" s="6" t="inlineStr">
        <is>
          <t>B05_06</t>
        </is>
      </c>
      <c r="E58" s="6" t="n">
        <v>19.5</v>
      </c>
      <c r="F58" s="6" t="n">
        <v>0.7541</v>
      </c>
      <c r="G58" s="6" t="n">
        <v>36.8</v>
      </c>
      <c r="H58" s="6" t="n">
        <v>0.77</v>
      </c>
      <c r="I58" s="6" t="n">
        <v>0.23</v>
      </c>
      <c r="J58" s="6" t="n">
        <v>0.3879</v>
      </c>
      <c r="K58" s="11">
        <f>ROUND(I58+H58,4)</f>
        <v/>
      </c>
    </row>
    <row r="59">
      <c r="A59" s="9" t="n">
        <v>1998</v>
      </c>
      <c r="B59" s="9" t="inlineStr">
        <is>
          <t>FIN</t>
        </is>
      </c>
      <c r="C59" s="9" t="inlineStr">
        <is>
          <t>Finlandia</t>
        </is>
      </c>
      <c r="D59" s="9" t="inlineStr">
        <is>
          <t>B07_08</t>
        </is>
      </c>
      <c r="E59" s="9" t="n">
        <v>79.2</v>
      </c>
      <c r="F59" s="9" t="n">
        <v>0.7108</v>
      </c>
      <c r="G59" s="9" t="n">
        <v>127</v>
      </c>
      <c r="H59" s="9" t="n">
        <v>0.7645999999999999</v>
      </c>
      <c r="I59" s="9" t="n">
        <v>0.2354</v>
      </c>
      <c r="J59" s="9" t="n">
        <v>0.5255</v>
      </c>
      <c r="K59" s="11">
        <f>ROUND(I59+H59,4)</f>
        <v/>
      </c>
    </row>
    <row r="60">
      <c r="A60" s="6" t="n">
        <v>1998</v>
      </c>
      <c r="B60" s="6" t="inlineStr">
        <is>
          <t>FIN</t>
        </is>
      </c>
      <c r="C60" s="6" t="inlineStr">
        <is>
          <t>Finlandia</t>
        </is>
      </c>
      <c r="D60" s="6" t="inlineStr">
        <is>
          <t>B09</t>
        </is>
      </c>
      <c r="E60" s="6" t="n">
        <v>0.5</v>
      </c>
      <c r="F60" s="6" t="n">
        <v>0.7812</v>
      </c>
      <c r="G60" s="6" t="n">
        <v>0.6</v>
      </c>
      <c r="H60" s="6" t="n">
        <v>0.5629999999999999</v>
      </c>
      <c r="I60" s="6" t="n">
        <v>0.437</v>
      </c>
      <c r="J60" s="6" t="n">
        <v>0.4353</v>
      </c>
      <c r="K60" s="11">
        <f>ROUND(I60+H60,4)</f>
        <v/>
      </c>
    </row>
    <row r="61">
      <c r="A61" s="9" t="n">
        <v>1998</v>
      </c>
      <c r="B61" s="9" t="inlineStr">
        <is>
          <t>SWE</t>
        </is>
      </c>
      <c r="C61" s="9" t="inlineStr">
        <is>
          <t>Suecia</t>
        </is>
      </c>
      <c r="D61" s="9" t="inlineStr">
        <is>
          <t>B05_06</t>
        </is>
      </c>
      <c r="E61" s="9" t="n">
        <v>7.3</v>
      </c>
      <c r="F61" s="9" t="n">
        <v>0.657</v>
      </c>
      <c r="G61" s="9" t="n">
        <v>10.6</v>
      </c>
      <c r="H61" s="9" t="n">
        <v>0.8816000000000001</v>
      </c>
      <c r="I61" s="9" t="n">
        <v>0.1184</v>
      </c>
      <c r="J61" s="9" t="n">
        <v>0.4209</v>
      </c>
      <c r="K61" s="11">
        <f>ROUND(I61+H61,4)</f>
        <v/>
      </c>
    </row>
    <row r="62">
      <c r="A62" s="6" t="n">
        <v>1998</v>
      </c>
      <c r="B62" s="6" t="inlineStr">
        <is>
          <t>SWE</t>
        </is>
      </c>
      <c r="C62" s="6" t="inlineStr">
        <is>
          <t>Suecia</t>
        </is>
      </c>
      <c r="D62" s="6" t="inlineStr">
        <is>
          <t>B07_08</t>
        </is>
      </c>
      <c r="E62" s="6" t="n">
        <v>495.6</v>
      </c>
      <c r="F62" s="6" t="n">
        <v>0.7338</v>
      </c>
      <c r="G62" s="6" t="n">
        <v>458.6</v>
      </c>
      <c r="H62" s="6" t="n">
        <v>0.5635</v>
      </c>
      <c r="I62" s="6" t="n">
        <v>0.4365</v>
      </c>
      <c r="J62" s="6" t="n">
        <v>0.7599</v>
      </c>
      <c r="K62" s="11">
        <f>ROUND(I62+H62,4)</f>
        <v/>
      </c>
    </row>
    <row r="63">
      <c r="A63" s="9" t="n">
        <v>1998</v>
      </c>
      <c r="B63" s="9" t="inlineStr">
        <is>
          <t>SWE</t>
        </is>
      </c>
      <c r="C63" s="9" t="inlineStr">
        <is>
          <t>Suecia</t>
        </is>
      </c>
      <c r="D63" s="9" t="inlineStr">
        <is>
          <t>B09</t>
        </is>
      </c>
      <c r="E63" s="9" t="n">
        <v>73.5</v>
      </c>
      <c r="F63" s="9" t="n">
        <v>0.6538</v>
      </c>
      <c r="G63" s="9" t="n">
        <v>12.6</v>
      </c>
      <c r="H63" s="9" t="n">
        <v>0.008699999999999999</v>
      </c>
      <c r="I63" s="9" t="n">
        <v>0.9913</v>
      </c>
      <c r="J63" s="9" t="n">
        <v>0.9789</v>
      </c>
      <c r="K63" s="11">
        <f>ROUND(I63+H63,4)</f>
        <v/>
      </c>
    </row>
    <row r="64">
      <c r="A64" s="6" t="n">
        <v>1999</v>
      </c>
      <c r="B64" s="6" t="inlineStr">
        <is>
          <t>MEX</t>
        </is>
      </c>
      <c r="C64" s="6" t="inlineStr">
        <is>
          <t>Mexico</t>
        </is>
      </c>
      <c r="D64" s="6" t="inlineStr">
        <is>
          <t>B05_06</t>
        </is>
      </c>
      <c r="E64" s="6" t="n">
        <v>8766</v>
      </c>
      <c r="F64" s="6" t="n">
        <v>0.9789</v>
      </c>
      <c r="G64" s="6" t="n">
        <v>12521.6</v>
      </c>
      <c r="H64" s="6" t="n">
        <v>0.3461</v>
      </c>
      <c r="I64" s="6" t="n">
        <v>0.6539</v>
      </c>
      <c r="J64" s="6" t="n">
        <v>0.3809</v>
      </c>
      <c r="K64" s="11">
        <f>ROUND(I64+H64,4)</f>
        <v/>
      </c>
    </row>
    <row r="65">
      <c r="A65" s="9" t="n">
        <v>1999</v>
      </c>
      <c r="B65" s="9" t="inlineStr">
        <is>
          <t>MEX</t>
        </is>
      </c>
      <c r="C65" s="9" t="inlineStr">
        <is>
          <t>Mexico</t>
        </is>
      </c>
      <c r="D65" s="9" t="inlineStr">
        <is>
          <t>B07_08</t>
        </is>
      </c>
      <c r="E65" s="9" t="n">
        <v>342.3</v>
      </c>
      <c r="F65" s="9" t="n">
        <v>0.8974</v>
      </c>
      <c r="G65" s="9" t="n">
        <v>586.4</v>
      </c>
      <c r="H65" s="9" t="n">
        <v>0.611</v>
      </c>
      <c r="I65" s="9" t="n">
        <v>0.389</v>
      </c>
      <c r="J65" s="9" t="n">
        <v>0.1814</v>
      </c>
      <c r="K65" s="11">
        <f>ROUND(I65+H65,4)</f>
        <v/>
      </c>
    </row>
    <row r="66">
      <c r="A66" s="6" t="n">
        <v>1999</v>
      </c>
      <c r="B66" s="6" t="inlineStr">
        <is>
          <t>MEX</t>
        </is>
      </c>
      <c r="C66" s="6" t="inlineStr">
        <is>
          <t>Mexico</t>
        </is>
      </c>
      <c r="D66" s="6" t="inlineStr">
        <is>
          <t>B09</t>
        </is>
      </c>
      <c r="E66" s="6" t="n">
        <v>7.4</v>
      </c>
      <c r="F66" s="6" t="n">
        <v>0.8898</v>
      </c>
      <c r="G66" s="6" t="n">
        <v>72.40000000000001</v>
      </c>
      <c r="H66" s="6" t="n">
        <v>0.3341</v>
      </c>
      <c r="I66" s="6" t="n">
        <v>0.6659</v>
      </c>
      <c r="J66" s="6" t="n">
        <v>0.0538</v>
      </c>
      <c r="K66" s="11">
        <f>ROUND(I66+H66,4)</f>
        <v/>
      </c>
    </row>
    <row r="67">
      <c r="A67" s="9" t="n">
        <v>1999</v>
      </c>
      <c r="B67" s="9" t="inlineStr">
        <is>
          <t>CHL</t>
        </is>
      </c>
      <c r="C67" s="9" t="inlineStr">
        <is>
          <t>Chile</t>
        </is>
      </c>
      <c r="D67" s="9" t="inlineStr">
        <is>
          <t>B05_06</t>
        </is>
      </c>
      <c r="E67" s="9" t="n">
        <v>1.1</v>
      </c>
      <c r="F67" s="9" t="n">
        <v>0.8037</v>
      </c>
      <c r="G67" s="9" t="n">
        <v>12.3</v>
      </c>
      <c r="H67" s="9" t="n">
        <v>0.5869</v>
      </c>
      <c r="I67" s="9" t="n">
        <v>0.4131</v>
      </c>
      <c r="J67" s="9" t="n">
        <v>0.2847</v>
      </c>
      <c r="K67" s="11">
        <f>ROUND(I67+H67,4)</f>
        <v/>
      </c>
    </row>
    <row r="68">
      <c r="A68" s="6" t="n">
        <v>1999</v>
      </c>
      <c r="B68" s="6" t="inlineStr">
        <is>
          <t>CHL</t>
        </is>
      </c>
      <c r="C68" s="6" t="inlineStr">
        <is>
          <t>Chile</t>
        </is>
      </c>
      <c r="D68" s="6" t="inlineStr">
        <is>
          <t>B07_08</t>
        </is>
      </c>
      <c r="E68" s="6" t="n">
        <v>8469.9</v>
      </c>
      <c r="F68" s="6" t="n">
        <v>0.8185</v>
      </c>
      <c r="G68" s="6" t="n">
        <v>4149.7</v>
      </c>
      <c r="H68" s="6" t="n">
        <v>0.0095</v>
      </c>
      <c r="I68" s="6" t="n">
        <v>0.9905</v>
      </c>
      <c r="J68" s="6" t="n">
        <v>0.953</v>
      </c>
      <c r="K68" s="11">
        <f>ROUND(I68+H68,4)</f>
        <v/>
      </c>
    </row>
    <row r="69">
      <c r="A69" s="9" t="n">
        <v>1999</v>
      </c>
      <c r="B69" s="9" t="inlineStr">
        <is>
          <t>CHL</t>
        </is>
      </c>
      <c r="C69" s="9" t="inlineStr">
        <is>
          <t>Chile</t>
        </is>
      </c>
      <c r="D69" s="9" t="inlineStr">
        <is>
          <t>B09</t>
        </is>
      </c>
      <c r="E69" s="9" t="n">
        <v>4.1</v>
      </c>
      <c r="F69" s="9" t="n">
        <v>0.8743</v>
      </c>
      <c r="G69" s="9" t="n">
        <v>2.6</v>
      </c>
      <c r="H69" s="9" t="n">
        <v>0.0359</v>
      </c>
      <c r="I69" s="9" t="n">
        <v>0.9641</v>
      </c>
      <c r="J69" s="9" t="n">
        <v>0.1736</v>
      </c>
      <c r="K69" s="11">
        <f>ROUND(I69+H69,4)</f>
        <v/>
      </c>
    </row>
    <row r="70">
      <c r="A70" s="6" t="n">
        <v>1999</v>
      </c>
      <c r="B70" s="6" t="inlineStr">
        <is>
          <t>AUS</t>
        </is>
      </c>
      <c r="C70" s="6" t="inlineStr">
        <is>
          <t>Australia</t>
        </is>
      </c>
      <c r="D70" s="6" t="inlineStr">
        <is>
          <t>B05_06</t>
        </is>
      </c>
      <c r="E70" s="6" t="n">
        <v>7023.9</v>
      </c>
      <c r="F70" s="6" t="n">
        <v>0.9217</v>
      </c>
      <c r="G70" s="6" t="n">
        <v>6103.5</v>
      </c>
      <c r="H70" s="6" t="n">
        <v>0.1719</v>
      </c>
      <c r="I70" s="6" t="n">
        <v>0.8280999999999999</v>
      </c>
      <c r="J70" s="6" t="n">
        <v>0.5908</v>
      </c>
      <c r="K70" s="11">
        <f>ROUND(I70+H70,4)</f>
        <v/>
      </c>
    </row>
    <row r="71">
      <c r="A71" s="9" t="n">
        <v>1999</v>
      </c>
      <c r="B71" s="9" t="inlineStr">
        <is>
          <t>AUS</t>
        </is>
      </c>
      <c r="C71" s="9" t="inlineStr">
        <is>
          <t>Australia</t>
        </is>
      </c>
      <c r="D71" s="9" t="inlineStr">
        <is>
          <t>B07_08</t>
        </is>
      </c>
      <c r="E71" s="9" t="n">
        <v>5550.1</v>
      </c>
      <c r="F71" s="9" t="n">
        <v>0.8473000000000001</v>
      </c>
      <c r="G71" s="9" t="n">
        <v>4089.8</v>
      </c>
      <c r="H71" s="9" t="n">
        <v>0.396</v>
      </c>
      <c r="I71" s="9" t="n">
        <v>0.604</v>
      </c>
      <c r="J71" s="9" t="n">
        <v>0.7523</v>
      </c>
      <c r="K71" s="11">
        <f>ROUND(I71+H71,4)</f>
        <v/>
      </c>
    </row>
    <row r="72">
      <c r="A72" s="6" t="n">
        <v>1999</v>
      </c>
      <c r="B72" s="6" t="inlineStr">
        <is>
          <t>AUS</t>
        </is>
      </c>
      <c r="C72" s="6" t="inlineStr">
        <is>
          <t>Australia</t>
        </is>
      </c>
      <c r="D72" s="6" t="inlineStr">
        <is>
          <t>B09</t>
        </is>
      </c>
      <c r="E72" s="6" t="n">
        <v>20.8</v>
      </c>
      <c r="F72" s="6" t="n">
        <v>0.9546</v>
      </c>
      <c r="G72" s="6" t="n">
        <v>774</v>
      </c>
      <c r="H72" s="6" t="n">
        <v>0.3246</v>
      </c>
      <c r="I72" s="6" t="n">
        <v>0.6754</v>
      </c>
      <c r="J72" s="6" t="n">
        <v>0.3957</v>
      </c>
      <c r="K72" s="11">
        <f>ROUND(I72+H72,4)</f>
        <v/>
      </c>
    </row>
    <row r="73">
      <c r="A73" s="9" t="n">
        <v>1999</v>
      </c>
      <c r="B73" s="9" t="inlineStr">
        <is>
          <t>FIN</t>
        </is>
      </c>
      <c r="C73" s="9" t="inlineStr">
        <is>
          <t>Finlandia</t>
        </is>
      </c>
      <c r="D73" s="9" t="inlineStr">
        <is>
          <t>B05_06</t>
        </is>
      </c>
      <c r="E73" s="9" t="n">
        <v>25.7</v>
      </c>
      <c r="F73" s="9" t="n">
        <v>0.7344000000000001</v>
      </c>
      <c r="G73" s="9" t="n">
        <v>36.5</v>
      </c>
      <c r="H73" s="9" t="n">
        <v>0.7429</v>
      </c>
      <c r="I73" s="9" t="n">
        <v>0.2571</v>
      </c>
      <c r="J73" s="9" t="n">
        <v>0.4069</v>
      </c>
      <c r="K73" s="11">
        <f>ROUND(I73+H73,4)</f>
        <v/>
      </c>
    </row>
    <row r="74">
      <c r="A74" s="6" t="n">
        <v>1999</v>
      </c>
      <c r="B74" s="6" t="inlineStr">
        <is>
          <t>FIN</t>
        </is>
      </c>
      <c r="C74" s="6" t="inlineStr">
        <is>
          <t>Finlandia</t>
        </is>
      </c>
      <c r="D74" s="6" t="inlineStr">
        <is>
          <t>B07_08</t>
        </is>
      </c>
      <c r="E74" s="6" t="n">
        <v>81.40000000000001</v>
      </c>
      <c r="F74" s="6" t="n">
        <v>0.6999</v>
      </c>
      <c r="G74" s="6" t="n">
        <v>129.7</v>
      </c>
      <c r="H74" s="6" t="n">
        <v>0.7667</v>
      </c>
      <c r="I74" s="6" t="n">
        <v>0.2333</v>
      </c>
      <c r="J74" s="6" t="n">
        <v>0.5525</v>
      </c>
      <c r="K74" s="11">
        <f>ROUND(I74+H74,4)</f>
        <v/>
      </c>
    </row>
    <row r="75">
      <c r="A75" s="9" t="n">
        <v>1999</v>
      </c>
      <c r="B75" s="9" t="inlineStr">
        <is>
          <t>FIN</t>
        </is>
      </c>
      <c r="C75" s="9" t="inlineStr">
        <is>
          <t>Finlandia</t>
        </is>
      </c>
      <c r="D75" s="9" t="inlineStr">
        <is>
          <t>B09</t>
        </is>
      </c>
      <c r="E75" s="9" t="n">
        <v>1.1</v>
      </c>
      <c r="F75" s="9" t="n">
        <v>0.7798</v>
      </c>
      <c r="G75" s="9" t="n">
        <v>0.8</v>
      </c>
      <c r="H75" s="9" t="n">
        <v>0.2999</v>
      </c>
      <c r="I75" s="9" t="n">
        <v>0.7000999999999999</v>
      </c>
      <c r="J75" s="9" t="n">
        <v>0.6139</v>
      </c>
      <c r="K75" s="11">
        <f>ROUND(I75+H75,4)</f>
        <v/>
      </c>
    </row>
    <row r="76">
      <c r="A76" s="6" t="n">
        <v>1999</v>
      </c>
      <c r="B76" s="6" t="inlineStr">
        <is>
          <t>SWE</t>
        </is>
      </c>
      <c r="C76" s="6" t="inlineStr">
        <is>
          <t>Suecia</t>
        </is>
      </c>
      <c r="D76" s="6" t="inlineStr">
        <is>
          <t>B05_06</t>
        </is>
      </c>
      <c r="E76" s="6" t="n">
        <v>6.1</v>
      </c>
      <c r="F76" s="6" t="n">
        <v>0.6508</v>
      </c>
      <c r="G76" s="6" t="n">
        <v>8.800000000000001</v>
      </c>
      <c r="H76" s="6" t="n">
        <v>0.8908</v>
      </c>
      <c r="I76" s="6" t="n">
        <v>0.1092</v>
      </c>
      <c r="J76" s="6" t="n">
        <v>0.4113</v>
      </c>
      <c r="K76" s="11">
        <f>ROUND(I76+H76,4)</f>
        <v/>
      </c>
    </row>
    <row r="77">
      <c r="A77" s="9" t="n">
        <v>1999</v>
      </c>
      <c r="B77" s="9" t="inlineStr">
        <is>
          <t>SWE</t>
        </is>
      </c>
      <c r="C77" s="9" t="inlineStr">
        <is>
          <t>Suecia</t>
        </is>
      </c>
      <c r="D77" s="9" t="inlineStr">
        <is>
          <t>B07_08</t>
        </is>
      </c>
      <c r="E77" s="9" t="n">
        <v>348.5</v>
      </c>
      <c r="F77" s="9" t="n">
        <v>0.7226</v>
      </c>
      <c r="G77" s="9" t="n">
        <v>353.6</v>
      </c>
      <c r="H77" s="9" t="n">
        <v>0.6278</v>
      </c>
      <c r="I77" s="9" t="n">
        <v>0.3722</v>
      </c>
      <c r="J77" s="9" t="n">
        <v>0.6936</v>
      </c>
      <c r="K77" s="11">
        <f>ROUND(I77+H77,4)</f>
        <v/>
      </c>
    </row>
    <row r="78">
      <c r="A78" s="6" t="n">
        <v>1999</v>
      </c>
      <c r="B78" s="6" t="inlineStr">
        <is>
          <t>SWE</t>
        </is>
      </c>
      <c r="C78" s="6" t="inlineStr">
        <is>
          <t>Suecia</t>
        </is>
      </c>
      <c r="D78" s="6" t="inlineStr">
        <is>
          <t>B09</t>
        </is>
      </c>
      <c r="E78" s="6" t="n">
        <v>60.6</v>
      </c>
      <c r="F78" s="6" t="n">
        <v>0.643</v>
      </c>
      <c r="G78" s="6" t="n">
        <v>8.800000000000001</v>
      </c>
      <c r="H78" s="6" t="n">
        <v>0.0061</v>
      </c>
      <c r="I78" s="6" t="n">
        <v>0.9939</v>
      </c>
      <c r="J78" s="6" t="n">
        <v>0.9852</v>
      </c>
      <c r="K78" s="11">
        <f>ROUND(I78+H78,4)</f>
        <v/>
      </c>
    </row>
    <row r="79">
      <c r="A79" s="9" t="n">
        <v>2000</v>
      </c>
      <c r="B79" s="9" t="inlineStr">
        <is>
          <t>MEX</t>
        </is>
      </c>
      <c r="C79" s="9" t="inlineStr">
        <is>
          <t>Mexico</t>
        </is>
      </c>
      <c r="D79" s="9" t="inlineStr">
        <is>
          <t>B05_06</t>
        </is>
      </c>
      <c r="E79" s="9" t="n">
        <v>14257.3</v>
      </c>
      <c r="F79" s="9" t="n">
        <v>0.9756</v>
      </c>
      <c r="G79" s="9" t="n">
        <v>17775</v>
      </c>
      <c r="H79" s="9" t="n">
        <v>0.2589</v>
      </c>
      <c r="I79" s="9" t="n">
        <v>0.7411</v>
      </c>
      <c r="J79" s="9" t="n">
        <v>0.4441</v>
      </c>
      <c r="K79" s="11">
        <f>ROUND(I79+H79,4)</f>
        <v/>
      </c>
    </row>
    <row r="80">
      <c r="A80" s="6" t="n">
        <v>2000</v>
      </c>
      <c r="B80" s="6" t="inlineStr">
        <is>
          <t>MEX</t>
        </is>
      </c>
      <c r="C80" s="6" t="inlineStr">
        <is>
          <t>Mexico</t>
        </is>
      </c>
      <c r="D80" s="6" t="inlineStr">
        <is>
          <t>B07_08</t>
        </is>
      </c>
      <c r="E80" s="6" t="n">
        <v>405.6</v>
      </c>
      <c r="F80" s="6" t="n">
        <v>0.8895999999999999</v>
      </c>
      <c r="G80" s="6" t="n">
        <v>666.2</v>
      </c>
      <c r="H80" s="6" t="n">
        <v>0.5933</v>
      </c>
      <c r="I80" s="6" t="n">
        <v>0.4067</v>
      </c>
      <c r="J80" s="6" t="n">
        <v>0.1819</v>
      </c>
      <c r="K80" s="11">
        <f>ROUND(I80+H80,4)</f>
        <v/>
      </c>
    </row>
    <row r="81">
      <c r="A81" s="9" t="n">
        <v>2000</v>
      </c>
      <c r="B81" s="9" t="inlineStr">
        <is>
          <t>MEX</t>
        </is>
      </c>
      <c r="C81" s="9" t="inlineStr">
        <is>
          <t>Mexico</t>
        </is>
      </c>
      <c r="D81" s="9" t="inlineStr">
        <is>
          <t>B09</t>
        </is>
      </c>
      <c r="E81" s="9" t="n">
        <v>6.5</v>
      </c>
      <c r="F81" s="9" t="n">
        <v>0.8835</v>
      </c>
      <c r="G81" s="9" t="n">
        <v>130.8</v>
      </c>
      <c r="H81" s="9" t="n">
        <v>0.2576</v>
      </c>
      <c r="I81" s="9" t="n">
        <v>0.7423999999999999</v>
      </c>
      <c r="J81" s="9" t="n">
        <v>0.064</v>
      </c>
      <c r="K81" s="11">
        <f>ROUND(I81+H81,4)</f>
        <v/>
      </c>
    </row>
    <row r="82">
      <c r="A82" s="6" t="n">
        <v>2000</v>
      </c>
      <c r="B82" s="6" t="inlineStr">
        <is>
          <t>CHL</t>
        </is>
      </c>
      <c r="C82" s="6" t="inlineStr">
        <is>
          <t>Chile</t>
        </is>
      </c>
      <c r="D82" s="6" t="inlineStr">
        <is>
          <t>B05_06</t>
        </is>
      </c>
      <c r="E82" s="6" t="n">
        <v>1.2</v>
      </c>
      <c r="F82" s="6" t="n">
        <v>0.8092</v>
      </c>
      <c r="G82" s="6" t="n">
        <v>15</v>
      </c>
      <c r="H82" s="6" t="n">
        <v>0.6371</v>
      </c>
      <c r="I82" s="6" t="n">
        <v>0.3629</v>
      </c>
      <c r="J82" s="6" t="n">
        <v>0.2845</v>
      </c>
      <c r="K82" s="11">
        <f>ROUND(I82+H82,4)</f>
        <v/>
      </c>
    </row>
    <row r="83">
      <c r="A83" s="9" t="n">
        <v>2000</v>
      </c>
      <c r="B83" s="9" t="inlineStr">
        <is>
          <t>CHL</t>
        </is>
      </c>
      <c r="C83" s="9" t="inlineStr">
        <is>
          <t>Chile</t>
        </is>
      </c>
      <c r="D83" s="9" t="inlineStr">
        <is>
          <t>B07_08</t>
        </is>
      </c>
      <c r="E83" s="9" t="n">
        <v>9172.9</v>
      </c>
      <c r="F83" s="9" t="n">
        <v>0.8348</v>
      </c>
      <c r="G83" s="9" t="n">
        <v>4969.4</v>
      </c>
      <c r="H83" s="9" t="n">
        <v>0.0143</v>
      </c>
      <c r="I83" s="9" t="n">
        <v>0.9857</v>
      </c>
      <c r="J83" s="9" t="n">
        <v>0.9323</v>
      </c>
      <c r="K83" s="11">
        <f>ROUND(I83+H83,4)</f>
        <v/>
      </c>
    </row>
    <row r="84">
      <c r="A84" s="6" t="n">
        <v>2000</v>
      </c>
      <c r="B84" s="6" t="inlineStr">
        <is>
          <t>CHL</t>
        </is>
      </c>
      <c r="C84" s="6" t="inlineStr">
        <is>
          <t>Chile</t>
        </is>
      </c>
      <c r="D84" s="6" t="inlineStr">
        <is>
          <t>B09</t>
        </is>
      </c>
      <c r="E84" s="6" t="n">
        <v>5.5</v>
      </c>
      <c r="F84" s="6" t="n">
        <v>0.8752</v>
      </c>
      <c r="G84" s="6" t="n">
        <v>3.7</v>
      </c>
      <c r="H84" s="6" t="n">
        <v>0.0438</v>
      </c>
      <c r="I84" s="6" t="n">
        <v>0.9562</v>
      </c>
      <c r="J84" s="6" t="n">
        <v>0.1961</v>
      </c>
      <c r="K84" s="11">
        <f>ROUND(I84+H84,4)</f>
        <v/>
      </c>
    </row>
    <row r="85">
      <c r="A85" s="9" t="n">
        <v>2000</v>
      </c>
      <c r="B85" s="9" t="inlineStr">
        <is>
          <t>AUS</t>
        </is>
      </c>
      <c r="C85" s="9" t="inlineStr">
        <is>
          <t>Australia</t>
        </is>
      </c>
      <c r="D85" s="9" t="inlineStr">
        <is>
          <t>B05_06</t>
        </is>
      </c>
      <c r="E85" s="9" t="n">
        <v>9315.9</v>
      </c>
      <c r="F85" s="9" t="n">
        <v>0.921</v>
      </c>
      <c r="G85" s="9" t="n">
        <v>8138.6</v>
      </c>
      <c r="H85" s="9" t="n">
        <v>0.1679</v>
      </c>
      <c r="I85" s="9" t="n">
        <v>0.8321</v>
      </c>
      <c r="J85" s="9" t="n">
        <v>0.6463</v>
      </c>
      <c r="K85" s="11">
        <f>ROUND(I85+H85,4)</f>
        <v/>
      </c>
    </row>
    <row r="86">
      <c r="A86" s="6" t="n">
        <v>2000</v>
      </c>
      <c r="B86" s="6" t="inlineStr">
        <is>
          <t>AUS</t>
        </is>
      </c>
      <c r="C86" s="6" t="inlineStr">
        <is>
          <t>Australia</t>
        </is>
      </c>
      <c r="D86" s="6" t="inlineStr">
        <is>
          <t>B07_08</t>
        </is>
      </c>
      <c r="E86" s="6" t="n">
        <v>4845.4</v>
      </c>
      <c r="F86" s="6" t="n">
        <v>0.8391</v>
      </c>
      <c r="G86" s="6" t="n">
        <v>4142.2</v>
      </c>
      <c r="H86" s="6" t="n">
        <v>0.4918</v>
      </c>
      <c r="I86" s="6" t="n">
        <v>0.5082</v>
      </c>
      <c r="J86" s="6" t="n">
        <v>0.7503</v>
      </c>
      <c r="K86" s="11">
        <f>ROUND(I86+H86,4)</f>
        <v/>
      </c>
    </row>
    <row r="87">
      <c r="A87" s="9" t="n">
        <v>2000</v>
      </c>
      <c r="B87" s="9" t="inlineStr">
        <is>
          <t>AUS</t>
        </is>
      </c>
      <c r="C87" s="9" t="inlineStr">
        <is>
          <t>Australia</t>
        </is>
      </c>
      <c r="D87" s="9" t="inlineStr">
        <is>
          <t>B09</t>
        </is>
      </c>
      <c r="E87" s="9" t="n">
        <v>21.9</v>
      </c>
      <c r="F87" s="9" t="n">
        <v>0.9258999999999999</v>
      </c>
      <c r="G87" s="9" t="n">
        <v>798.2</v>
      </c>
      <c r="H87" s="9" t="n">
        <v>0.3761</v>
      </c>
      <c r="I87" s="9" t="n">
        <v>0.6239</v>
      </c>
      <c r="J87" s="9" t="n">
        <v>0.3896</v>
      </c>
      <c r="K87" s="11">
        <f>ROUND(I87+H87,4)</f>
        <v/>
      </c>
    </row>
    <row r="88">
      <c r="A88" s="6" t="n">
        <v>2000</v>
      </c>
      <c r="B88" s="6" t="inlineStr">
        <is>
          <t>FIN</t>
        </is>
      </c>
      <c r="C88" s="6" t="inlineStr">
        <is>
          <t>Finlandia</t>
        </is>
      </c>
      <c r="D88" s="6" t="inlineStr">
        <is>
          <t>B05_06</t>
        </is>
      </c>
      <c r="E88" s="6" t="n">
        <v>12.3</v>
      </c>
      <c r="F88" s="6" t="n">
        <v>0.6519</v>
      </c>
      <c r="G88" s="6" t="n">
        <v>25.4</v>
      </c>
      <c r="H88" s="6" t="n">
        <v>0.8304</v>
      </c>
      <c r="I88" s="6" t="n">
        <v>0.1696</v>
      </c>
      <c r="J88" s="6" t="n">
        <v>0.4162</v>
      </c>
      <c r="K88" s="11">
        <f>ROUND(I88+H88,4)</f>
        <v/>
      </c>
    </row>
    <row r="89">
      <c r="A89" s="9" t="n">
        <v>2000</v>
      </c>
      <c r="B89" s="9" t="inlineStr">
        <is>
          <t>FIN</t>
        </is>
      </c>
      <c r="C89" s="9" t="inlineStr">
        <is>
          <t>Finlandia</t>
        </is>
      </c>
      <c r="D89" s="9" t="inlineStr">
        <is>
          <t>B07_08</t>
        </is>
      </c>
      <c r="E89" s="9" t="n">
        <v>87.90000000000001</v>
      </c>
      <c r="F89" s="9" t="n">
        <v>0.6774</v>
      </c>
      <c r="G89" s="9" t="n">
        <v>119.7</v>
      </c>
      <c r="H89" s="9" t="n">
        <v>0.7375</v>
      </c>
      <c r="I89" s="9" t="n">
        <v>0.2625</v>
      </c>
      <c r="J89" s="9" t="n">
        <v>0.5954</v>
      </c>
      <c r="K89" s="11">
        <f>ROUND(I89+H89,4)</f>
        <v/>
      </c>
    </row>
    <row r="90">
      <c r="A90" s="6" t="n">
        <v>2000</v>
      </c>
      <c r="B90" s="6" t="inlineStr">
        <is>
          <t>FIN</t>
        </is>
      </c>
      <c r="C90" s="6" t="inlineStr">
        <is>
          <t>Finlandia</t>
        </is>
      </c>
      <c r="D90" s="6" t="inlineStr">
        <is>
          <t>B09</t>
        </is>
      </c>
      <c r="E90" s="6" t="n">
        <v>0.2</v>
      </c>
      <c r="F90" s="6" t="n">
        <v>0.7482</v>
      </c>
      <c r="G90" s="6" t="n">
        <v>0.5</v>
      </c>
      <c r="H90" s="6" t="n">
        <v>0.7817</v>
      </c>
      <c r="I90" s="6" t="n">
        <v>0.2183</v>
      </c>
      <c r="J90" s="6" t="n">
        <v>0.4329</v>
      </c>
      <c r="K90" s="11">
        <f>ROUND(I90+H90,4)</f>
        <v/>
      </c>
    </row>
    <row r="91">
      <c r="A91" s="9" t="n">
        <v>2000</v>
      </c>
      <c r="B91" s="9" t="inlineStr">
        <is>
          <t>SWE</t>
        </is>
      </c>
      <c r="C91" s="9" t="inlineStr">
        <is>
          <t>Suecia</t>
        </is>
      </c>
      <c r="D91" s="9" t="inlineStr">
        <is>
          <t>B05_06</t>
        </is>
      </c>
      <c r="E91" s="9" t="n">
        <v>6</v>
      </c>
      <c r="F91" s="9" t="n">
        <v>0.5448</v>
      </c>
      <c r="G91" s="9" t="n">
        <v>7.5</v>
      </c>
      <c r="H91" s="9" t="n">
        <v>0.8888</v>
      </c>
      <c r="I91" s="9" t="n">
        <v>0.1112</v>
      </c>
      <c r="J91" s="9" t="n">
        <v>0.3906</v>
      </c>
      <c r="K91" s="11">
        <f>ROUND(I91+H91,4)</f>
        <v/>
      </c>
    </row>
    <row r="92">
      <c r="A92" s="6" t="n">
        <v>2000</v>
      </c>
      <c r="B92" s="6" t="inlineStr">
        <is>
          <t>SWE</t>
        </is>
      </c>
      <c r="C92" s="6" t="inlineStr">
        <is>
          <t>Suecia</t>
        </is>
      </c>
      <c r="D92" s="6" t="inlineStr">
        <is>
          <t>B07_08</t>
        </is>
      </c>
      <c r="E92" s="6" t="n">
        <v>334.2</v>
      </c>
      <c r="F92" s="6" t="n">
        <v>0.7082000000000001</v>
      </c>
      <c r="G92" s="6" t="n">
        <v>343.3</v>
      </c>
      <c r="H92" s="6" t="n">
        <v>0.6408</v>
      </c>
      <c r="I92" s="6" t="n">
        <v>0.3592</v>
      </c>
      <c r="J92" s="6" t="n">
        <v>0.7316</v>
      </c>
      <c r="K92" s="11">
        <f>ROUND(I92+H92,4)</f>
        <v/>
      </c>
    </row>
    <row r="93">
      <c r="A93" s="9" t="n">
        <v>2000</v>
      </c>
      <c r="B93" s="9" t="inlineStr">
        <is>
          <t>SWE</t>
        </is>
      </c>
      <c r="C93" s="9" t="inlineStr">
        <is>
          <t>Suecia</t>
        </is>
      </c>
      <c r="D93" s="9" t="inlineStr">
        <is>
          <t>B09</t>
        </is>
      </c>
      <c r="E93" s="9" t="n">
        <v>53.1</v>
      </c>
      <c r="F93" s="9" t="n">
        <v>0.633</v>
      </c>
      <c r="G93" s="9" t="n">
        <v>7.6</v>
      </c>
      <c r="H93" s="9" t="n">
        <v>0.0177</v>
      </c>
      <c r="I93" s="9" t="n">
        <v>0.9823</v>
      </c>
      <c r="J93" s="9" t="n">
        <v>0.9689</v>
      </c>
      <c r="K93" s="11">
        <f>ROUND(I93+H93,4)</f>
        <v/>
      </c>
    </row>
    <row r="94">
      <c r="A94" s="6" t="n">
        <v>2001</v>
      </c>
      <c r="B94" s="6" t="inlineStr">
        <is>
          <t>MEX</t>
        </is>
      </c>
      <c r="C94" s="6" t="inlineStr">
        <is>
          <t>Mexico</t>
        </is>
      </c>
      <c r="D94" s="6" t="inlineStr">
        <is>
          <t>B05_06</t>
        </is>
      </c>
      <c r="E94" s="6" t="n">
        <v>11206.5</v>
      </c>
      <c r="F94" s="6" t="n">
        <v>0.9744</v>
      </c>
      <c r="G94" s="6" t="n">
        <v>15428.4</v>
      </c>
      <c r="H94" s="6" t="n">
        <v>0.3344</v>
      </c>
      <c r="I94" s="6" t="n">
        <v>0.6656</v>
      </c>
      <c r="J94" s="6" t="n">
        <v>0.3605</v>
      </c>
      <c r="K94" s="11">
        <f>ROUND(I94+H94,4)</f>
        <v/>
      </c>
    </row>
    <row r="95">
      <c r="A95" s="9" t="n">
        <v>2001</v>
      </c>
      <c r="B95" s="9" t="inlineStr">
        <is>
          <t>MEX</t>
        </is>
      </c>
      <c r="C95" s="9" t="inlineStr">
        <is>
          <t>Mexico</t>
        </is>
      </c>
      <c r="D95" s="9" t="inlineStr">
        <is>
          <t>B07_08</t>
        </is>
      </c>
      <c r="E95" s="9" t="n">
        <v>382</v>
      </c>
      <c r="F95" s="9" t="n">
        <v>0.8905</v>
      </c>
      <c r="G95" s="9" t="n">
        <v>607.8</v>
      </c>
      <c r="H95" s="9" t="n">
        <v>0.592</v>
      </c>
      <c r="I95" s="9" t="n">
        <v>0.408</v>
      </c>
      <c r="J95" s="9" t="n">
        <v>0.1545</v>
      </c>
      <c r="K95" s="11">
        <f>ROUND(I95+H95,4)</f>
        <v/>
      </c>
    </row>
    <row r="96">
      <c r="A96" s="6" t="n">
        <v>2001</v>
      </c>
      <c r="B96" s="6" t="inlineStr">
        <is>
          <t>MEX</t>
        </is>
      </c>
      <c r="C96" s="6" t="inlineStr">
        <is>
          <t>Mexico</t>
        </is>
      </c>
      <c r="D96" s="6" t="inlineStr">
        <is>
          <t>B09</t>
        </is>
      </c>
      <c r="E96" s="6" t="n">
        <v>4.5</v>
      </c>
      <c r="F96" s="6" t="n">
        <v>0.8953</v>
      </c>
      <c r="G96" s="6" t="n">
        <v>137.6</v>
      </c>
      <c r="H96" s="6" t="n">
        <v>0.3331</v>
      </c>
      <c r="I96" s="6" t="n">
        <v>0.6669</v>
      </c>
      <c r="J96" s="6" t="n">
        <v>0.0566</v>
      </c>
      <c r="K96" s="11">
        <f>ROUND(I96+H96,4)</f>
        <v/>
      </c>
    </row>
    <row r="97">
      <c r="A97" s="9" t="n">
        <v>2001</v>
      </c>
      <c r="B97" s="9" t="inlineStr">
        <is>
          <t>CHL</t>
        </is>
      </c>
      <c r="C97" s="9" t="inlineStr">
        <is>
          <t>Chile</t>
        </is>
      </c>
      <c r="D97" s="9" t="inlineStr">
        <is>
          <t>B05_06</t>
        </is>
      </c>
      <c r="E97" s="9" t="n">
        <v>1</v>
      </c>
      <c r="F97" s="9" t="n">
        <v>0.7962</v>
      </c>
      <c r="G97" s="9" t="n">
        <v>13.8</v>
      </c>
      <c r="H97" s="9" t="n">
        <v>0.6498</v>
      </c>
      <c r="I97" s="9" t="n">
        <v>0.3502</v>
      </c>
      <c r="J97" s="9" t="n">
        <v>0.301</v>
      </c>
      <c r="K97" s="11">
        <f>ROUND(I97+H97,4)</f>
        <v/>
      </c>
    </row>
    <row r="98">
      <c r="A98" s="6" t="n">
        <v>2001</v>
      </c>
      <c r="B98" s="6" t="inlineStr">
        <is>
          <t>CHL</t>
        </is>
      </c>
      <c r="C98" s="6" t="inlineStr">
        <is>
          <t>Chile</t>
        </is>
      </c>
      <c r="D98" s="6" t="inlineStr">
        <is>
          <t>B07_08</t>
        </is>
      </c>
      <c r="E98" s="6" t="n">
        <v>8516.299999999999</v>
      </c>
      <c r="F98" s="6" t="n">
        <v>0.8159</v>
      </c>
      <c r="G98" s="6" t="n">
        <v>4288.8</v>
      </c>
      <c r="H98" s="6" t="n">
        <v>0.0155</v>
      </c>
      <c r="I98" s="6" t="n">
        <v>0.9845</v>
      </c>
      <c r="J98" s="6" t="n">
        <v>0.9305</v>
      </c>
      <c r="K98" s="11">
        <f>ROUND(I98+H98,4)</f>
        <v/>
      </c>
    </row>
    <row r="99">
      <c r="A99" s="9" t="n">
        <v>2001</v>
      </c>
      <c r="B99" s="9" t="inlineStr">
        <is>
          <t>CHL</t>
        </is>
      </c>
      <c r="C99" s="9" t="inlineStr">
        <is>
          <t>Chile</t>
        </is>
      </c>
      <c r="D99" s="9" t="inlineStr">
        <is>
          <t>B09</t>
        </is>
      </c>
      <c r="E99" s="9" t="n">
        <v>6.4</v>
      </c>
      <c r="F99" s="9" t="n">
        <v>0.8589</v>
      </c>
      <c r="G99" s="9" t="n">
        <v>4</v>
      </c>
      <c r="H99" s="9" t="n">
        <v>0.0318</v>
      </c>
      <c r="I99" s="9" t="n">
        <v>0.9681999999999999</v>
      </c>
      <c r="J99" s="9" t="n">
        <v>0.2465</v>
      </c>
      <c r="K99" s="11">
        <f>ROUND(I99+H99,4)</f>
        <v/>
      </c>
    </row>
    <row r="100">
      <c r="A100" s="6" t="n">
        <v>2001</v>
      </c>
      <c r="B100" s="6" t="inlineStr">
        <is>
          <t>AUS</t>
        </is>
      </c>
      <c r="C100" s="6" t="inlineStr">
        <is>
          <t>Australia</t>
        </is>
      </c>
      <c r="D100" s="6" t="inlineStr">
        <is>
          <t>B05_06</t>
        </is>
      </c>
      <c r="E100" s="6" t="n">
        <v>10801.2</v>
      </c>
      <c r="F100" s="6" t="n">
        <v>0.9244</v>
      </c>
      <c r="G100" s="6" t="n">
        <v>8699.200000000001</v>
      </c>
      <c r="H100" s="6" t="n">
        <v>0.1134</v>
      </c>
      <c r="I100" s="6" t="n">
        <v>0.8866000000000001</v>
      </c>
      <c r="J100" s="6" t="n">
        <v>0.7517</v>
      </c>
      <c r="K100" s="11">
        <f>ROUND(I100+H100,4)</f>
        <v/>
      </c>
    </row>
    <row r="101">
      <c r="A101" s="9" t="n">
        <v>2001</v>
      </c>
      <c r="B101" s="9" t="inlineStr">
        <is>
          <t>AUS</t>
        </is>
      </c>
      <c r="C101" s="9" t="inlineStr">
        <is>
          <t>Australia</t>
        </is>
      </c>
      <c r="D101" s="9" t="inlineStr">
        <is>
          <t>B07_08</t>
        </is>
      </c>
      <c r="E101" s="9" t="n">
        <v>4984.6</v>
      </c>
      <c r="F101" s="9" t="n">
        <v>0.8518</v>
      </c>
      <c r="G101" s="9" t="n">
        <v>3663.5</v>
      </c>
      <c r="H101" s="9" t="n">
        <v>0.4186</v>
      </c>
      <c r="I101" s="9" t="n">
        <v>0.5814</v>
      </c>
      <c r="J101" s="9" t="n">
        <v>0.7407</v>
      </c>
      <c r="K101" s="11">
        <f>ROUND(I101+H101,4)</f>
        <v/>
      </c>
    </row>
    <row r="102">
      <c r="A102" s="6" t="n">
        <v>2001</v>
      </c>
      <c r="B102" s="6" t="inlineStr">
        <is>
          <t>AUS</t>
        </is>
      </c>
      <c r="C102" s="6" t="inlineStr">
        <is>
          <t>Australia</t>
        </is>
      </c>
      <c r="D102" s="6" t="inlineStr">
        <is>
          <t>B09</t>
        </is>
      </c>
      <c r="E102" s="6" t="n">
        <v>20.8</v>
      </c>
      <c r="F102" s="6" t="n">
        <v>0.9157999999999999</v>
      </c>
      <c r="G102" s="6" t="n">
        <v>912.2</v>
      </c>
      <c r="H102" s="6" t="n">
        <v>0.3091</v>
      </c>
      <c r="I102" s="6" t="n">
        <v>0.6909</v>
      </c>
      <c r="J102" s="6" t="n">
        <v>0.4691</v>
      </c>
      <c r="K102" s="11">
        <f>ROUND(I102+H102,4)</f>
        <v/>
      </c>
    </row>
    <row r="103">
      <c r="A103" s="9" t="n">
        <v>2001</v>
      </c>
      <c r="B103" s="9" t="inlineStr">
        <is>
          <t>FIN</t>
        </is>
      </c>
      <c r="C103" s="9" t="inlineStr">
        <is>
          <t>Finlandia</t>
        </is>
      </c>
      <c r="D103" s="9" t="inlineStr">
        <is>
          <t>B05_06</t>
        </is>
      </c>
      <c r="E103" s="9" t="n">
        <v>14.2</v>
      </c>
      <c r="F103" s="9" t="n">
        <v>0.6718</v>
      </c>
      <c r="G103" s="9" t="n">
        <v>30.9</v>
      </c>
      <c r="H103" s="9" t="n">
        <v>0.8169999999999999</v>
      </c>
      <c r="I103" s="9" t="n">
        <v>0.183</v>
      </c>
      <c r="J103" s="9" t="n">
        <v>0.4089</v>
      </c>
      <c r="K103" s="11">
        <f>ROUND(I103+H103,4)</f>
        <v/>
      </c>
    </row>
    <row r="104">
      <c r="A104" s="6" t="n">
        <v>2001</v>
      </c>
      <c r="B104" s="6" t="inlineStr">
        <is>
          <t>FIN</t>
        </is>
      </c>
      <c r="C104" s="6" t="inlineStr">
        <is>
          <t>Finlandia</t>
        </is>
      </c>
      <c r="D104" s="6" t="inlineStr">
        <is>
          <t>B07_08</t>
        </is>
      </c>
      <c r="E104" s="6" t="n">
        <v>84.59999999999999</v>
      </c>
      <c r="F104" s="6" t="n">
        <v>0.7016</v>
      </c>
      <c r="G104" s="6" t="n">
        <v>128</v>
      </c>
      <c r="H104" s="6" t="n">
        <v>0.7442</v>
      </c>
      <c r="I104" s="6" t="n">
        <v>0.2558</v>
      </c>
      <c r="J104" s="6" t="n">
        <v>0.5805</v>
      </c>
      <c r="K104" s="11">
        <f>ROUND(I104+H104,4)</f>
        <v/>
      </c>
    </row>
    <row r="105">
      <c r="A105" s="9" t="n">
        <v>2001</v>
      </c>
      <c r="B105" s="9" t="inlineStr">
        <is>
          <t>FIN</t>
        </is>
      </c>
      <c r="C105" s="9" t="inlineStr">
        <is>
          <t>Finlandia</t>
        </is>
      </c>
      <c r="D105" s="9" t="inlineStr">
        <is>
          <t>B09</t>
        </is>
      </c>
      <c r="E105" s="9" t="n">
        <v>0.1</v>
      </c>
      <c r="F105" s="9" t="n">
        <v>0.7573</v>
      </c>
      <c r="G105" s="9" t="n">
        <v>0.4</v>
      </c>
      <c r="H105" s="9" t="n">
        <v>0.8263</v>
      </c>
      <c r="I105" s="9" t="n">
        <v>0.1737</v>
      </c>
      <c r="J105" s="9" t="n">
        <v>0.3859</v>
      </c>
      <c r="K105" s="11">
        <f>ROUND(I105+H105,4)</f>
        <v/>
      </c>
    </row>
    <row r="106">
      <c r="A106" s="6" t="n">
        <v>2001</v>
      </c>
      <c r="B106" s="6" t="inlineStr">
        <is>
          <t>SWE</t>
        </is>
      </c>
      <c r="C106" s="6" t="inlineStr">
        <is>
          <t>Suecia</t>
        </is>
      </c>
      <c r="D106" s="6" t="inlineStr">
        <is>
          <t>B05_06</t>
        </is>
      </c>
      <c r="E106" s="6" t="n">
        <v>4.5</v>
      </c>
      <c r="F106" s="6" t="n">
        <v>0.5392</v>
      </c>
      <c r="G106" s="6" t="n">
        <v>6.5</v>
      </c>
      <c r="H106" s="6" t="n">
        <v>0.9065</v>
      </c>
      <c r="I106" s="6" t="n">
        <v>0.0935</v>
      </c>
      <c r="J106" s="6" t="n">
        <v>0.386</v>
      </c>
      <c r="K106" s="11">
        <f>ROUND(I106+H106,4)</f>
        <v/>
      </c>
    </row>
    <row r="107">
      <c r="A107" s="9" t="n">
        <v>2001</v>
      </c>
      <c r="B107" s="9" t="inlineStr">
        <is>
          <t>SWE</t>
        </is>
      </c>
      <c r="C107" s="9" t="inlineStr">
        <is>
          <t>Suecia</t>
        </is>
      </c>
      <c r="D107" s="9" t="inlineStr">
        <is>
          <t>B07_08</t>
        </is>
      </c>
      <c r="E107" s="9" t="n">
        <v>218.6</v>
      </c>
      <c r="F107" s="9" t="n">
        <v>0.7010999999999999</v>
      </c>
      <c r="G107" s="9" t="n">
        <v>301</v>
      </c>
      <c r="H107" s="9" t="n">
        <v>0.7292999999999999</v>
      </c>
      <c r="I107" s="9" t="n">
        <v>0.2707</v>
      </c>
      <c r="J107" s="9" t="n">
        <v>0.7212</v>
      </c>
      <c r="K107" s="11">
        <f>ROUND(I107+H107,4)</f>
        <v/>
      </c>
    </row>
    <row r="108">
      <c r="A108" s="6" t="n">
        <v>2001</v>
      </c>
      <c r="B108" s="6" t="inlineStr">
        <is>
          <t>SWE</t>
        </is>
      </c>
      <c r="C108" s="6" t="inlineStr">
        <is>
          <t>Suecia</t>
        </is>
      </c>
      <c r="D108" s="6" t="inlineStr">
        <is>
          <t>B09</t>
        </is>
      </c>
      <c r="E108" s="6" t="n">
        <v>53.9</v>
      </c>
      <c r="F108" s="6" t="n">
        <v>0.612</v>
      </c>
      <c r="G108" s="6" t="n">
        <v>6.4</v>
      </c>
      <c r="H108" s="6" t="n">
        <v>0.012</v>
      </c>
      <c r="I108" s="6" t="n">
        <v>0.988</v>
      </c>
      <c r="J108" s="6" t="n">
        <v>0.9782999999999999</v>
      </c>
      <c r="K108" s="11">
        <f>ROUND(I108+H108,4)</f>
        <v/>
      </c>
    </row>
    <row r="109">
      <c r="A109" s="9" t="n">
        <v>2002</v>
      </c>
      <c r="B109" s="9" t="inlineStr">
        <is>
          <t>MEX</t>
        </is>
      </c>
      <c r="C109" s="9" t="inlineStr">
        <is>
          <t>Mexico</t>
        </is>
      </c>
      <c r="D109" s="9" t="inlineStr">
        <is>
          <t>B05_06</t>
        </is>
      </c>
      <c r="E109" s="9" t="n">
        <v>12631.5</v>
      </c>
      <c r="F109" s="9" t="n">
        <v>0.9811</v>
      </c>
      <c r="G109" s="9" t="n">
        <v>17154.2</v>
      </c>
      <c r="H109" s="9" t="n">
        <v>0.3115</v>
      </c>
      <c r="I109" s="9" t="n">
        <v>0.6885</v>
      </c>
      <c r="J109" s="9" t="n">
        <v>0.3826</v>
      </c>
      <c r="K109" s="11">
        <f>ROUND(I109+H109,4)</f>
        <v/>
      </c>
    </row>
    <row r="110">
      <c r="A110" s="6" t="n">
        <v>2002</v>
      </c>
      <c r="B110" s="6" t="inlineStr">
        <is>
          <t>MEX</t>
        </is>
      </c>
      <c r="C110" s="6" t="inlineStr">
        <is>
          <t>Mexico</t>
        </is>
      </c>
      <c r="D110" s="6" t="inlineStr">
        <is>
          <t>B07_08</t>
        </is>
      </c>
      <c r="E110" s="6" t="n">
        <v>388.2</v>
      </c>
      <c r="F110" s="6" t="n">
        <v>0.8889</v>
      </c>
      <c r="G110" s="6" t="n">
        <v>604.9</v>
      </c>
      <c r="H110" s="6" t="n">
        <v>0.5778</v>
      </c>
      <c r="I110" s="6" t="n">
        <v>0.4222</v>
      </c>
      <c r="J110" s="6" t="n">
        <v>0.1553</v>
      </c>
      <c r="K110" s="11">
        <f>ROUND(I110+H110,4)</f>
        <v/>
      </c>
    </row>
    <row r="111">
      <c r="A111" s="9" t="n">
        <v>2002</v>
      </c>
      <c r="B111" s="9" t="inlineStr">
        <is>
          <t>MEX</t>
        </is>
      </c>
      <c r="C111" s="9" t="inlineStr">
        <is>
          <t>Mexico</t>
        </is>
      </c>
      <c r="D111" s="9" t="inlineStr">
        <is>
          <t>B09</t>
        </is>
      </c>
      <c r="E111" s="9" t="n">
        <v>4.2</v>
      </c>
      <c r="F111" s="9" t="n">
        <v>0.8931</v>
      </c>
      <c r="G111" s="9" t="n">
        <v>179.4</v>
      </c>
      <c r="H111" s="9" t="n">
        <v>0.314</v>
      </c>
      <c r="I111" s="9" t="n">
        <v>0.6860000000000001</v>
      </c>
      <c r="J111" s="9" t="n">
        <v>0.06279999999999999</v>
      </c>
      <c r="K111" s="11">
        <f>ROUND(I111+H111,4)</f>
        <v/>
      </c>
    </row>
    <row r="112">
      <c r="A112" s="6" t="n">
        <v>2002</v>
      </c>
      <c r="B112" s="6" t="inlineStr">
        <is>
          <t>CHL</t>
        </is>
      </c>
      <c r="C112" s="6" t="inlineStr">
        <is>
          <t>Chile</t>
        </is>
      </c>
      <c r="D112" s="6" t="inlineStr">
        <is>
          <t>B05_06</t>
        </is>
      </c>
      <c r="E112" s="6" t="n">
        <v>0.9</v>
      </c>
      <c r="F112" s="6" t="n">
        <v>0.8098</v>
      </c>
      <c r="G112" s="6" t="n">
        <v>13.8</v>
      </c>
      <c r="H112" s="6" t="n">
        <v>0.6868</v>
      </c>
      <c r="I112" s="6" t="n">
        <v>0.3132</v>
      </c>
      <c r="J112" s="6" t="n">
        <v>0.2979</v>
      </c>
      <c r="K112" s="11">
        <f>ROUND(I112+H112,4)</f>
        <v/>
      </c>
    </row>
    <row r="113">
      <c r="A113" s="9" t="n">
        <v>2002</v>
      </c>
      <c r="B113" s="9" t="inlineStr">
        <is>
          <t>CHL</t>
        </is>
      </c>
      <c r="C113" s="9" t="inlineStr">
        <is>
          <t>Chile</t>
        </is>
      </c>
      <c r="D113" s="9" t="inlineStr">
        <is>
          <t>B07_08</t>
        </is>
      </c>
      <c r="E113" s="9" t="n">
        <v>8100.6</v>
      </c>
      <c r="F113" s="9" t="n">
        <v>0.8262</v>
      </c>
      <c r="G113" s="9" t="n">
        <v>4318.5</v>
      </c>
      <c r="H113" s="9" t="n">
        <v>0.0183</v>
      </c>
      <c r="I113" s="9" t="n">
        <v>0.9817</v>
      </c>
      <c r="J113" s="9" t="n">
        <v>0.9219000000000001</v>
      </c>
      <c r="K113" s="11">
        <f>ROUND(I113+H113,4)</f>
        <v/>
      </c>
    </row>
    <row r="114">
      <c r="A114" s="6" t="n">
        <v>2002</v>
      </c>
      <c r="B114" s="6" t="inlineStr">
        <is>
          <t>CHL</t>
        </is>
      </c>
      <c r="C114" s="6" t="inlineStr">
        <is>
          <t>Chile</t>
        </is>
      </c>
      <c r="D114" s="6" t="inlineStr">
        <is>
          <t>B09</t>
        </is>
      </c>
      <c r="E114" s="6" t="n">
        <v>7.7</v>
      </c>
      <c r="F114" s="6" t="n">
        <v>0.8639</v>
      </c>
      <c r="G114" s="6" t="n">
        <v>4.9</v>
      </c>
      <c r="H114" s="6" t="n">
        <v>0.0226</v>
      </c>
      <c r="I114" s="6" t="n">
        <v>0.9774</v>
      </c>
      <c r="J114" s="6" t="n">
        <v>0.2959</v>
      </c>
      <c r="K114" s="11">
        <f>ROUND(I114+H114,4)</f>
        <v/>
      </c>
    </row>
    <row r="115">
      <c r="A115" s="9" t="n">
        <v>2002</v>
      </c>
      <c r="B115" s="9" t="inlineStr">
        <is>
          <t>AUS</t>
        </is>
      </c>
      <c r="C115" s="9" t="inlineStr">
        <is>
          <t>Australia</t>
        </is>
      </c>
      <c r="D115" s="9" t="inlineStr">
        <is>
          <t>B05_06</t>
        </is>
      </c>
      <c r="E115" s="9" t="n">
        <v>11142.2</v>
      </c>
      <c r="F115" s="9" t="n">
        <v>0.9141</v>
      </c>
      <c r="G115" s="9" t="n">
        <v>8356.799999999999</v>
      </c>
      <c r="H115" s="9" t="n">
        <v>0.103</v>
      </c>
      <c r="I115" s="9" t="n">
        <v>0.897</v>
      </c>
      <c r="J115" s="9" t="n">
        <v>0.7153</v>
      </c>
      <c r="K115" s="11">
        <f>ROUND(I115+H115,4)</f>
        <v/>
      </c>
    </row>
    <row r="116">
      <c r="A116" s="6" t="n">
        <v>2002</v>
      </c>
      <c r="B116" s="6" t="inlineStr">
        <is>
          <t>AUS</t>
        </is>
      </c>
      <c r="C116" s="6" t="inlineStr">
        <is>
          <t>Australia</t>
        </is>
      </c>
      <c r="D116" s="6" t="inlineStr">
        <is>
          <t>B07_08</t>
        </is>
      </c>
      <c r="E116" s="6" t="n">
        <v>4819.3</v>
      </c>
      <c r="F116" s="6" t="n">
        <v>0.8591</v>
      </c>
      <c r="G116" s="6" t="n">
        <v>4045.1</v>
      </c>
      <c r="H116" s="6" t="n">
        <v>0.4411</v>
      </c>
      <c r="I116" s="6" t="n">
        <v>0.5589</v>
      </c>
      <c r="J116" s="6" t="n">
        <v>0.6999</v>
      </c>
      <c r="K116" s="11">
        <f>ROUND(I116+H116,4)</f>
        <v/>
      </c>
    </row>
    <row r="117">
      <c r="A117" s="9" t="n">
        <v>2002</v>
      </c>
      <c r="B117" s="9" t="inlineStr">
        <is>
          <t>AUS</t>
        </is>
      </c>
      <c r="C117" s="9" t="inlineStr">
        <is>
          <t>Australia</t>
        </is>
      </c>
      <c r="D117" s="9" t="inlineStr">
        <is>
          <t>B09</t>
        </is>
      </c>
      <c r="E117" s="9" t="n">
        <v>20.2</v>
      </c>
      <c r="F117" s="9" t="n">
        <v>0.9146</v>
      </c>
      <c r="G117" s="9" t="n">
        <v>931.1</v>
      </c>
      <c r="H117" s="9" t="n">
        <v>0.2939</v>
      </c>
      <c r="I117" s="9" t="n">
        <v>0.7060999999999999</v>
      </c>
      <c r="J117" s="9" t="n">
        <v>0.4501</v>
      </c>
      <c r="K117" s="11">
        <f>ROUND(I117+H117,4)</f>
        <v/>
      </c>
    </row>
    <row r="118">
      <c r="A118" s="6" t="n">
        <v>2002</v>
      </c>
      <c r="B118" s="6" t="inlineStr">
        <is>
          <t>FIN</t>
        </is>
      </c>
      <c r="C118" s="6" t="inlineStr">
        <is>
          <t>Finlandia</t>
        </is>
      </c>
      <c r="D118" s="6" t="inlineStr">
        <is>
          <t>B05_06</t>
        </is>
      </c>
      <c r="E118" s="6" t="n">
        <v>18.6</v>
      </c>
      <c r="F118" s="6" t="n">
        <v>0.6742</v>
      </c>
      <c r="G118" s="6" t="n">
        <v>38.9</v>
      </c>
      <c r="H118" s="6" t="n">
        <v>0.8112</v>
      </c>
      <c r="I118" s="6" t="n">
        <v>0.1888</v>
      </c>
      <c r="J118" s="6" t="n">
        <v>0.4134</v>
      </c>
      <c r="K118" s="11">
        <f>ROUND(I118+H118,4)</f>
        <v/>
      </c>
    </row>
    <row r="119">
      <c r="A119" s="9" t="n">
        <v>2002</v>
      </c>
      <c r="B119" s="9" t="inlineStr">
        <is>
          <t>FIN</t>
        </is>
      </c>
      <c r="C119" s="9" t="inlineStr">
        <is>
          <t>Finlandia</t>
        </is>
      </c>
      <c r="D119" s="9" t="inlineStr">
        <is>
          <t>B07_08</t>
        </is>
      </c>
      <c r="E119" s="9" t="n">
        <v>94.7</v>
      </c>
      <c r="F119" s="9" t="n">
        <v>0.6943</v>
      </c>
      <c r="G119" s="9" t="n">
        <v>138.5</v>
      </c>
      <c r="H119" s="9" t="n">
        <v>0.745</v>
      </c>
      <c r="I119" s="9" t="n">
        <v>0.255</v>
      </c>
      <c r="J119" s="9" t="n">
        <v>0.5828</v>
      </c>
      <c r="K119" s="11">
        <f>ROUND(I119+H119,4)</f>
        <v/>
      </c>
    </row>
    <row r="120">
      <c r="A120" s="6" t="n">
        <v>2002</v>
      </c>
      <c r="B120" s="6" t="inlineStr">
        <is>
          <t>FIN</t>
        </is>
      </c>
      <c r="C120" s="6" t="inlineStr">
        <is>
          <t>Finlandia</t>
        </is>
      </c>
      <c r="D120" s="6" t="inlineStr">
        <is>
          <t>B09</t>
        </is>
      </c>
      <c r="E120" s="6" t="n">
        <v>0.8</v>
      </c>
      <c r="F120" s="6" t="n">
        <v>0.7608</v>
      </c>
      <c r="G120" s="6" t="n">
        <v>0.6</v>
      </c>
      <c r="H120" s="6" t="n">
        <v>0.3839</v>
      </c>
      <c r="I120" s="6" t="n">
        <v>0.6161</v>
      </c>
      <c r="J120" s="6" t="n">
        <v>0.5745</v>
      </c>
      <c r="K120" s="11">
        <f>ROUND(I120+H120,4)</f>
        <v/>
      </c>
    </row>
    <row r="121">
      <c r="A121" s="9" t="n">
        <v>2002</v>
      </c>
      <c r="B121" s="9" t="inlineStr">
        <is>
          <t>SWE</t>
        </is>
      </c>
      <c r="C121" s="9" t="inlineStr">
        <is>
          <t>Suecia</t>
        </is>
      </c>
      <c r="D121" s="9" t="inlineStr">
        <is>
          <t>B05_06</t>
        </is>
      </c>
      <c r="E121" s="9" t="n">
        <v>0.6</v>
      </c>
      <c r="F121" s="9" t="n">
        <v>0.5148</v>
      </c>
      <c r="G121" s="9" t="n">
        <v>6.6</v>
      </c>
      <c r="H121" s="9" t="n">
        <v>0.9839</v>
      </c>
      <c r="I121" s="9" t="n">
        <v>0.0161</v>
      </c>
      <c r="J121" s="9" t="n">
        <v>0.3586</v>
      </c>
      <c r="K121" s="11">
        <f>ROUND(I121+H121,4)</f>
        <v/>
      </c>
    </row>
    <row r="122">
      <c r="A122" s="6" t="n">
        <v>2002</v>
      </c>
      <c r="B122" s="6" t="inlineStr">
        <is>
          <t>SWE</t>
        </is>
      </c>
      <c r="C122" s="6" t="inlineStr">
        <is>
          <t>Suecia</t>
        </is>
      </c>
      <c r="D122" s="6" t="inlineStr">
        <is>
          <t>B07_08</t>
        </is>
      </c>
      <c r="E122" s="6" t="n">
        <v>246.2</v>
      </c>
      <c r="F122" s="6" t="n">
        <v>0.6993</v>
      </c>
      <c r="G122" s="6" t="n">
        <v>327.2</v>
      </c>
      <c r="H122" s="6" t="n">
        <v>0.7259</v>
      </c>
      <c r="I122" s="6" t="n">
        <v>0.2741</v>
      </c>
      <c r="J122" s="6" t="n">
        <v>0.7215</v>
      </c>
      <c r="K122" s="11">
        <f>ROUND(I122+H122,4)</f>
        <v/>
      </c>
    </row>
    <row r="123">
      <c r="A123" s="9" t="n">
        <v>2002</v>
      </c>
      <c r="B123" s="9" t="inlineStr">
        <is>
          <t>SWE</t>
        </is>
      </c>
      <c r="C123" s="9" t="inlineStr">
        <is>
          <t>Suecia</t>
        </is>
      </c>
      <c r="D123" s="9" t="inlineStr">
        <is>
          <t>B09</t>
        </is>
      </c>
      <c r="E123" s="9" t="n">
        <v>60.9</v>
      </c>
      <c r="F123" s="9" t="n">
        <v>0.6153999999999999</v>
      </c>
      <c r="G123" s="9" t="n">
        <v>6.9</v>
      </c>
      <c r="H123" s="9" t="n">
        <v>0.0124</v>
      </c>
      <c r="I123" s="9" t="n">
        <v>0.9876</v>
      </c>
      <c r="J123" s="9" t="n">
        <v>0.9765</v>
      </c>
      <c r="K123" s="11">
        <f>ROUND(I123+H123,4)</f>
        <v/>
      </c>
    </row>
    <row r="124">
      <c r="A124" s="6" t="n">
        <v>2003</v>
      </c>
      <c r="B124" s="6" t="inlineStr">
        <is>
          <t>MEX</t>
        </is>
      </c>
      <c r="C124" s="6" t="inlineStr">
        <is>
          <t>Mexico</t>
        </is>
      </c>
      <c r="D124" s="6" t="inlineStr">
        <is>
          <t>B05_06</t>
        </is>
      </c>
      <c r="E124" s="6" t="n">
        <v>16062.7</v>
      </c>
      <c r="F124" s="6" t="n">
        <v>0.9687</v>
      </c>
      <c r="G124" s="6" t="n">
        <v>17462.3</v>
      </c>
      <c r="H124" s="6" t="n">
        <v>0.1744</v>
      </c>
      <c r="I124" s="6" t="n">
        <v>0.8256</v>
      </c>
      <c r="J124" s="6" t="n">
        <v>0.552</v>
      </c>
      <c r="K124" s="11">
        <f>ROUND(I124+H124,4)</f>
        <v/>
      </c>
    </row>
    <row r="125">
      <c r="A125" s="9" t="n">
        <v>2003</v>
      </c>
      <c r="B125" s="9" t="inlineStr">
        <is>
          <t>MEX</t>
        </is>
      </c>
      <c r="C125" s="9" t="inlineStr">
        <is>
          <t>Mexico</t>
        </is>
      </c>
      <c r="D125" s="9" t="inlineStr">
        <is>
          <t>B07_08</t>
        </is>
      </c>
      <c r="E125" s="9" t="n">
        <v>399.9</v>
      </c>
      <c r="F125" s="9" t="n">
        <v>0.8813</v>
      </c>
      <c r="G125" s="9" t="n">
        <v>679.4</v>
      </c>
      <c r="H125" s="9" t="n">
        <v>0.5863</v>
      </c>
      <c r="I125" s="9" t="n">
        <v>0.4137</v>
      </c>
      <c r="J125" s="9" t="n">
        <v>0.1797</v>
      </c>
      <c r="K125" s="11">
        <f>ROUND(I125+H125,4)</f>
        <v/>
      </c>
    </row>
    <row r="126">
      <c r="A126" s="6" t="n">
        <v>2003</v>
      </c>
      <c r="B126" s="6" t="inlineStr">
        <is>
          <t>MEX</t>
        </is>
      </c>
      <c r="C126" s="6" t="inlineStr">
        <is>
          <t>Mexico</t>
        </is>
      </c>
      <c r="D126" s="6" t="inlineStr">
        <is>
          <t>B09</t>
        </is>
      </c>
      <c r="E126" s="6" t="n">
        <v>3.1</v>
      </c>
      <c r="F126" s="6" t="n">
        <v>0.8822</v>
      </c>
      <c r="G126" s="6" t="n">
        <v>260.9</v>
      </c>
      <c r="H126" s="6" t="n">
        <v>0.179</v>
      </c>
      <c r="I126" s="6" t="n">
        <v>0.821</v>
      </c>
      <c r="J126" s="6" t="n">
        <v>0.0871</v>
      </c>
      <c r="K126" s="11">
        <f>ROUND(I126+H126,4)</f>
        <v/>
      </c>
    </row>
    <row r="127">
      <c r="A127" s="9" t="n">
        <v>2003</v>
      </c>
      <c r="B127" s="9" t="inlineStr">
        <is>
          <t>CHL</t>
        </is>
      </c>
      <c r="C127" s="9" t="inlineStr">
        <is>
          <t>Chile</t>
        </is>
      </c>
      <c r="D127" s="9" t="inlineStr">
        <is>
          <t>B05_06</t>
        </is>
      </c>
      <c r="E127" s="9" t="n">
        <v>0.8</v>
      </c>
      <c r="F127" s="9" t="n">
        <v>0.8293</v>
      </c>
      <c r="G127" s="9" t="n">
        <v>20</v>
      </c>
      <c r="H127" s="9" t="n">
        <v>0.7305</v>
      </c>
      <c r="I127" s="9" t="n">
        <v>0.2695</v>
      </c>
      <c r="J127" s="9" t="n">
        <v>0.3233</v>
      </c>
      <c r="K127" s="11">
        <f>ROUND(I127+H127,4)</f>
        <v/>
      </c>
    </row>
    <row r="128">
      <c r="A128" s="6" t="n">
        <v>2003</v>
      </c>
      <c r="B128" s="6" t="inlineStr">
        <is>
          <t>CHL</t>
        </is>
      </c>
      <c r="C128" s="6" t="inlineStr">
        <is>
          <t>Chile</t>
        </is>
      </c>
      <c r="D128" s="6" t="inlineStr">
        <is>
          <t>B07_08</t>
        </is>
      </c>
      <c r="E128" s="6" t="n">
        <v>9659.700000000001</v>
      </c>
      <c r="F128" s="6" t="n">
        <v>0.8439</v>
      </c>
      <c r="G128" s="6" t="n">
        <v>5639.3</v>
      </c>
      <c r="H128" s="6" t="n">
        <v>0.0256</v>
      </c>
      <c r="I128" s="6" t="n">
        <v>0.9744</v>
      </c>
      <c r="J128" s="6" t="n">
        <v>0.9061</v>
      </c>
      <c r="K128" s="11">
        <f>ROUND(I128+H128,4)</f>
        <v/>
      </c>
    </row>
    <row r="129">
      <c r="A129" s="9" t="n">
        <v>2003</v>
      </c>
      <c r="B129" s="9" t="inlineStr">
        <is>
          <t>CHL</t>
        </is>
      </c>
      <c r="C129" s="9" t="inlineStr">
        <is>
          <t>Chile</t>
        </is>
      </c>
      <c r="D129" s="9" t="inlineStr">
        <is>
          <t>B09</t>
        </is>
      </c>
      <c r="E129" s="9" t="n">
        <v>11.2</v>
      </c>
      <c r="F129" s="9" t="n">
        <v>0.8632</v>
      </c>
      <c r="G129" s="9" t="n">
        <v>7.1</v>
      </c>
      <c r="H129" s="9" t="n">
        <v>0.0348</v>
      </c>
      <c r="I129" s="9" t="n">
        <v>0.9651999999999999</v>
      </c>
      <c r="J129" s="9" t="n">
        <v>0.3226</v>
      </c>
      <c r="K129" s="11">
        <f>ROUND(I129+H129,4)</f>
        <v/>
      </c>
    </row>
    <row r="130">
      <c r="A130" s="6" t="n">
        <v>2003</v>
      </c>
      <c r="B130" s="6" t="inlineStr">
        <is>
          <t>AUS</t>
        </is>
      </c>
      <c r="C130" s="6" t="inlineStr">
        <is>
          <t>Australia</t>
        </is>
      </c>
      <c r="D130" s="6" t="inlineStr">
        <is>
          <t>B05_06</t>
        </is>
      </c>
      <c r="E130" s="6" t="n">
        <v>12329.9</v>
      </c>
      <c r="F130" s="6" t="n">
        <v>0.9039</v>
      </c>
      <c r="G130" s="6" t="n">
        <v>8651.9</v>
      </c>
      <c r="H130" s="6" t="n">
        <v>0.0969</v>
      </c>
      <c r="I130" s="6" t="n">
        <v>0.9031</v>
      </c>
      <c r="J130" s="6" t="n">
        <v>0.7119</v>
      </c>
      <c r="K130" s="11">
        <f>ROUND(I130+H130,4)</f>
        <v/>
      </c>
    </row>
    <row r="131">
      <c r="A131" s="9" t="n">
        <v>2003</v>
      </c>
      <c r="B131" s="9" t="inlineStr">
        <is>
          <t>AUS</t>
        </is>
      </c>
      <c r="C131" s="9" t="inlineStr">
        <is>
          <t>Australia</t>
        </is>
      </c>
      <c r="D131" s="9" t="inlineStr">
        <is>
          <t>B07_08</t>
        </is>
      </c>
      <c r="E131" s="9" t="n">
        <v>6458.6</v>
      </c>
      <c r="F131" s="9" t="n">
        <v>0.8584000000000001</v>
      </c>
      <c r="G131" s="9" t="n">
        <v>4807.2</v>
      </c>
      <c r="H131" s="9" t="n">
        <v>0.4071</v>
      </c>
      <c r="I131" s="9" t="n">
        <v>0.5929</v>
      </c>
      <c r="J131" s="9" t="n">
        <v>0.6854</v>
      </c>
      <c r="K131" s="11">
        <f>ROUND(I131+H131,4)</f>
        <v/>
      </c>
    </row>
    <row r="132">
      <c r="A132" s="6" t="n">
        <v>2003</v>
      </c>
      <c r="B132" s="6" t="inlineStr">
        <is>
          <t>AUS</t>
        </is>
      </c>
      <c r="C132" s="6" t="inlineStr">
        <is>
          <t>Australia</t>
        </is>
      </c>
      <c r="D132" s="6" t="inlineStr">
        <is>
          <t>B09</t>
        </is>
      </c>
      <c r="E132" s="6" t="n">
        <v>21.7</v>
      </c>
      <c r="F132" s="6" t="n">
        <v>0.9214</v>
      </c>
      <c r="G132" s="6" t="n">
        <v>1151.8</v>
      </c>
      <c r="H132" s="6" t="n">
        <v>0.2867</v>
      </c>
      <c r="I132" s="6" t="n">
        <v>0.7133</v>
      </c>
      <c r="J132" s="6" t="n">
        <v>0.4477</v>
      </c>
      <c r="K132" s="11">
        <f>ROUND(I132+H132,4)</f>
        <v/>
      </c>
    </row>
    <row r="133">
      <c r="A133" s="9" t="n">
        <v>2003</v>
      </c>
      <c r="B133" s="9" t="inlineStr">
        <is>
          <t>FIN</t>
        </is>
      </c>
      <c r="C133" s="9" t="inlineStr">
        <is>
          <t>Finlandia</t>
        </is>
      </c>
      <c r="D133" s="9" t="inlineStr">
        <is>
          <t>B05_06</t>
        </is>
      </c>
      <c r="E133" s="9" t="n">
        <v>18.6</v>
      </c>
      <c r="F133" s="9" t="n">
        <v>0.6654</v>
      </c>
      <c r="G133" s="9" t="n">
        <v>47</v>
      </c>
      <c r="H133" s="9" t="n">
        <v>0.8413</v>
      </c>
      <c r="I133" s="9" t="n">
        <v>0.1587</v>
      </c>
      <c r="J133" s="9" t="n">
        <v>0.3922</v>
      </c>
      <c r="K133" s="11">
        <f>ROUND(I133+H133,4)</f>
        <v/>
      </c>
    </row>
    <row r="134">
      <c r="A134" s="6" t="n">
        <v>2003</v>
      </c>
      <c r="B134" s="6" t="inlineStr">
        <is>
          <t>FIN</t>
        </is>
      </c>
      <c r="C134" s="6" t="inlineStr">
        <is>
          <t>Finlandia</t>
        </is>
      </c>
      <c r="D134" s="6" t="inlineStr">
        <is>
          <t>B07_08</t>
        </is>
      </c>
      <c r="E134" s="6" t="n">
        <v>106.5</v>
      </c>
      <c r="F134" s="6" t="n">
        <v>0.6915</v>
      </c>
      <c r="G134" s="6" t="n">
        <v>173.9</v>
      </c>
      <c r="H134" s="6" t="n">
        <v>0.7643</v>
      </c>
      <c r="I134" s="6" t="n">
        <v>0.2357</v>
      </c>
      <c r="J134" s="6" t="n">
        <v>0.5684</v>
      </c>
      <c r="K134" s="11">
        <f>ROUND(I134+H134,4)</f>
        <v/>
      </c>
    </row>
    <row r="135">
      <c r="A135" s="9" t="n">
        <v>2003</v>
      </c>
      <c r="B135" s="9" t="inlineStr">
        <is>
          <t>FIN</t>
        </is>
      </c>
      <c r="C135" s="9" t="inlineStr">
        <is>
          <t>Finlandia</t>
        </is>
      </c>
      <c r="D135" s="9" t="inlineStr">
        <is>
          <t>B09</t>
        </is>
      </c>
      <c r="E135" s="9" t="n">
        <v>0.5</v>
      </c>
      <c r="F135" s="9" t="n">
        <v>0.7685</v>
      </c>
      <c r="G135" s="9" t="n">
        <v>0.6</v>
      </c>
      <c r="H135" s="9" t="n">
        <v>0.5841</v>
      </c>
      <c r="I135" s="9" t="n">
        <v>0.4159</v>
      </c>
      <c r="J135" s="9" t="n">
        <v>0.4426</v>
      </c>
      <c r="K135" s="11">
        <f>ROUND(I135+H135,4)</f>
        <v/>
      </c>
    </row>
    <row r="136">
      <c r="A136" s="6" t="n">
        <v>2003</v>
      </c>
      <c r="B136" s="6" t="inlineStr">
        <is>
          <t>SWE</t>
        </is>
      </c>
      <c r="C136" s="6" t="inlineStr">
        <is>
          <t>Suecia</t>
        </is>
      </c>
      <c r="D136" s="6" t="inlineStr">
        <is>
          <t>B05_06</t>
        </is>
      </c>
      <c r="E136" s="6" t="n">
        <v>7.1</v>
      </c>
      <c r="F136" s="6" t="n">
        <v>0.5215</v>
      </c>
      <c r="G136" s="6" t="n">
        <v>9.6</v>
      </c>
      <c r="H136" s="6" t="n">
        <v>0.8933</v>
      </c>
      <c r="I136" s="6" t="n">
        <v>0.1067</v>
      </c>
      <c r="J136" s="6" t="n">
        <v>0.3677</v>
      </c>
      <c r="K136" s="11">
        <f>ROUND(I136+H136,4)</f>
        <v/>
      </c>
    </row>
    <row r="137">
      <c r="A137" s="9" t="n">
        <v>2003</v>
      </c>
      <c r="B137" s="9" t="inlineStr">
        <is>
          <t>SWE</t>
        </is>
      </c>
      <c r="C137" s="9" t="inlineStr">
        <is>
          <t>Suecia</t>
        </is>
      </c>
      <c r="D137" s="9" t="inlineStr">
        <is>
          <t>B07_08</t>
        </is>
      </c>
      <c r="E137" s="9" t="n">
        <v>323.8</v>
      </c>
      <c r="F137" s="9" t="n">
        <v>0.7010999999999999</v>
      </c>
      <c r="G137" s="9" t="n">
        <v>455.1</v>
      </c>
      <c r="H137" s="9" t="n">
        <v>0.7346</v>
      </c>
      <c r="I137" s="9" t="n">
        <v>0.2654</v>
      </c>
      <c r="J137" s="9" t="n">
        <v>0.7178</v>
      </c>
      <c r="K137" s="11">
        <f>ROUND(I137+H137,4)</f>
        <v/>
      </c>
    </row>
    <row r="138">
      <c r="A138" s="6" t="n">
        <v>2003</v>
      </c>
      <c r="B138" s="6" t="inlineStr">
        <is>
          <t>SWE</t>
        </is>
      </c>
      <c r="C138" s="6" t="inlineStr">
        <is>
          <t>Suecia</t>
        </is>
      </c>
      <c r="D138" s="6" t="inlineStr">
        <is>
          <t>B09</t>
        </is>
      </c>
      <c r="E138" s="6" t="n">
        <v>78.8</v>
      </c>
      <c r="F138" s="6" t="n">
        <v>0.6247</v>
      </c>
      <c r="G138" s="6" t="n">
        <v>11.4</v>
      </c>
      <c r="H138" s="6" t="n">
        <v>0.0104</v>
      </c>
      <c r="I138" s="6" t="n">
        <v>0.9896</v>
      </c>
      <c r="J138" s="6" t="n">
        <v>0.98</v>
      </c>
      <c r="K138" s="11">
        <f>ROUND(I138+H138,4)</f>
        <v/>
      </c>
    </row>
    <row r="139">
      <c r="A139" s="9" t="n">
        <v>2004</v>
      </c>
      <c r="B139" s="9" t="inlineStr">
        <is>
          <t>MEX</t>
        </is>
      </c>
      <c r="C139" s="9" t="inlineStr">
        <is>
          <t>Mexico</t>
        </is>
      </c>
      <c r="D139" s="9" t="inlineStr">
        <is>
          <t>B05_06</t>
        </is>
      </c>
      <c r="E139" s="9" t="n">
        <v>20462.9</v>
      </c>
      <c r="F139" s="9" t="n">
        <v>0.9661999999999999</v>
      </c>
      <c r="G139" s="9" t="n">
        <v>22865.7</v>
      </c>
      <c r="H139" s="9" t="n">
        <v>0.1988</v>
      </c>
      <c r="I139" s="9" t="n">
        <v>0.8012</v>
      </c>
      <c r="J139" s="9" t="n">
        <v>0.5246</v>
      </c>
      <c r="K139" s="11">
        <f>ROUND(I139+H139,4)</f>
        <v/>
      </c>
    </row>
    <row r="140">
      <c r="A140" s="6" t="n">
        <v>2004</v>
      </c>
      <c r="B140" s="6" t="inlineStr">
        <is>
          <t>MEX</t>
        </is>
      </c>
      <c r="C140" s="6" t="inlineStr">
        <is>
          <t>Mexico</t>
        </is>
      </c>
      <c r="D140" s="6" t="inlineStr">
        <is>
          <t>B07_08</t>
        </is>
      </c>
      <c r="E140" s="6" t="n">
        <v>910.4</v>
      </c>
      <c r="F140" s="6" t="n">
        <v>0.8869</v>
      </c>
      <c r="G140" s="6" t="n">
        <v>1213.5</v>
      </c>
      <c r="H140" s="6" t="n">
        <v>0.5003</v>
      </c>
      <c r="I140" s="6" t="n">
        <v>0.4997</v>
      </c>
      <c r="J140" s="6" t="n">
        <v>0.2611</v>
      </c>
      <c r="K140" s="11">
        <f>ROUND(I140+H140,4)</f>
        <v/>
      </c>
    </row>
    <row r="141">
      <c r="A141" s="9" t="n">
        <v>2004</v>
      </c>
      <c r="B141" s="9" t="inlineStr">
        <is>
          <t>MEX</t>
        </is>
      </c>
      <c r="C141" s="9" t="inlineStr">
        <is>
          <t>Mexico</t>
        </is>
      </c>
      <c r="D141" s="9" t="inlineStr">
        <is>
          <t>B09</t>
        </is>
      </c>
      <c r="E141" s="9" t="n">
        <v>2.6</v>
      </c>
      <c r="F141" s="9" t="n">
        <v>0.8777</v>
      </c>
      <c r="G141" s="9" t="n">
        <v>288.2</v>
      </c>
      <c r="H141" s="9" t="n">
        <v>0.2018</v>
      </c>
      <c r="I141" s="9" t="n">
        <v>0.7982</v>
      </c>
      <c r="J141" s="9" t="n">
        <v>0.0839</v>
      </c>
      <c r="K141" s="11">
        <f>ROUND(I141+H141,4)</f>
        <v/>
      </c>
    </row>
    <row r="142">
      <c r="A142" s="6" t="n">
        <v>2004</v>
      </c>
      <c r="B142" s="6" t="inlineStr">
        <is>
          <t>CHL</t>
        </is>
      </c>
      <c r="C142" s="6" t="inlineStr">
        <is>
          <t>Chile</t>
        </is>
      </c>
      <c r="D142" s="6" t="inlineStr">
        <is>
          <t>B05_06</t>
        </is>
      </c>
      <c r="E142" s="6" t="n">
        <v>1</v>
      </c>
      <c r="F142" s="6" t="n">
        <v>0.8754999999999999</v>
      </c>
      <c r="G142" s="6" t="n">
        <v>42.8</v>
      </c>
      <c r="H142" s="6" t="n">
        <v>0.7618</v>
      </c>
      <c r="I142" s="6" t="n">
        <v>0.2382</v>
      </c>
      <c r="J142" s="6" t="n">
        <v>0.3466</v>
      </c>
      <c r="K142" s="11">
        <f>ROUND(I142+H142,4)</f>
        <v/>
      </c>
    </row>
    <row r="143">
      <c r="A143" s="9" t="n">
        <v>2004</v>
      </c>
      <c r="B143" s="9" t="inlineStr">
        <is>
          <t>CHL</t>
        </is>
      </c>
      <c r="C143" s="9" t="inlineStr">
        <is>
          <t>Chile</t>
        </is>
      </c>
      <c r="D143" s="9" t="inlineStr">
        <is>
          <t>B07_08</t>
        </is>
      </c>
      <c r="E143" s="9" t="n">
        <v>15567.6</v>
      </c>
      <c r="F143" s="9" t="n">
        <v>0.8831</v>
      </c>
      <c r="G143" s="9" t="n">
        <v>11041.4</v>
      </c>
      <c r="H143" s="9" t="n">
        <v>0.0345</v>
      </c>
      <c r="I143" s="9" t="n">
        <v>0.9655</v>
      </c>
      <c r="J143" s="9" t="n">
        <v>0.8867</v>
      </c>
      <c r="K143" s="11">
        <f>ROUND(I143+H143,4)</f>
        <v/>
      </c>
    </row>
    <row r="144">
      <c r="A144" s="6" t="n">
        <v>2004</v>
      </c>
      <c r="B144" s="6" t="inlineStr">
        <is>
          <t>CHL</t>
        </is>
      </c>
      <c r="C144" s="6" t="inlineStr">
        <is>
          <t>Chile</t>
        </is>
      </c>
      <c r="D144" s="6" t="inlineStr">
        <is>
          <t>B09</t>
        </is>
      </c>
      <c r="E144" s="6" t="n">
        <v>21.4</v>
      </c>
      <c r="F144" s="6" t="n">
        <v>0.8991</v>
      </c>
      <c r="G144" s="6" t="n">
        <v>15.6</v>
      </c>
      <c r="H144" s="6" t="n">
        <v>0.0371</v>
      </c>
      <c r="I144" s="6" t="n">
        <v>0.9629</v>
      </c>
      <c r="J144" s="6" t="n">
        <v>0.3548</v>
      </c>
      <c r="K144" s="11">
        <f>ROUND(I144+H144,4)</f>
        <v/>
      </c>
    </row>
    <row r="145">
      <c r="A145" s="9" t="n">
        <v>2004</v>
      </c>
      <c r="B145" s="9" t="inlineStr">
        <is>
          <t>AUS</t>
        </is>
      </c>
      <c r="C145" s="9" t="inlineStr">
        <is>
          <t>Australia</t>
        </is>
      </c>
      <c r="D145" s="9" t="inlineStr">
        <is>
          <t>B05_06</t>
        </is>
      </c>
      <c r="E145" s="9" t="n">
        <v>13298.7</v>
      </c>
      <c r="F145" s="9" t="n">
        <v>0.9145</v>
      </c>
      <c r="G145" s="9" t="n">
        <v>10840.8</v>
      </c>
      <c r="H145" s="9" t="n">
        <v>0.1872</v>
      </c>
      <c r="I145" s="9" t="n">
        <v>0.8128</v>
      </c>
      <c r="J145" s="9" t="n">
        <v>0.5569</v>
      </c>
      <c r="K145" s="11">
        <f>ROUND(I145+H145,4)</f>
        <v/>
      </c>
    </row>
    <row r="146">
      <c r="A146" s="6" t="n">
        <v>2004</v>
      </c>
      <c r="B146" s="6" t="inlineStr">
        <is>
          <t>AUS</t>
        </is>
      </c>
      <c r="C146" s="6" t="inlineStr">
        <is>
          <t>Australia</t>
        </is>
      </c>
      <c r="D146" s="6" t="inlineStr">
        <is>
          <t>B07_08</t>
        </is>
      </c>
      <c r="E146" s="6" t="n">
        <v>8763.5</v>
      </c>
      <c r="F146" s="6" t="n">
        <v>0.8713</v>
      </c>
      <c r="G146" s="6" t="n">
        <v>7315.1</v>
      </c>
      <c r="H146" s="6" t="n">
        <v>0.4334</v>
      </c>
      <c r="I146" s="6" t="n">
        <v>0.5666</v>
      </c>
      <c r="J146" s="6" t="n">
        <v>0.6998</v>
      </c>
      <c r="K146" s="11">
        <f>ROUND(I146+H146,4)</f>
        <v/>
      </c>
    </row>
    <row r="147">
      <c r="A147" s="9" t="n">
        <v>2004</v>
      </c>
      <c r="B147" s="9" t="inlineStr">
        <is>
          <t>AUS</t>
        </is>
      </c>
      <c r="C147" s="9" t="inlineStr">
        <is>
          <t>Australia</t>
        </is>
      </c>
      <c r="D147" s="9" t="inlineStr">
        <is>
          <t>B09</t>
        </is>
      </c>
      <c r="E147" s="9" t="n">
        <v>27.4</v>
      </c>
      <c r="F147" s="9" t="n">
        <v>0.9127999999999999</v>
      </c>
      <c r="G147" s="9" t="n">
        <v>1397.2</v>
      </c>
      <c r="H147" s="9" t="n">
        <v>0.3444</v>
      </c>
      <c r="I147" s="9" t="n">
        <v>0.6556</v>
      </c>
      <c r="J147" s="9" t="n">
        <v>0.4163</v>
      </c>
      <c r="K147" s="11">
        <f>ROUND(I147+H147,4)</f>
        <v/>
      </c>
    </row>
    <row r="148">
      <c r="A148" s="6" t="n">
        <v>2004</v>
      </c>
      <c r="B148" s="6" t="inlineStr">
        <is>
          <t>FIN</t>
        </is>
      </c>
      <c r="C148" s="6" t="inlineStr">
        <is>
          <t>Finlandia</t>
        </is>
      </c>
      <c r="D148" s="6" t="inlineStr">
        <is>
          <t>B05_06</t>
        </is>
      </c>
      <c r="E148" s="6" t="n">
        <v>20.8</v>
      </c>
      <c r="F148" s="6" t="n">
        <v>0.6637</v>
      </c>
      <c r="G148" s="6" t="n">
        <v>47.2</v>
      </c>
      <c r="H148" s="6" t="n">
        <v>0.8414</v>
      </c>
      <c r="I148" s="6" t="n">
        <v>0.1586</v>
      </c>
      <c r="J148" s="6" t="n">
        <v>0.4283</v>
      </c>
      <c r="K148" s="11">
        <f>ROUND(I148+H148,4)</f>
        <v/>
      </c>
    </row>
    <row r="149">
      <c r="A149" s="9" t="n">
        <v>2004</v>
      </c>
      <c r="B149" s="9" t="inlineStr">
        <is>
          <t>FIN</t>
        </is>
      </c>
      <c r="C149" s="9" t="inlineStr">
        <is>
          <t>Finlandia</t>
        </is>
      </c>
      <c r="D149" s="9" t="inlineStr">
        <is>
          <t>B07_08</t>
        </is>
      </c>
      <c r="E149" s="9" t="n">
        <v>136.3</v>
      </c>
      <c r="F149" s="9" t="n">
        <v>0.6935</v>
      </c>
      <c r="G149" s="9" t="n">
        <v>214.4</v>
      </c>
      <c r="H149" s="9" t="n">
        <v>0.7492</v>
      </c>
      <c r="I149" s="9" t="n">
        <v>0.2508</v>
      </c>
      <c r="J149" s="9" t="n">
        <v>0.5714</v>
      </c>
      <c r="K149" s="11">
        <f>ROUND(I149+H149,4)</f>
        <v/>
      </c>
    </row>
    <row r="150">
      <c r="A150" s="6" t="n">
        <v>2004</v>
      </c>
      <c r="B150" s="6" t="inlineStr">
        <is>
          <t>FIN</t>
        </is>
      </c>
      <c r="C150" s="6" t="inlineStr">
        <is>
          <t>Finlandia</t>
        </is>
      </c>
      <c r="D150" s="6" t="inlineStr">
        <is>
          <t>B09</t>
        </is>
      </c>
      <c r="E150" s="6" t="n">
        <v>0.2</v>
      </c>
      <c r="F150" s="6" t="n">
        <v>0.6988</v>
      </c>
      <c r="G150" s="6" t="n">
        <v>0.6</v>
      </c>
      <c r="H150" s="6" t="n">
        <v>0.8518</v>
      </c>
      <c r="I150" s="6" t="n">
        <v>0.1482</v>
      </c>
      <c r="J150" s="6" t="n">
        <v>0.3563</v>
      </c>
      <c r="K150" s="11">
        <f>ROUND(I150+H150,4)</f>
        <v/>
      </c>
    </row>
    <row r="151">
      <c r="A151" s="9" t="n">
        <v>2004</v>
      </c>
      <c r="B151" s="9" t="inlineStr">
        <is>
          <t>SWE</t>
        </is>
      </c>
      <c r="C151" s="9" t="inlineStr">
        <is>
          <t>Suecia</t>
        </is>
      </c>
      <c r="D151" s="9" t="inlineStr">
        <is>
          <t>B05_06</t>
        </is>
      </c>
      <c r="E151" s="9" t="n">
        <v>10.2</v>
      </c>
      <c r="F151" s="9" t="n">
        <v>0.5813</v>
      </c>
      <c r="G151" s="9" t="n">
        <v>14.9</v>
      </c>
      <c r="H151" s="9" t="n">
        <v>0.8744</v>
      </c>
      <c r="I151" s="9" t="n">
        <v>0.1256</v>
      </c>
      <c r="J151" s="9" t="n">
        <v>0.4057</v>
      </c>
      <c r="K151" s="11">
        <f>ROUND(I151+H151,4)</f>
        <v/>
      </c>
    </row>
    <row r="152">
      <c r="A152" s="6" t="n">
        <v>2004</v>
      </c>
      <c r="B152" s="6" t="inlineStr">
        <is>
          <t>SWE</t>
        </is>
      </c>
      <c r="C152" s="6" t="inlineStr">
        <is>
          <t>Suecia</t>
        </is>
      </c>
      <c r="D152" s="6" t="inlineStr">
        <is>
          <t>B07_08</t>
        </is>
      </c>
      <c r="E152" s="6" t="n">
        <v>430</v>
      </c>
      <c r="F152" s="6" t="n">
        <v>0.7177</v>
      </c>
      <c r="G152" s="6" t="n">
        <v>704.9</v>
      </c>
      <c r="H152" s="6" t="n">
        <v>0.7413999999999999</v>
      </c>
      <c r="I152" s="6" t="n">
        <v>0.2586</v>
      </c>
      <c r="J152" s="6" t="n">
        <v>0.7531</v>
      </c>
      <c r="K152" s="11">
        <f>ROUND(I152+H152,4)</f>
        <v/>
      </c>
    </row>
    <row r="153">
      <c r="A153" s="9" t="n">
        <v>2004</v>
      </c>
      <c r="B153" s="9" t="inlineStr">
        <is>
          <t>SWE</t>
        </is>
      </c>
      <c r="C153" s="9" t="inlineStr">
        <is>
          <t>Suecia</t>
        </is>
      </c>
      <c r="D153" s="9" t="inlineStr">
        <is>
          <t>B09</t>
        </is>
      </c>
      <c r="E153" s="9" t="n">
        <v>95.5</v>
      </c>
      <c r="F153" s="9" t="n">
        <v>0.6441</v>
      </c>
      <c r="G153" s="9" t="n">
        <v>21.3</v>
      </c>
      <c r="H153" s="9" t="n">
        <v>0.0127</v>
      </c>
      <c r="I153" s="9" t="n">
        <v>0.9873</v>
      </c>
      <c r="J153" s="9" t="n">
        <v>0.9792999999999999</v>
      </c>
      <c r="K153" s="11">
        <f>ROUND(I153+H153,4)</f>
        <v/>
      </c>
    </row>
    <row r="154">
      <c r="A154" s="6" t="n">
        <v>2005</v>
      </c>
      <c r="B154" s="6" t="inlineStr">
        <is>
          <t>MEX</t>
        </is>
      </c>
      <c r="C154" s="6" t="inlineStr">
        <is>
          <t>Mexico</t>
        </is>
      </c>
      <c r="D154" s="6" t="inlineStr">
        <is>
          <t>B05_06</t>
        </is>
      </c>
      <c r="E154" s="6" t="n">
        <v>27258.5</v>
      </c>
      <c r="F154" s="6" t="n">
        <v>0.9666</v>
      </c>
      <c r="G154" s="6" t="n">
        <v>30395.7</v>
      </c>
      <c r="H154" s="6" t="n">
        <v>0.1941</v>
      </c>
      <c r="I154" s="6" t="n">
        <v>0.8058999999999999</v>
      </c>
      <c r="J154" s="6" t="n">
        <v>0.5386</v>
      </c>
      <c r="K154" s="11">
        <f>ROUND(I154+H154,4)</f>
        <v/>
      </c>
    </row>
    <row r="155">
      <c r="A155" s="9" t="n">
        <v>2005</v>
      </c>
      <c r="B155" s="9" t="inlineStr">
        <is>
          <t>MEX</t>
        </is>
      </c>
      <c r="C155" s="9" t="inlineStr">
        <is>
          <t>Mexico</t>
        </is>
      </c>
      <c r="D155" s="9" t="inlineStr">
        <is>
          <t>B07_08</t>
        </is>
      </c>
      <c r="E155" s="9" t="n">
        <v>1447.7</v>
      </c>
      <c r="F155" s="9" t="n">
        <v>0.8794</v>
      </c>
      <c r="G155" s="9" t="n">
        <v>1818.4</v>
      </c>
      <c r="H155" s="9" t="n">
        <v>0.4937</v>
      </c>
      <c r="I155" s="9" t="n">
        <v>0.5063</v>
      </c>
      <c r="J155" s="9" t="n">
        <v>0.3093</v>
      </c>
      <c r="K155" s="11">
        <f>ROUND(I155+H155,4)</f>
        <v/>
      </c>
    </row>
    <row r="156">
      <c r="A156" s="6" t="n">
        <v>2005</v>
      </c>
      <c r="B156" s="6" t="inlineStr">
        <is>
          <t>MEX</t>
        </is>
      </c>
      <c r="C156" s="6" t="inlineStr">
        <is>
          <t>Mexico</t>
        </is>
      </c>
      <c r="D156" s="6" t="inlineStr">
        <is>
          <t>B09</t>
        </is>
      </c>
      <c r="E156" s="6" t="n">
        <v>3.6</v>
      </c>
      <c r="F156" s="6" t="n">
        <v>0.8743</v>
      </c>
      <c r="G156" s="6" t="n">
        <v>344.1</v>
      </c>
      <c r="H156" s="6" t="n">
        <v>0.1965</v>
      </c>
      <c r="I156" s="6" t="n">
        <v>0.8035</v>
      </c>
      <c r="J156" s="6" t="n">
        <v>0.0917</v>
      </c>
      <c r="K156" s="11">
        <f>ROUND(I156+H156,4)</f>
        <v/>
      </c>
    </row>
    <row r="157">
      <c r="A157" s="9" t="n">
        <v>2005</v>
      </c>
      <c r="B157" s="9" t="inlineStr">
        <is>
          <t>CHL</t>
        </is>
      </c>
      <c r="C157" s="9" t="inlineStr">
        <is>
          <t>Chile</t>
        </is>
      </c>
      <c r="D157" s="9" t="inlineStr">
        <is>
          <t>B05_06</t>
        </is>
      </c>
      <c r="E157" s="9" t="n">
        <v>1.2</v>
      </c>
      <c r="F157" s="9" t="n">
        <v>0.8846000000000001</v>
      </c>
      <c r="G157" s="9" t="n">
        <v>61.6</v>
      </c>
      <c r="H157" s="9" t="n">
        <v>0.7746</v>
      </c>
      <c r="I157" s="9" t="n">
        <v>0.2254</v>
      </c>
      <c r="J157" s="9" t="n">
        <v>0.3451</v>
      </c>
      <c r="K157" s="11">
        <f>ROUND(I157+H157,4)</f>
        <v/>
      </c>
    </row>
    <row r="158">
      <c r="A158" s="6" t="n">
        <v>2005</v>
      </c>
      <c r="B158" s="6" t="inlineStr">
        <is>
          <t>CHL</t>
        </is>
      </c>
      <c r="C158" s="6" t="inlineStr">
        <is>
          <t>Chile</t>
        </is>
      </c>
      <c r="D158" s="6" t="inlineStr">
        <is>
          <t>B07_08</t>
        </is>
      </c>
      <c r="E158" s="6" t="n">
        <v>20252.6</v>
      </c>
      <c r="F158" s="6" t="n">
        <v>0.891</v>
      </c>
      <c r="G158" s="6" t="n">
        <v>15321.7</v>
      </c>
      <c r="H158" s="6" t="n">
        <v>0.0433</v>
      </c>
      <c r="I158" s="6" t="n">
        <v>0.9567</v>
      </c>
      <c r="J158" s="6" t="n">
        <v>0.8517</v>
      </c>
      <c r="K158" s="11">
        <f>ROUND(I158+H158,4)</f>
        <v/>
      </c>
    </row>
    <row r="159">
      <c r="A159" s="9" t="n">
        <v>2005</v>
      </c>
      <c r="B159" s="9" t="inlineStr">
        <is>
          <t>CHL</t>
        </is>
      </c>
      <c r="C159" s="9" t="inlineStr">
        <is>
          <t>Chile</t>
        </is>
      </c>
      <c r="D159" s="9" t="inlineStr">
        <is>
          <t>B09</t>
        </is>
      </c>
      <c r="E159" s="9" t="n">
        <v>21.5</v>
      </c>
      <c r="F159" s="9" t="n">
        <v>0.9036999999999999</v>
      </c>
      <c r="G159" s="9" t="n">
        <v>18.3</v>
      </c>
      <c r="H159" s="9" t="n">
        <v>0.1179</v>
      </c>
      <c r="I159" s="9" t="n">
        <v>0.8821</v>
      </c>
      <c r="J159" s="9" t="n">
        <v>0.2897</v>
      </c>
      <c r="K159" s="11">
        <f>ROUND(I159+H159,4)</f>
        <v/>
      </c>
    </row>
    <row r="160">
      <c r="A160" s="6" t="n">
        <v>2005</v>
      </c>
      <c r="B160" s="6" t="inlineStr">
        <is>
          <t>AUS</t>
        </is>
      </c>
      <c r="C160" s="6" t="inlineStr">
        <is>
          <t>Australia</t>
        </is>
      </c>
      <c r="D160" s="6" t="inlineStr">
        <is>
          <t>B05_06</t>
        </is>
      </c>
      <c r="E160" s="6" t="n">
        <v>21390.3</v>
      </c>
      <c r="F160" s="6" t="n">
        <v>0.9293</v>
      </c>
      <c r="G160" s="6" t="n">
        <v>18050.1</v>
      </c>
      <c r="H160" s="6" t="n">
        <v>0.1329</v>
      </c>
      <c r="I160" s="6" t="n">
        <v>0.8671</v>
      </c>
      <c r="J160" s="6" t="n">
        <v>0.637</v>
      </c>
      <c r="K160" s="11">
        <f>ROUND(I160+H160,4)</f>
        <v/>
      </c>
    </row>
    <row r="161">
      <c r="A161" s="9" t="n">
        <v>2005</v>
      </c>
      <c r="B161" s="9" t="inlineStr">
        <is>
          <t>AUS</t>
        </is>
      </c>
      <c r="C161" s="9" t="inlineStr">
        <is>
          <t>Australia</t>
        </is>
      </c>
      <c r="D161" s="9" t="inlineStr">
        <is>
          <t>B07_08</t>
        </is>
      </c>
      <c r="E161" s="9" t="n">
        <v>12796.6</v>
      </c>
      <c r="F161" s="9" t="n">
        <v>0.8885</v>
      </c>
      <c r="G161" s="9" t="n">
        <v>11942.8</v>
      </c>
      <c r="H161" s="9" t="n">
        <v>0.3995</v>
      </c>
      <c r="I161" s="9" t="n">
        <v>0.6005</v>
      </c>
      <c r="J161" s="9" t="n">
        <v>0.7082000000000001</v>
      </c>
      <c r="K161" s="11">
        <f>ROUND(I161+H161,4)</f>
        <v/>
      </c>
    </row>
    <row r="162">
      <c r="A162" s="6" t="n">
        <v>2005</v>
      </c>
      <c r="B162" s="6" t="inlineStr">
        <is>
          <t>AUS</t>
        </is>
      </c>
      <c r="C162" s="6" t="inlineStr">
        <is>
          <t>Australia</t>
        </is>
      </c>
      <c r="D162" s="6" t="inlineStr">
        <is>
          <t>B09</t>
        </is>
      </c>
      <c r="E162" s="6" t="n">
        <v>32.5</v>
      </c>
      <c r="F162" s="6" t="n">
        <v>0.906</v>
      </c>
      <c r="G162" s="6" t="n">
        <v>1728.7</v>
      </c>
      <c r="H162" s="6" t="n">
        <v>0.2957</v>
      </c>
      <c r="I162" s="6" t="n">
        <v>0.7043</v>
      </c>
      <c r="J162" s="6" t="n">
        <v>0.4547</v>
      </c>
      <c r="K162" s="11">
        <f>ROUND(I162+H162,4)</f>
        <v/>
      </c>
    </row>
    <row r="163">
      <c r="A163" s="9" t="n">
        <v>2005</v>
      </c>
      <c r="B163" s="9" t="inlineStr">
        <is>
          <t>FIN</t>
        </is>
      </c>
      <c r="C163" s="9" t="inlineStr">
        <is>
          <t>Finlandia</t>
        </is>
      </c>
      <c r="D163" s="9" t="inlineStr">
        <is>
          <t>B05_06</t>
        </is>
      </c>
      <c r="E163" s="9" t="n">
        <v>24.7</v>
      </c>
      <c r="F163" s="9" t="n">
        <v>0.651</v>
      </c>
      <c r="G163" s="9" t="n">
        <v>57.6</v>
      </c>
      <c r="H163" s="9" t="n">
        <v>0.8342000000000001</v>
      </c>
      <c r="I163" s="9" t="n">
        <v>0.1658</v>
      </c>
      <c r="J163" s="9" t="n">
        <v>0.4973</v>
      </c>
      <c r="K163" s="11">
        <f>ROUND(I163+H163,4)</f>
        <v/>
      </c>
    </row>
    <row r="164">
      <c r="A164" s="6" t="n">
        <v>2005</v>
      </c>
      <c r="B164" s="6" t="inlineStr">
        <is>
          <t>FIN</t>
        </is>
      </c>
      <c r="C164" s="6" t="inlineStr">
        <is>
          <t>Finlandia</t>
        </is>
      </c>
      <c r="D164" s="6" t="inlineStr">
        <is>
          <t>B07_08</t>
        </is>
      </c>
      <c r="E164" s="6" t="n">
        <v>149.8</v>
      </c>
      <c r="F164" s="6" t="n">
        <v>0.6697</v>
      </c>
      <c r="G164" s="6" t="n">
        <v>209.8</v>
      </c>
      <c r="H164" s="6" t="n">
        <v>0.7267</v>
      </c>
      <c r="I164" s="6" t="n">
        <v>0.2733</v>
      </c>
      <c r="J164" s="6" t="n">
        <v>0.5736</v>
      </c>
      <c r="K164" s="11">
        <f>ROUND(I164+H164,4)</f>
        <v/>
      </c>
    </row>
    <row r="165">
      <c r="A165" s="9" t="n">
        <v>2005</v>
      </c>
      <c r="B165" s="9" t="inlineStr">
        <is>
          <t>FIN</t>
        </is>
      </c>
      <c r="C165" s="9" t="inlineStr">
        <is>
          <t>Finlandia</t>
        </is>
      </c>
      <c r="D165" s="9" t="inlineStr">
        <is>
          <t>B09</t>
        </is>
      </c>
      <c r="E165" s="9" t="n">
        <v>0.6</v>
      </c>
      <c r="F165" s="9" t="n">
        <v>0.7655999999999999</v>
      </c>
      <c r="G165" s="9" t="n">
        <v>0.7</v>
      </c>
      <c r="H165" s="9" t="n">
        <v>0.5484</v>
      </c>
      <c r="I165" s="9" t="n">
        <v>0.4516</v>
      </c>
      <c r="J165" s="9" t="n">
        <v>0.4419</v>
      </c>
      <c r="K165" s="11">
        <f>ROUND(I165+H165,4)</f>
        <v/>
      </c>
    </row>
    <row r="166">
      <c r="A166" s="6" t="n">
        <v>2005</v>
      </c>
      <c r="B166" s="6" t="inlineStr">
        <is>
          <t>SWE</t>
        </is>
      </c>
      <c r="C166" s="6" t="inlineStr">
        <is>
          <t>Suecia</t>
        </is>
      </c>
      <c r="D166" s="6" t="inlineStr">
        <is>
          <t>B05_06</t>
        </is>
      </c>
      <c r="E166" s="6" t="n">
        <v>9.5</v>
      </c>
      <c r="F166" s="6" t="n">
        <v>0.602</v>
      </c>
      <c r="G166" s="6" t="n">
        <v>23.3</v>
      </c>
      <c r="H166" s="6" t="n">
        <v>0.8869</v>
      </c>
      <c r="I166" s="6" t="n">
        <v>0.1131</v>
      </c>
      <c r="J166" s="6" t="n">
        <v>0.4198</v>
      </c>
      <c r="K166" s="11">
        <f>ROUND(I166+H166,4)</f>
        <v/>
      </c>
    </row>
    <row r="167">
      <c r="A167" s="9" t="n">
        <v>2005</v>
      </c>
      <c r="B167" s="9" t="inlineStr">
        <is>
          <t>SWE</t>
        </is>
      </c>
      <c r="C167" s="9" t="inlineStr">
        <is>
          <t>Suecia</t>
        </is>
      </c>
      <c r="D167" s="9" t="inlineStr">
        <is>
          <t>B07_08</t>
        </is>
      </c>
      <c r="E167" s="9" t="n">
        <v>765.3</v>
      </c>
      <c r="F167" s="9" t="n">
        <v>0.7437</v>
      </c>
      <c r="G167" s="9" t="n">
        <v>1145.7</v>
      </c>
      <c r="H167" s="9" t="n">
        <v>0.6687</v>
      </c>
      <c r="I167" s="9" t="n">
        <v>0.3313</v>
      </c>
      <c r="J167" s="9" t="n">
        <v>0.8121</v>
      </c>
      <c r="K167" s="11">
        <f>ROUND(I167+H167,4)</f>
        <v/>
      </c>
    </row>
    <row r="168">
      <c r="A168" s="6" t="n">
        <v>2005</v>
      </c>
      <c r="B168" s="6" t="inlineStr">
        <is>
          <t>SWE</t>
        </is>
      </c>
      <c r="C168" s="6" t="inlineStr">
        <is>
          <t>Suecia</t>
        </is>
      </c>
      <c r="D168" s="6" t="inlineStr">
        <is>
          <t>B09</t>
        </is>
      </c>
      <c r="E168" s="6" t="n">
        <v>130</v>
      </c>
      <c r="F168" s="6" t="n">
        <v>0.6707</v>
      </c>
      <c r="G168" s="6" t="n">
        <v>44.3</v>
      </c>
      <c r="H168" s="6" t="n">
        <v>0.0759</v>
      </c>
      <c r="I168" s="6" t="n">
        <v>0.9241</v>
      </c>
      <c r="J168" s="6" t="n">
        <v>0.9013</v>
      </c>
      <c r="K168" s="11">
        <f>ROUND(I168+H168,4)</f>
        <v/>
      </c>
    </row>
    <row r="169">
      <c r="A169" s="9" t="n">
        <v>2006</v>
      </c>
      <c r="B169" s="9" t="inlineStr">
        <is>
          <t>MEX</t>
        </is>
      </c>
      <c r="C169" s="9" t="inlineStr">
        <is>
          <t>Mexico</t>
        </is>
      </c>
      <c r="D169" s="9" t="inlineStr">
        <is>
          <t>B05_06</t>
        </is>
      </c>
      <c r="E169" s="9" t="n">
        <v>33254.8</v>
      </c>
      <c r="F169" s="9" t="n">
        <v>0.966</v>
      </c>
      <c r="G169" s="9" t="n">
        <v>36324.1</v>
      </c>
      <c r="H169" s="9" t="n">
        <v>0.1756</v>
      </c>
      <c r="I169" s="9" t="n">
        <v>0.8244</v>
      </c>
      <c r="J169" s="9" t="n">
        <v>0.5677</v>
      </c>
      <c r="K169" s="11">
        <f>ROUND(I169+H169,4)</f>
        <v/>
      </c>
    </row>
    <row r="170">
      <c r="A170" s="6" t="n">
        <v>2006</v>
      </c>
      <c r="B170" s="6" t="inlineStr">
        <is>
          <t>MEX</t>
        </is>
      </c>
      <c r="C170" s="6" t="inlineStr">
        <is>
          <t>Mexico</t>
        </is>
      </c>
      <c r="D170" s="6" t="inlineStr">
        <is>
          <t>B07_08</t>
        </is>
      </c>
      <c r="E170" s="6" t="n">
        <v>1216.4</v>
      </c>
      <c r="F170" s="6" t="n">
        <v>0.8941</v>
      </c>
      <c r="G170" s="6" t="n">
        <v>2524.5</v>
      </c>
      <c r="H170" s="6" t="n">
        <v>0.6756</v>
      </c>
      <c r="I170" s="6" t="n">
        <v>0.3244</v>
      </c>
      <c r="J170" s="6" t="n">
        <v>0.3289</v>
      </c>
      <c r="K170" s="11">
        <f>ROUND(I170+H170,4)</f>
        <v/>
      </c>
    </row>
    <row r="171">
      <c r="A171" s="9" t="n">
        <v>2006</v>
      </c>
      <c r="B171" s="9" t="inlineStr">
        <is>
          <t>MEX</t>
        </is>
      </c>
      <c r="C171" s="9" t="inlineStr">
        <is>
          <t>Mexico</t>
        </is>
      </c>
      <c r="D171" s="9" t="inlineStr">
        <is>
          <t>B09</t>
        </is>
      </c>
      <c r="E171" s="9" t="n">
        <v>2.4</v>
      </c>
      <c r="F171" s="9" t="n">
        <v>0.8701</v>
      </c>
      <c r="G171" s="9" t="n">
        <v>299.7</v>
      </c>
      <c r="H171" s="9" t="n">
        <v>0.1786</v>
      </c>
      <c r="I171" s="9" t="n">
        <v>0.8214</v>
      </c>
      <c r="J171" s="9" t="n">
        <v>0.07240000000000001</v>
      </c>
      <c r="K171" s="11">
        <f>ROUND(I171+H171,4)</f>
        <v/>
      </c>
    </row>
    <row r="172">
      <c r="A172" s="6" t="n">
        <v>2006</v>
      </c>
      <c r="B172" s="6" t="inlineStr">
        <is>
          <t>CHL</t>
        </is>
      </c>
      <c r="C172" s="6" t="inlineStr">
        <is>
          <t>Chile</t>
        </is>
      </c>
      <c r="D172" s="6" t="inlineStr">
        <is>
          <t>B05_06</t>
        </is>
      </c>
      <c r="E172" s="6" t="n">
        <v>1.8</v>
      </c>
      <c r="F172" s="6" t="n">
        <v>0.9133</v>
      </c>
      <c r="G172" s="6" t="n">
        <v>107.8</v>
      </c>
      <c r="H172" s="6" t="n">
        <v>0.8065</v>
      </c>
      <c r="I172" s="6" t="n">
        <v>0.1935</v>
      </c>
      <c r="J172" s="6" t="n">
        <v>0.3377</v>
      </c>
      <c r="K172" s="11">
        <f>ROUND(I172+H172,4)</f>
        <v/>
      </c>
    </row>
    <row r="173">
      <c r="A173" s="9" t="n">
        <v>2006</v>
      </c>
      <c r="B173" s="9" t="inlineStr">
        <is>
          <t>CHL</t>
        </is>
      </c>
      <c r="C173" s="9" t="inlineStr">
        <is>
          <t>Chile</t>
        </is>
      </c>
      <c r="D173" s="9" t="inlineStr">
        <is>
          <t>B07_08</t>
        </is>
      </c>
      <c r="E173" s="9" t="n">
        <v>30061.3</v>
      </c>
      <c r="F173" s="9" t="n">
        <v>0.9272</v>
      </c>
      <c r="G173" s="9" t="n">
        <v>26173.9</v>
      </c>
      <c r="H173" s="9" t="n">
        <v>0.0586</v>
      </c>
      <c r="I173" s="9" t="n">
        <v>0.9414</v>
      </c>
      <c r="J173" s="9" t="n">
        <v>0.8137</v>
      </c>
      <c r="K173" s="11">
        <f>ROUND(I173+H173,4)</f>
        <v/>
      </c>
    </row>
    <row r="174">
      <c r="A174" s="6" t="n">
        <v>2006</v>
      </c>
      <c r="B174" s="6" t="inlineStr">
        <is>
          <t>CHL</t>
        </is>
      </c>
      <c r="C174" s="6" t="inlineStr">
        <is>
          <t>Chile</t>
        </is>
      </c>
      <c r="D174" s="6" t="inlineStr">
        <is>
          <t>B09</t>
        </is>
      </c>
      <c r="E174" s="6" t="n">
        <v>22.2</v>
      </c>
      <c r="F174" s="6" t="n">
        <v>0.9687</v>
      </c>
      <c r="G174" s="6" t="n">
        <v>29.4</v>
      </c>
      <c r="H174" s="6" t="n">
        <v>0.2566</v>
      </c>
      <c r="I174" s="6" t="n">
        <v>0.7433999999999999</v>
      </c>
      <c r="J174" s="6" t="n">
        <v>0.2573</v>
      </c>
      <c r="K174" s="11">
        <f>ROUND(I174+H174,4)</f>
        <v/>
      </c>
    </row>
    <row r="175">
      <c r="A175" s="9" t="n">
        <v>2006</v>
      </c>
      <c r="B175" s="9" t="inlineStr">
        <is>
          <t>AUS</t>
        </is>
      </c>
      <c r="C175" s="9" t="inlineStr">
        <is>
          <t>Australia</t>
        </is>
      </c>
      <c r="D175" s="9" t="inlineStr">
        <is>
          <t>B05_06</t>
        </is>
      </c>
      <c r="E175" s="9" t="n">
        <v>25546.6</v>
      </c>
      <c r="F175" s="9" t="n">
        <v>0.9175</v>
      </c>
      <c r="G175" s="9" t="n">
        <v>19073.3</v>
      </c>
      <c r="H175" s="9" t="n">
        <v>0.1026</v>
      </c>
      <c r="I175" s="9" t="n">
        <v>0.8974</v>
      </c>
      <c r="J175" s="9" t="n">
        <v>0.7065</v>
      </c>
      <c r="K175" s="11">
        <f>ROUND(I175+H175,4)</f>
        <v/>
      </c>
    </row>
    <row r="176">
      <c r="A176" s="6" t="n">
        <v>2006</v>
      </c>
      <c r="B176" s="6" t="inlineStr">
        <is>
          <t>AUS</t>
        </is>
      </c>
      <c r="C176" s="6" t="inlineStr">
        <is>
          <t>Australia</t>
        </is>
      </c>
      <c r="D176" s="6" t="inlineStr">
        <is>
          <t>B07_08</t>
        </is>
      </c>
      <c r="E176" s="6" t="n">
        <v>18614.9</v>
      </c>
      <c r="F176" s="6" t="n">
        <v>0.8976</v>
      </c>
      <c r="G176" s="6" t="n">
        <v>18089.3</v>
      </c>
      <c r="H176" s="6" t="n">
        <v>0.3666</v>
      </c>
      <c r="I176" s="6" t="n">
        <v>0.6334</v>
      </c>
      <c r="J176" s="6" t="n">
        <v>0.7322</v>
      </c>
      <c r="K176" s="11">
        <f>ROUND(I176+H176,4)</f>
        <v/>
      </c>
    </row>
    <row r="177">
      <c r="A177" s="9" t="n">
        <v>2006</v>
      </c>
      <c r="B177" s="9" t="inlineStr">
        <is>
          <t>AUS</t>
        </is>
      </c>
      <c r="C177" s="9" t="inlineStr">
        <is>
          <t>Australia</t>
        </is>
      </c>
      <c r="D177" s="9" t="inlineStr">
        <is>
          <t>B09</t>
        </is>
      </c>
      <c r="E177" s="9" t="n">
        <v>61</v>
      </c>
      <c r="F177" s="9" t="n">
        <v>0.913</v>
      </c>
      <c r="G177" s="9" t="n">
        <v>2206.1</v>
      </c>
      <c r="H177" s="9" t="n">
        <v>0.256</v>
      </c>
      <c r="I177" s="9" t="n">
        <v>0.744</v>
      </c>
      <c r="J177" s="9" t="n">
        <v>0.4954</v>
      </c>
      <c r="K177" s="11">
        <f>ROUND(I177+H177,4)</f>
        <v/>
      </c>
    </row>
    <row r="178">
      <c r="A178" s="6" t="n">
        <v>2006</v>
      </c>
      <c r="B178" s="6" t="inlineStr">
        <is>
          <t>FIN</t>
        </is>
      </c>
      <c r="C178" s="6" t="inlineStr">
        <is>
          <t>Finlandia</t>
        </is>
      </c>
      <c r="D178" s="6" t="inlineStr">
        <is>
          <t>B05_06</t>
        </is>
      </c>
      <c r="E178" s="6" t="n">
        <v>41.4</v>
      </c>
      <c r="F178" s="6" t="n">
        <v>0.6359</v>
      </c>
      <c r="G178" s="6" t="n">
        <v>80.3</v>
      </c>
      <c r="H178" s="6" t="n">
        <v>0.7876</v>
      </c>
      <c r="I178" s="6" t="n">
        <v>0.2124</v>
      </c>
      <c r="J178" s="6" t="n">
        <v>0.4453</v>
      </c>
      <c r="K178" s="11">
        <f>ROUND(I178+H178,4)</f>
        <v/>
      </c>
    </row>
    <row r="179">
      <c r="A179" s="9" t="n">
        <v>2006</v>
      </c>
      <c r="B179" s="9" t="inlineStr">
        <is>
          <t>FIN</t>
        </is>
      </c>
      <c r="C179" s="9" t="inlineStr">
        <is>
          <t>Finlandia</t>
        </is>
      </c>
      <c r="D179" s="9" t="inlineStr">
        <is>
          <t>B07_08</t>
        </is>
      </c>
      <c r="E179" s="9" t="n">
        <v>150</v>
      </c>
      <c r="F179" s="9" t="n">
        <v>0.6832</v>
      </c>
      <c r="G179" s="9" t="n">
        <v>275</v>
      </c>
      <c r="H179" s="9" t="n">
        <v>0.7751</v>
      </c>
      <c r="I179" s="9" t="n">
        <v>0.2249</v>
      </c>
      <c r="J179" s="9" t="n">
        <v>0.5733</v>
      </c>
      <c r="K179" s="11">
        <f>ROUND(I179+H179,4)</f>
        <v/>
      </c>
    </row>
    <row r="180">
      <c r="A180" s="6" t="n">
        <v>2006</v>
      </c>
      <c r="B180" s="6" t="inlineStr">
        <is>
          <t>FIN</t>
        </is>
      </c>
      <c r="C180" s="6" t="inlineStr">
        <is>
          <t>Finlandia</t>
        </is>
      </c>
      <c r="D180" s="6" t="inlineStr">
        <is>
          <t>B09</t>
        </is>
      </c>
      <c r="E180" s="6" t="n">
        <v>0.7</v>
      </c>
      <c r="F180" s="6" t="n">
        <v>0.7597</v>
      </c>
      <c r="G180" s="6" t="n">
        <v>1</v>
      </c>
      <c r="H180" s="6" t="n">
        <v>0.6326000000000001</v>
      </c>
      <c r="I180" s="6" t="n">
        <v>0.3674</v>
      </c>
      <c r="J180" s="6" t="n">
        <v>0.4417</v>
      </c>
      <c r="K180" s="11">
        <f>ROUND(I180+H180,4)</f>
        <v/>
      </c>
    </row>
    <row r="181">
      <c r="A181" s="9" t="n">
        <v>2006</v>
      </c>
      <c r="B181" s="9" t="inlineStr">
        <is>
          <t>SWE</t>
        </is>
      </c>
      <c r="C181" s="9" t="inlineStr">
        <is>
          <t>Suecia</t>
        </is>
      </c>
      <c r="D181" s="9" t="inlineStr">
        <is>
          <t>B05_06</t>
        </is>
      </c>
      <c r="E181" s="9" t="n">
        <v>7.3</v>
      </c>
      <c r="F181" s="9" t="n">
        <v>0.5851</v>
      </c>
      <c r="G181" s="9" t="n">
        <v>25.2</v>
      </c>
      <c r="H181" s="9" t="n">
        <v>0.9194</v>
      </c>
      <c r="I181" s="9" t="n">
        <v>0.0806</v>
      </c>
      <c r="J181" s="9" t="n">
        <v>0.4199</v>
      </c>
      <c r="K181" s="11">
        <f>ROUND(I181+H181,4)</f>
        <v/>
      </c>
    </row>
    <row r="182">
      <c r="A182" s="6" t="n">
        <v>2006</v>
      </c>
      <c r="B182" s="6" t="inlineStr">
        <is>
          <t>SWE</t>
        </is>
      </c>
      <c r="C182" s="6" t="inlineStr">
        <is>
          <t>Suecia</t>
        </is>
      </c>
      <c r="D182" s="6" t="inlineStr">
        <is>
          <t>B07_08</t>
        </is>
      </c>
      <c r="E182" s="6" t="n">
        <v>1091.9</v>
      </c>
      <c r="F182" s="6" t="n">
        <v>0.7798</v>
      </c>
      <c r="G182" s="6" t="n">
        <v>1677.7</v>
      </c>
      <c r="H182" s="6" t="n">
        <v>0.6279</v>
      </c>
      <c r="I182" s="6" t="n">
        <v>0.3721</v>
      </c>
      <c r="J182" s="6" t="n">
        <v>0.8282</v>
      </c>
      <c r="K182" s="11">
        <f>ROUND(I182+H182,4)</f>
        <v/>
      </c>
    </row>
    <row r="183">
      <c r="A183" s="9" t="n">
        <v>2006</v>
      </c>
      <c r="B183" s="9" t="inlineStr">
        <is>
          <t>SWE</t>
        </is>
      </c>
      <c r="C183" s="9" t="inlineStr">
        <is>
          <t>Suecia</t>
        </is>
      </c>
      <c r="D183" s="9" t="inlineStr">
        <is>
          <t>B09</t>
        </is>
      </c>
      <c r="E183" s="9" t="n">
        <v>181</v>
      </c>
      <c r="F183" s="9" t="n">
        <v>0.6956</v>
      </c>
      <c r="G183" s="9" t="n">
        <v>68.09999999999999</v>
      </c>
      <c r="H183" s="9" t="n">
        <v>0.0176</v>
      </c>
      <c r="I183" s="9" t="n">
        <v>0.9824000000000001</v>
      </c>
      <c r="J183" s="9" t="n">
        <v>0.9772999999999999</v>
      </c>
      <c r="K183" s="11">
        <f>ROUND(I183+H183,4)</f>
        <v/>
      </c>
    </row>
    <row r="184">
      <c r="A184" s="6" t="n">
        <v>2007</v>
      </c>
      <c r="B184" s="6" t="inlineStr">
        <is>
          <t>MEX</t>
        </is>
      </c>
      <c r="C184" s="6" t="inlineStr">
        <is>
          <t>Mexico</t>
        </is>
      </c>
      <c r="D184" s="6" t="inlineStr">
        <is>
          <t>B05_06</t>
        </is>
      </c>
      <c r="E184" s="6" t="n">
        <v>37288.8</v>
      </c>
      <c r="F184" s="6" t="n">
        <v>0.9659</v>
      </c>
      <c r="G184" s="6" t="n">
        <v>41021.1</v>
      </c>
      <c r="H184" s="6" t="n">
        <v>0.18</v>
      </c>
      <c r="I184" s="6" t="n">
        <v>0.82</v>
      </c>
      <c r="J184" s="6" t="n">
        <v>0.5747</v>
      </c>
      <c r="K184" s="11">
        <f>ROUND(I184+H184,4)</f>
        <v/>
      </c>
    </row>
    <row r="185">
      <c r="A185" s="9" t="n">
        <v>2007</v>
      </c>
      <c r="B185" s="9" t="inlineStr">
        <is>
          <t>MEX</t>
        </is>
      </c>
      <c r="C185" s="9" t="inlineStr">
        <is>
          <t>Mexico</t>
        </is>
      </c>
      <c r="D185" s="9" t="inlineStr">
        <is>
          <t>B07_08</t>
        </is>
      </c>
      <c r="E185" s="9" t="n">
        <v>1608</v>
      </c>
      <c r="F185" s="9" t="n">
        <v>0.898</v>
      </c>
      <c r="G185" s="9" t="n">
        <v>3332.6</v>
      </c>
      <c r="H185" s="9" t="n">
        <v>0.6714</v>
      </c>
      <c r="I185" s="9" t="n">
        <v>0.3286</v>
      </c>
      <c r="J185" s="9" t="n">
        <v>0.3704</v>
      </c>
      <c r="K185" s="11">
        <f>ROUND(I185+H185,4)</f>
        <v/>
      </c>
    </row>
    <row r="186">
      <c r="A186" s="6" t="n">
        <v>2007</v>
      </c>
      <c r="B186" s="6" t="inlineStr">
        <is>
          <t>MEX</t>
        </is>
      </c>
      <c r="C186" s="6" t="inlineStr">
        <is>
          <t>Mexico</t>
        </is>
      </c>
      <c r="D186" s="6" t="inlineStr">
        <is>
          <t>B09</t>
        </is>
      </c>
      <c r="E186" s="6" t="n">
        <v>3.2</v>
      </c>
      <c r="F186" s="6" t="n">
        <v>0.8633999999999999</v>
      </c>
      <c r="G186" s="6" t="n">
        <v>344.5</v>
      </c>
      <c r="H186" s="6" t="n">
        <v>0.1814</v>
      </c>
      <c r="I186" s="6" t="n">
        <v>0.8186</v>
      </c>
      <c r="J186" s="6" t="n">
        <v>0.07000000000000001</v>
      </c>
      <c r="K186" s="11">
        <f>ROUND(I186+H186,4)</f>
        <v/>
      </c>
    </row>
    <row r="187">
      <c r="A187" s="9" t="n">
        <v>2007</v>
      </c>
      <c r="B187" s="9" t="inlineStr">
        <is>
          <t>CHL</t>
        </is>
      </c>
      <c r="C187" s="9" t="inlineStr">
        <is>
          <t>Chile</t>
        </is>
      </c>
      <c r="D187" s="9" t="inlineStr">
        <is>
          <t>B05_06</t>
        </is>
      </c>
      <c r="E187" s="9" t="n">
        <v>1.9</v>
      </c>
      <c r="F187" s="9" t="n">
        <v>0.9055</v>
      </c>
      <c r="G187" s="9" t="n">
        <v>124.1</v>
      </c>
      <c r="H187" s="9" t="n">
        <v>0.7693</v>
      </c>
      <c r="I187" s="9" t="n">
        <v>0.2307</v>
      </c>
      <c r="J187" s="9" t="n">
        <v>0.3492</v>
      </c>
      <c r="K187" s="11">
        <f>ROUND(I187+H187,4)</f>
        <v/>
      </c>
    </row>
    <row r="188">
      <c r="A188" s="6" t="n">
        <v>2007</v>
      </c>
      <c r="B188" s="6" t="inlineStr">
        <is>
          <t>CHL</t>
        </is>
      </c>
      <c r="C188" s="6" t="inlineStr">
        <is>
          <t>Chile</t>
        </is>
      </c>
      <c r="D188" s="6" t="inlineStr">
        <is>
          <t>B07_08</t>
        </is>
      </c>
      <c r="E188" s="6" t="n">
        <v>34718.2</v>
      </c>
      <c r="F188" s="6" t="n">
        <v>0.908</v>
      </c>
      <c r="G188" s="6" t="n">
        <v>29288.6</v>
      </c>
      <c r="H188" s="6" t="n">
        <v>0.0653</v>
      </c>
      <c r="I188" s="6" t="n">
        <v>0.9347</v>
      </c>
      <c r="J188" s="6" t="n">
        <v>0.8171</v>
      </c>
      <c r="K188" s="11">
        <f>ROUND(I188+H188,4)</f>
        <v/>
      </c>
    </row>
    <row r="189">
      <c r="A189" s="9" t="n">
        <v>2007</v>
      </c>
      <c r="B189" s="9" t="inlineStr">
        <is>
          <t>CHL</t>
        </is>
      </c>
      <c r="C189" s="9" t="inlineStr">
        <is>
          <t>Chile</t>
        </is>
      </c>
      <c r="D189" s="9" t="inlineStr">
        <is>
          <t>B09</t>
        </is>
      </c>
      <c r="E189" s="9" t="n">
        <v>20.1</v>
      </c>
      <c r="F189" s="9" t="n">
        <v>0.9402</v>
      </c>
      <c r="G189" s="9" t="n">
        <v>29.4</v>
      </c>
      <c r="H189" s="9" t="n">
        <v>0.3652</v>
      </c>
      <c r="I189" s="9" t="n">
        <v>0.6348</v>
      </c>
      <c r="J189" s="9" t="n">
        <v>0.2616</v>
      </c>
      <c r="K189" s="11">
        <f>ROUND(I189+H189,4)</f>
        <v/>
      </c>
    </row>
    <row r="190">
      <c r="A190" s="6" t="n">
        <v>2007</v>
      </c>
      <c r="B190" s="6" t="inlineStr">
        <is>
          <t>AUS</t>
        </is>
      </c>
      <c r="C190" s="6" t="inlineStr">
        <is>
          <t>Australia</t>
        </is>
      </c>
      <c r="D190" s="6" t="inlineStr">
        <is>
          <t>B05_06</t>
        </is>
      </c>
      <c r="E190" s="6" t="n">
        <v>28919.2</v>
      </c>
      <c r="F190" s="6" t="n">
        <v>0.9183</v>
      </c>
      <c r="G190" s="6" t="n">
        <v>23363.8</v>
      </c>
      <c r="H190" s="6" t="n">
        <v>0.1331</v>
      </c>
      <c r="I190" s="6" t="n">
        <v>0.8669</v>
      </c>
      <c r="J190" s="6" t="n">
        <v>0.6656</v>
      </c>
      <c r="K190" s="11">
        <f>ROUND(I190+H190,4)</f>
        <v/>
      </c>
    </row>
    <row r="191">
      <c r="A191" s="9" t="n">
        <v>2007</v>
      </c>
      <c r="B191" s="9" t="inlineStr">
        <is>
          <t>AUS</t>
        </is>
      </c>
      <c r="C191" s="9" t="inlineStr">
        <is>
          <t>Australia</t>
        </is>
      </c>
      <c r="D191" s="9" t="inlineStr">
        <is>
          <t>B07_08</t>
        </is>
      </c>
      <c r="E191" s="9" t="n">
        <v>24115.1</v>
      </c>
      <c r="F191" s="9" t="n">
        <v>0.8702</v>
      </c>
      <c r="G191" s="9" t="n">
        <v>20718.7</v>
      </c>
      <c r="H191" s="9" t="n">
        <v>0.3762</v>
      </c>
      <c r="I191" s="9" t="n">
        <v>0.6238</v>
      </c>
      <c r="J191" s="9" t="n">
        <v>0.7745</v>
      </c>
      <c r="K191" s="11">
        <f>ROUND(I191+H191,4)</f>
        <v/>
      </c>
    </row>
    <row r="192">
      <c r="A192" s="6" t="n">
        <v>2007</v>
      </c>
      <c r="B192" s="6" t="inlineStr">
        <is>
          <t>AUS</t>
        </is>
      </c>
      <c r="C192" s="6" t="inlineStr">
        <is>
          <t>Australia</t>
        </is>
      </c>
      <c r="D192" s="6" t="inlineStr">
        <is>
          <t>B09</t>
        </is>
      </c>
      <c r="E192" s="6" t="n">
        <v>77.7</v>
      </c>
      <c r="F192" s="6" t="n">
        <v>0.922</v>
      </c>
      <c r="G192" s="6" t="n">
        <v>2644.5</v>
      </c>
      <c r="H192" s="6" t="n">
        <v>0.2905</v>
      </c>
      <c r="I192" s="6" t="n">
        <v>0.7095</v>
      </c>
      <c r="J192" s="6" t="n">
        <v>0.4316</v>
      </c>
      <c r="K192" s="11">
        <f>ROUND(I192+H192,4)</f>
        <v/>
      </c>
    </row>
    <row r="193">
      <c r="A193" s="9" t="n">
        <v>2007</v>
      </c>
      <c r="B193" s="9" t="inlineStr">
        <is>
          <t>FIN</t>
        </is>
      </c>
      <c r="C193" s="9" t="inlineStr">
        <is>
          <t>Finlandia</t>
        </is>
      </c>
      <c r="D193" s="9" t="inlineStr">
        <is>
          <t>B05_06</t>
        </is>
      </c>
      <c r="E193" s="9" t="n">
        <v>26</v>
      </c>
      <c r="F193" s="9" t="n">
        <v>0.6589</v>
      </c>
      <c r="G193" s="9" t="n">
        <v>87.7</v>
      </c>
      <c r="H193" s="9" t="n">
        <v>0.8754999999999999</v>
      </c>
      <c r="I193" s="9" t="n">
        <v>0.1245</v>
      </c>
      <c r="J193" s="9" t="n">
        <v>0.4934</v>
      </c>
      <c r="K193" s="11">
        <f>ROUND(I193+H193,4)</f>
        <v/>
      </c>
    </row>
    <row r="194">
      <c r="A194" s="6" t="n">
        <v>2007</v>
      </c>
      <c r="B194" s="6" t="inlineStr">
        <is>
          <t>FIN</t>
        </is>
      </c>
      <c r="C194" s="6" t="inlineStr">
        <is>
          <t>Finlandia</t>
        </is>
      </c>
      <c r="D194" s="6" t="inlineStr">
        <is>
          <t>B07_08</t>
        </is>
      </c>
      <c r="E194" s="6" t="n">
        <v>196.9</v>
      </c>
      <c r="F194" s="6" t="n">
        <v>0.6989</v>
      </c>
      <c r="G194" s="6" t="n">
        <v>355</v>
      </c>
      <c r="H194" s="6" t="n">
        <v>0.7554999999999999</v>
      </c>
      <c r="I194" s="6" t="n">
        <v>0.2445</v>
      </c>
      <c r="J194" s="6" t="n">
        <v>0.5854</v>
      </c>
      <c r="K194" s="11">
        <f>ROUND(I194+H194,4)</f>
        <v/>
      </c>
    </row>
    <row r="195">
      <c r="A195" s="9" t="n">
        <v>2007</v>
      </c>
      <c r="B195" s="9" t="inlineStr">
        <is>
          <t>FIN</t>
        </is>
      </c>
      <c r="C195" s="9" t="inlineStr">
        <is>
          <t>Finlandia</t>
        </is>
      </c>
      <c r="D195" s="9" t="inlineStr">
        <is>
          <t>B09</t>
        </is>
      </c>
      <c r="E195" s="9" t="n">
        <v>1.3</v>
      </c>
      <c r="F195" s="9" t="n">
        <v>0.3697</v>
      </c>
      <c r="G195" s="9" t="n">
        <v>-0.7</v>
      </c>
      <c r="H195" s="9" t="n">
        <v>0.5085</v>
      </c>
      <c r="I195" s="9" t="n">
        <v>0.4915</v>
      </c>
      <c r="J195" s="9" t="n">
        <v>0.5168</v>
      </c>
      <c r="K195" s="11">
        <f>ROUND(I195+H195,4)</f>
        <v/>
      </c>
    </row>
    <row r="196">
      <c r="A196" s="6" t="n">
        <v>2007</v>
      </c>
      <c r="B196" s="6" t="inlineStr">
        <is>
          <t>SWE</t>
        </is>
      </c>
      <c r="C196" s="6" t="inlineStr">
        <is>
          <t>Suecia</t>
        </is>
      </c>
      <c r="D196" s="6" t="inlineStr">
        <is>
          <t>B05_06</t>
        </is>
      </c>
      <c r="E196" s="6" t="n">
        <v>8.300000000000001</v>
      </c>
      <c r="F196" s="6" t="n">
        <v>0.5159</v>
      </c>
      <c r="G196" s="6" t="n">
        <v>27.8</v>
      </c>
      <c r="H196" s="6" t="n">
        <v>0.9188</v>
      </c>
      <c r="I196" s="6" t="n">
        <v>0.08119999999999999</v>
      </c>
      <c r="J196" s="6" t="n">
        <v>0.3984</v>
      </c>
      <c r="K196" s="11">
        <f>ROUND(I196+H196,4)</f>
        <v/>
      </c>
    </row>
    <row r="197">
      <c r="A197" s="9" t="n">
        <v>2007</v>
      </c>
      <c r="B197" s="9" t="inlineStr">
        <is>
          <t>SWE</t>
        </is>
      </c>
      <c r="C197" s="9" t="inlineStr">
        <is>
          <t>Suecia</t>
        </is>
      </c>
      <c r="D197" s="9" t="inlineStr">
        <is>
          <t>B07_08</t>
        </is>
      </c>
      <c r="E197" s="9" t="n">
        <v>1155.5</v>
      </c>
      <c r="F197" s="9" t="n">
        <v>0.7698</v>
      </c>
      <c r="G197" s="9" t="n">
        <v>1847.1</v>
      </c>
      <c r="H197" s="9" t="n">
        <v>0.6544</v>
      </c>
      <c r="I197" s="9" t="n">
        <v>0.3456</v>
      </c>
      <c r="J197" s="9" t="n">
        <v>0.7978</v>
      </c>
      <c r="K197" s="11">
        <f>ROUND(I197+H197,4)</f>
        <v/>
      </c>
    </row>
    <row r="198">
      <c r="A198" s="6" t="n">
        <v>2007</v>
      </c>
      <c r="B198" s="6" t="inlineStr">
        <is>
          <t>SWE</t>
        </is>
      </c>
      <c r="C198" s="6" t="inlineStr">
        <is>
          <t>Suecia</t>
        </is>
      </c>
      <c r="D198" s="6" t="inlineStr">
        <is>
          <t>B09</t>
        </is>
      </c>
      <c r="E198" s="6" t="n">
        <v>196.1</v>
      </c>
      <c r="F198" s="6" t="n">
        <v>0.7311</v>
      </c>
      <c r="G198" s="6" t="n">
        <v>88.8</v>
      </c>
      <c r="H198" s="6" t="n">
        <v>0.0204</v>
      </c>
      <c r="I198" s="6" t="n">
        <v>0.9796</v>
      </c>
      <c r="J198" s="6" t="n">
        <v>0.9735</v>
      </c>
      <c r="K198" s="11">
        <f>ROUND(I198+H198,4)</f>
        <v/>
      </c>
    </row>
    <row r="199">
      <c r="A199" s="9" t="n">
        <v>2008</v>
      </c>
      <c r="B199" s="9" t="inlineStr">
        <is>
          <t>MEX</t>
        </is>
      </c>
      <c r="C199" s="9" t="inlineStr">
        <is>
          <t>Mexico</t>
        </is>
      </c>
      <c r="D199" s="9" t="inlineStr">
        <is>
          <t>B05_06</t>
        </is>
      </c>
      <c r="E199" s="9" t="n">
        <v>41373.7</v>
      </c>
      <c r="F199" s="9" t="n">
        <v>0.9651</v>
      </c>
      <c r="G199" s="9" t="n">
        <v>45956.4</v>
      </c>
      <c r="H199" s="9" t="n">
        <v>0.1914</v>
      </c>
      <c r="I199" s="9" t="n">
        <v>0.8086</v>
      </c>
      <c r="J199" s="9" t="n">
        <v>0.5562</v>
      </c>
      <c r="K199" s="11">
        <f>ROUND(I199+H199,4)</f>
        <v/>
      </c>
    </row>
    <row r="200">
      <c r="A200" s="6" t="n">
        <v>2008</v>
      </c>
      <c r="B200" s="6" t="inlineStr">
        <is>
          <t>MEX</t>
        </is>
      </c>
      <c r="C200" s="6" t="inlineStr">
        <is>
          <t>Mexico</t>
        </is>
      </c>
      <c r="D200" s="6" t="inlineStr">
        <is>
          <t>B07_08</t>
        </is>
      </c>
      <c r="E200" s="6" t="n">
        <v>1664.8</v>
      </c>
      <c r="F200" s="6" t="n">
        <v>0.8973</v>
      </c>
      <c r="G200" s="6" t="n">
        <v>3106.5</v>
      </c>
      <c r="H200" s="6" t="n">
        <v>0.6591</v>
      </c>
      <c r="I200" s="6" t="n">
        <v>0.3409</v>
      </c>
      <c r="J200" s="6" t="n">
        <v>0.3872</v>
      </c>
      <c r="K200" s="11">
        <f>ROUND(I200+H200,4)</f>
        <v/>
      </c>
    </row>
    <row r="201">
      <c r="A201" s="9" t="n">
        <v>2008</v>
      </c>
      <c r="B201" s="9" t="inlineStr">
        <is>
          <t>MEX</t>
        </is>
      </c>
      <c r="C201" s="9" t="inlineStr">
        <is>
          <t>Mexico</t>
        </is>
      </c>
      <c r="D201" s="9" t="inlineStr">
        <is>
          <t>B09</t>
        </is>
      </c>
      <c r="E201" s="9" t="n">
        <v>2.8</v>
      </c>
      <c r="F201" s="9" t="n">
        <v>0.8715000000000001</v>
      </c>
      <c r="G201" s="9" t="n">
        <v>422.5</v>
      </c>
      <c r="H201" s="9" t="n">
        <v>0.1943</v>
      </c>
      <c r="I201" s="9" t="n">
        <v>0.8057</v>
      </c>
      <c r="J201" s="9" t="n">
        <v>0.0664</v>
      </c>
      <c r="K201" s="11">
        <f>ROUND(I201+H201,4)</f>
        <v/>
      </c>
    </row>
    <row r="202">
      <c r="A202" s="6" t="n">
        <v>2008</v>
      </c>
      <c r="B202" s="6" t="inlineStr">
        <is>
          <t>CHL</t>
        </is>
      </c>
      <c r="C202" s="6" t="inlineStr">
        <is>
          <t>Chile</t>
        </is>
      </c>
      <c r="D202" s="6" t="inlineStr">
        <is>
          <t>B05_06</t>
        </is>
      </c>
      <c r="E202" s="6" t="n">
        <v>1.5</v>
      </c>
      <c r="F202" s="6" t="n">
        <v>0.836</v>
      </c>
      <c r="G202" s="6" t="n">
        <v>90.59999999999999</v>
      </c>
      <c r="H202" s="6" t="n">
        <v>0.6335</v>
      </c>
      <c r="I202" s="6" t="n">
        <v>0.3665</v>
      </c>
      <c r="J202" s="6" t="n">
        <v>0.3618</v>
      </c>
      <c r="K202" s="11">
        <f>ROUND(I202+H202,4)</f>
        <v/>
      </c>
    </row>
    <row r="203">
      <c r="A203" s="9" t="n">
        <v>2008</v>
      </c>
      <c r="B203" s="9" t="inlineStr">
        <is>
          <t>CHL</t>
        </is>
      </c>
      <c r="C203" s="9" t="inlineStr">
        <is>
          <t>Chile</t>
        </is>
      </c>
      <c r="D203" s="9" t="inlineStr">
        <is>
          <t>B07_08</t>
        </is>
      </c>
      <c r="E203" s="9" t="n">
        <v>33902.3</v>
      </c>
      <c r="F203" s="9" t="n">
        <v>0.7984</v>
      </c>
      <c r="G203" s="9" t="n">
        <v>20505.6</v>
      </c>
      <c r="H203" s="9" t="n">
        <v>0.0487</v>
      </c>
      <c r="I203" s="9" t="n">
        <v>0.9513</v>
      </c>
      <c r="J203" s="9" t="n">
        <v>0.8125</v>
      </c>
      <c r="K203" s="11">
        <f>ROUND(I203+H203,4)</f>
        <v/>
      </c>
    </row>
    <row r="204">
      <c r="A204" s="6" t="n">
        <v>2008</v>
      </c>
      <c r="B204" s="6" t="inlineStr">
        <is>
          <t>CHL</t>
        </is>
      </c>
      <c r="C204" s="6" t="inlineStr">
        <is>
          <t>Chile</t>
        </is>
      </c>
      <c r="D204" s="6" t="inlineStr">
        <is>
          <t>B09</t>
        </is>
      </c>
      <c r="E204" s="6" t="n">
        <v>12.4</v>
      </c>
      <c r="F204" s="6" t="n">
        <v>0.8847</v>
      </c>
      <c r="G204" s="6" t="n">
        <v>17.8</v>
      </c>
      <c r="H204" s="6" t="n">
        <v>0.3954</v>
      </c>
      <c r="I204" s="6" t="n">
        <v>0.6046</v>
      </c>
      <c r="J204" s="6" t="n">
        <v>0.2455</v>
      </c>
      <c r="K204" s="11">
        <f>ROUND(I204+H204,4)</f>
        <v/>
      </c>
    </row>
    <row r="205">
      <c r="A205" s="9" t="n">
        <v>2008</v>
      </c>
      <c r="B205" s="9" t="inlineStr">
        <is>
          <t>AUS</t>
        </is>
      </c>
      <c r="C205" s="9" t="inlineStr">
        <is>
          <t>Australia</t>
        </is>
      </c>
      <c r="D205" s="9" t="inlineStr">
        <is>
          <t>B05_06</t>
        </is>
      </c>
      <c r="E205" s="9" t="n">
        <v>41570.5</v>
      </c>
      <c r="F205" s="9" t="n">
        <v>0.9362</v>
      </c>
      <c r="G205" s="9" t="n">
        <v>39036.2</v>
      </c>
      <c r="H205" s="9" t="n">
        <v>0.1594</v>
      </c>
      <c r="I205" s="9" t="n">
        <v>0.8406</v>
      </c>
      <c r="J205" s="9" t="n">
        <v>0.6608000000000001</v>
      </c>
      <c r="K205" s="11">
        <f>ROUND(I205+H205,4)</f>
        <v/>
      </c>
    </row>
    <row r="206">
      <c r="A206" s="6" t="n">
        <v>2008</v>
      </c>
      <c r="B206" s="6" t="inlineStr">
        <is>
          <t>AUS</t>
        </is>
      </c>
      <c r="C206" s="6" t="inlineStr">
        <is>
          <t>Australia</t>
        </is>
      </c>
      <c r="D206" s="6" t="inlineStr">
        <is>
          <t>B07_08</t>
        </is>
      </c>
      <c r="E206" s="6" t="n">
        <v>30731</v>
      </c>
      <c r="F206" s="6" t="n">
        <v>0.8717</v>
      </c>
      <c r="G206" s="6" t="n">
        <v>23185.8</v>
      </c>
      <c r="H206" s="6" t="n">
        <v>0.3377</v>
      </c>
      <c r="I206" s="6" t="n">
        <v>0.6623</v>
      </c>
      <c r="J206" s="6" t="n">
        <v>0.786</v>
      </c>
      <c r="K206" s="11">
        <f>ROUND(I206+H206,4)</f>
        <v/>
      </c>
    </row>
    <row r="207">
      <c r="A207" s="9" t="n">
        <v>2008</v>
      </c>
      <c r="B207" s="9" t="inlineStr">
        <is>
          <t>AUS</t>
        </is>
      </c>
      <c r="C207" s="9" t="inlineStr">
        <is>
          <t>Australia</t>
        </is>
      </c>
      <c r="D207" s="9" t="inlineStr">
        <is>
          <t>B09</t>
        </is>
      </c>
      <c r="E207" s="9" t="n">
        <v>80.8</v>
      </c>
      <c r="F207" s="9" t="n">
        <v>0.8891</v>
      </c>
      <c r="G207" s="9" t="n">
        <v>2283.8</v>
      </c>
      <c r="H207" s="9" t="n">
        <v>0.2874</v>
      </c>
      <c r="I207" s="9" t="n">
        <v>0.7126</v>
      </c>
      <c r="J207" s="9" t="n">
        <v>0.43</v>
      </c>
      <c r="K207" s="11">
        <f>ROUND(I207+H207,4)</f>
        <v/>
      </c>
    </row>
    <row r="208">
      <c r="A208" s="6" t="n">
        <v>2008</v>
      </c>
      <c r="B208" s="6" t="inlineStr">
        <is>
          <t>FIN</t>
        </is>
      </c>
      <c r="C208" s="6" t="inlineStr">
        <is>
          <t>Finlandia</t>
        </is>
      </c>
      <c r="D208" s="6" t="inlineStr">
        <is>
          <t>B05_06</t>
        </is>
      </c>
      <c r="E208" s="6" t="n">
        <v>29.9</v>
      </c>
      <c r="F208" s="6" t="n">
        <v>0.7423</v>
      </c>
      <c r="G208" s="6" t="n">
        <v>83.59999999999999</v>
      </c>
      <c r="H208" s="6" t="n">
        <v>0.8406</v>
      </c>
      <c r="I208" s="6" t="n">
        <v>0.1594</v>
      </c>
      <c r="J208" s="6" t="n">
        <v>0.3571</v>
      </c>
      <c r="K208" s="11">
        <f>ROUND(I208+H208,4)</f>
        <v/>
      </c>
    </row>
    <row r="209">
      <c r="A209" s="9" t="n">
        <v>2008</v>
      </c>
      <c r="B209" s="9" t="inlineStr">
        <is>
          <t>FIN</t>
        </is>
      </c>
      <c r="C209" s="9" t="inlineStr">
        <is>
          <t>Finlandia</t>
        </is>
      </c>
      <c r="D209" s="9" t="inlineStr">
        <is>
          <t>B07_08</t>
        </is>
      </c>
      <c r="E209" s="9" t="n">
        <v>210.7</v>
      </c>
      <c r="F209" s="9" t="n">
        <v>0.7073</v>
      </c>
      <c r="G209" s="9" t="n">
        <v>428.5</v>
      </c>
      <c r="H209" s="9" t="n">
        <v>0.7999000000000001</v>
      </c>
      <c r="I209" s="9" t="n">
        <v>0.2001</v>
      </c>
      <c r="J209" s="9" t="n">
        <v>0.5759</v>
      </c>
      <c r="K209" s="11">
        <f>ROUND(I209+H209,4)</f>
        <v/>
      </c>
    </row>
    <row r="210">
      <c r="A210" s="6" t="n">
        <v>2008</v>
      </c>
      <c r="B210" s="6" t="inlineStr">
        <is>
          <t>FIN</t>
        </is>
      </c>
      <c r="C210" s="6" t="inlineStr">
        <is>
          <t>Finlandia</t>
        </is>
      </c>
      <c r="D210" s="6" t="inlineStr">
        <is>
          <t>B09</t>
        </is>
      </c>
      <c r="E210" s="6" t="n">
        <v>19.1</v>
      </c>
      <c r="F210" s="6" t="n">
        <v>0.705</v>
      </c>
      <c r="G210" s="6" t="n">
        <v>10</v>
      </c>
      <c r="H210" s="6" t="n">
        <v>0.296</v>
      </c>
      <c r="I210" s="6" t="n">
        <v>0.704</v>
      </c>
      <c r="J210" s="6" t="n">
        <v>0.6997</v>
      </c>
      <c r="K210" s="11">
        <f>ROUND(I210+H210,4)</f>
        <v/>
      </c>
    </row>
    <row r="211">
      <c r="A211" s="9" t="n">
        <v>2008</v>
      </c>
      <c r="B211" s="9" t="inlineStr">
        <is>
          <t>SWE</t>
        </is>
      </c>
      <c r="C211" s="9" t="inlineStr">
        <is>
          <t>Suecia</t>
        </is>
      </c>
      <c r="D211" s="9" t="inlineStr">
        <is>
          <t>B05_06</t>
        </is>
      </c>
      <c r="E211" s="9" t="n">
        <v>13.9</v>
      </c>
      <c r="F211" s="9" t="n">
        <v>0.5328000000000001</v>
      </c>
      <c r="G211" s="9" t="n">
        <v>33</v>
      </c>
      <c r="H211" s="9" t="n">
        <v>0.8872</v>
      </c>
      <c r="I211" s="9" t="n">
        <v>0.1128</v>
      </c>
      <c r="J211" s="9" t="n">
        <v>0.4305</v>
      </c>
      <c r="K211" s="11">
        <f>ROUND(I211+H211,4)</f>
        <v/>
      </c>
    </row>
    <row r="212">
      <c r="A212" s="6" t="n">
        <v>2008</v>
      </c>
      <c r="B212" s="6" t="inlineStr">
        <is>
          <t>SWE</t>
        </is>
      </c>
      <c r="C212" s="6" t="inlineStr">
        <is>
          <t>Suecia</t>
        </is>
      </c>
      <c r="D212" s="6" t="inlineStr">
        <is>
          <t>B07_08</t>
        </is>
      </c>
      <c r="E212" s="6" t="n">
        <v>1353.2</v>
      </c>
      <c r="F212" s="6" t="n">
        <v>0.7876</v>
      </c>
      <c r="G212" s="6" t="n">
        <v>2350.5</v>
      </c>
      <c r="H212" s="6" t="n">
        <v>0.66</v>
      </c>
      <c r="I212" s="6" t="n">
        <v>0.34</v>
      </c>
      <c r="J212" s="6" t="n">
        <v>0.8087</v>
      </c>
      <c r="K212" s="11">
        <f>ROUND(I212+H212,4)</f>
        <v/>
      </c>
    </row>
    <row r="213">
      <c r="A213" s="9" t="n">
        <v>2008</v>
      </c>
      <c r="B213" s="9" t="inlineStr">
        <is>
          <t>SWE</t>
        </is>
      </c>
      <c r="C213" s="9" t="inlineStr">
        <is>
          <t>Suecia</t>
        </is>
      </c>
      <c r="D213" s="9" t="inlineStr">
        <is>
          <t>B09</t>
        </is>
      </c>
      <c r="E213" s="9" t="n">
        <v>248.7</v>
      </c>
      <c r="F213" s="9" t="n">
        <v>0.678</v>
      </c>
      <c r="G213" s="9" t="n">
        <v>93.7</v>
      </c>
      <c r="H213" s="9" t="n">
        <v>0.0688</v>
      </c>
      <c r="I213" s="9" t="n">
        <v>0.9312</v>
      </c>
      <c r="J213" s="9" t="n">
        <v>0.9077</v>
      </c>
      <c r="K213" s="11">
        <f>ROUND(I213+H213,4)</f>
        <v/>
      </c>
    </row>
    <row r="214">
      <c r="A214" s="6" t="n">
        <v>2008</v>
      </c>
      <c r="B214" s="6" t="inlineStr">
        <is>
          <t>CHN</t>
        </is>
      </c>
      <c r="C214" s="6" t="inlineStr">
        <is>
          <t>China</t>
        </is>
      </c>
      <c r="D214" s="6" t="inlineStr">
        <is>
          <t>B05_06</t>
        </is>
      </c>
      <c r="E214" s="6" t="n">
        <v>7123.3</v>
      </c>
      <c r="F214" s="6" t="n">
        <v>0.9137</v>
      </c>
      <c r="G214" s="6" t="n">
        <v>57569.2</v>
      </c>
      <c r="H214" s="6" t="n">
        <v>0.907</v>
      </c>
      <c r="I214" s="6" t="n">
        <v>0.093</v>
      </c>
      <c r="J214" s="6" t="n">
        <v>0.2933</v>
      </c>
      <c r="K214" s="11">
        <f>ROUND(I214+H214,4)</f>
        <v/>
      </c>
    </row>
    <row r="215">
      <c r="A215" s="9" t="n">
        <v>2008</v>
      </c>
      <c r="B215" s="9" t="inlineStr">
        <is>
          <t>CHN</t>
        </is>
      </c>
      <c r="C215" s="9" t="inlineStr">
        <is>
          <t>China</t>
        </is>
      </c>
      <c r="D215" s="9" t="inlineStr">
        <is>
          <t>B07_08</t>
        </is>
      </c>
      <c r="E215" s="9" t="n">
        <v>3110</v>
      </c>
      <c r="F215" s="9" t="n">
        <v>0.8087</v>
      </c>
      <c r="G215" s="9" t="n">
        <v>19573.9</v>
      </c>
      <c r="H215" s="9" t="n">
        <v>0.9209000000000001</v>
      </c>
      <c r="I215" s="9" t="n">
        <v>0.0791</v>
      </c>
      <c r="J215" s="9" t="n">
        <v>0.2969</v>
      </c>
      <c r="K215" s="11">
        <f>ROUND(I215+H215,4)</f>
        <v/>
      </c>
    </row>
    <row r="216">
      <c r="A216" s="6" t="n">
        <v>2008</v>
      </c>
      <c r="B216" s="6" t="inlineStr">
        <is>
          <t>CHN</t>
        </is>
      </c>
      <c r="C216" s="6" t="inlineStr">
        <is>
          <t>China</t>
        </is>
      </c>
      <c r="D216" s="6" t="inlineStr">
        <is>
          <t>B09</t>
        </is>
      </c>
      <c r="E216" s="6" t="n">
        <v>353.7</v>
      </c>
      <c r="F216" s="6" t="n">
        <v>0.8453000000000001</v>
      </c>
      <c r="G216" s="6" t="n">
        <v>1596.1</v>
      </c>
      <c r="H216" s="6" t="n">
        <v>0.8034</v>
      </c>
      <c r="I216" s="6" t="n">
        <v>0.1966</v>
      </c>
      <c r="J216" s="6" t="n">
        <v>0.2634</v>
      </c>
      <c r="K216" s="11">
        <f>ROUND(I216+H216,4)</f>
        <v/>
      </c>
    </row>
    <row r="217">
      <c r="A217" s="9" t="n">
        <v>2008</v>
      </c>
      <c r="B217" s="9" t="inlineStr">
        <is>
          <t>BRA</t>
        </is>
      </c>
      <c r="C217" s="9" t="inlineStr">
        <is>
          <t>Brasil</t>
        </is>
      </c>
      <c r="D217" s="9" t="inlineStr">
        <is>
          <t>B05_06</t>
        </is>
      </c>
      <c r="E217" s="9" t="n">
        <v>13682.8</v>
      </c>
      <c r="F217" s="9" t="n">
        <v>0.8994</v>
      </c>
      <c r="G217" s="9" t="n">
        <v>13169.2</v>
      </c>
      <c r="H217" s="9" t="n">
        <v>0.3634</v>
      </c>
      <c r="I217" s="9" t="n">
        <v>0.6366000000000001</v>
      </c>
      <c r="J217" s="9" t="n">
        <v>0.3411</v>
      </c>
      <c r="K217" s="11">
        <f>ROUND(I217+H217,4)</f>
        <v/>
      </c>
    </row>
    <row r="218">
      <c r="A218" s="6" t="n">
        <v>2008</v>
      </c>
      <c r="B218" s="6" t="inlineStr">
        <is>
          <t>BRA</t>
        </is>
      </c>
      <c r="C218" s="6" t="inlineStr">
        <is>
          <t>Brasil</t>
        </is>
      </c>
      <c r="D218" s="6" t="inlineStr">
        <is>
          <t>B07_08</t>
        </is>
      </c>
      <c r="E218" s="6" t="n">
        <v>16249.9</v>
      </c>
      <c r="F218" s="6" t="n">
        <v>0.826</v>
      </c>
      <c r="G218" s="6" t="n">
        <v>8952.200000000001</v>
      </c>
      <c r="H218" s="6" t="n">
        <v>0.1341</v>
      </c>
      <c r="I218" s="6" t="n">
        <v>0.8659</v>
      </c>
      <c r="J218" s="6" t="n">
        <v>0.6321</v>
      </c>
      <c r="K218" s="11">
        <f>ROUND(I218+H218,4)</f>
        <v/>
      </c>
    </row>
    <row r="219">
      <c r="A219" s="9" t="n">
        <v>2008</v>
      </c>
      <c r="B219" s="9" t="inlineStr">
        <is>
          <t>BRA</t>
        </is>
      </c>
      <c r="C219" s="9" t="inlineStr">
        <is>
          <t>Brasil</t>
        </is>
      </c>
      <c r="D219" s="9" t="inlineStr">
        <is>
          <t>B09</t>
        </is>
      </c>
      <c r="E219" s="9" t="n">
        <v>99.59999999999999</v>
      </c>
      <c r="F219" s="9" t="n">
        <v>0.9303</v>
      </c>
      <c r="G219" s="9" t="n">
        <v>614.4</v>
      </c>
      <c r="H219" s="9" t="n">
        <v>0.3946</v>
      </c>
      <c r="I219" s="9" t="n">
        <v>0.6054</v>
      </c>
      <c r="J219" s="9" t="n">
        <v>0.3059</v>
      </c>
      <c r="K219" s="11">
        <f>ROUND(I219+H219,4)</f>
        <v/>
      </c>
    </row>
    <row r="220">
      <c r="A220" s="6" t="n">
        <v>2008</v>
      </c>
      <c r="B220" s="6" t="inlineStr">
        <is>
          <t>PER</t>
        </is>
      </c>
      <c r="C220" s="6" t="inlineStr">
        <is>
          <t>Peru</t>
        </is>
      </c>
      <c r="D220" s="6" t="inlineStr">
        <is>
          <t>B05_06</t>
        </is>
      </c>
      <c r="E220" s="6" t="n">
        <v>272.9</v>
      </c>
      <c r="F220" s="6" t="n">
        <v>0.888</v>
      </c>
      <c r="G220" s="6" t="n">
        <v>1489.4</v>
      </c>
      <c r="H220" s="6" t="n">
        <v>0.6459</v>
      </c>
      <c r="I220" s="6" t="n">
        <v>0.3541</v>
      </c>
      <c r="J220" s="6" t="n">
        <v>0.4277</v>
      </c>
      <c r="K220" s="11">
        <f>ROUND(I220+H220,4)</f>
        <v/>
      </c>
    </row>
    <row r="221">
      <c r="A221" s="9" t="n">
        <v>2008</v>
      </c>
      <c r="B221" s="9" t="inlineStr">
        <is>
          <t>PER</t>
        </is>
      </c>
      <c r="C221" s="9" t="inlineStr">
        <is>
          <t>Peru</t>
        </is>
      </c>
      <c r="D221" s="9" t="inlineStr">
        <is>
          <t>B07_08</t>
        </is>
      </c>
      <c r="E221" s="9" t="n">
        <v>13856.9</v>
      </c>
      <c r="F221" s="9" t="n">
        <v>0.8492</v>
      </c>
      <c r="G221" s="9" t="n">
        <v>9676.299999999999</v>
      </c>
      <c r="H221" s="9" t="n">
        <v>0.0815</v>
      </c>
      <c r="I221" s="9" t="n">
        <v>0.9185</v>
      </c>
      <c r="J221" s="9" t="n">
        <v>0.8971</v>
      </c>
      <c r="K221" s="11">
        <f>ROUND(I221+H221,4)</f>
        <v/>
      </c>
    </row>
    <row r="222">
      <c r="A222" s="6" t="n">
        <v>2008</v>
      </c>
      <c r="B222" s="6" t="inlineStr">
        <is>
          <t>PER</t>
        </is>
      </c>
      <c r="C222" s="6" t="inlineStr">
        <is>
          <t>Peru</t>
        </is>
      </c>
      <c r="D222" s="6" t="inlineStr">
        <is>
          <t>B09</t>
        </is>
      </c>
      <c r="E222" s="6" t="n">
        <v>2.2</v>
      </c>
      <c r="F222" s="6" t="n">
        <v>0.9072</v>
      </c>
      <c r="G222" s="6" t="n">
        <v>346</v>
      </c>
      <c r="H222" s="6" t="n">
        <v>0.3022</v>
      </c>
      <c r="I222" s="6" t="n">
        <v>0.6978</v>
      </c>
      <c r="J222" s="6" t="n">
        <v>0.365</v>
      </c>
      <c r="K222" s="11">
        <f>ROUND(I222+H222,4)</f>
        <v/>
      </c>
    </row>
    <row r="223">
      <c r="A223" s="9" t="n">
        <v>2009</v>
      </c>
      <c r="B223" s="9" t="inlineStr">
        <is>
          <t>MEX</t>
        </is>
      </c>
      <c r="C223" s="9" t="inlineStr">
        <is>
          <t>Mexico</t>
        </is>
      </c>
      <c r="D223" s="9" t="inlineStr">
        <is>
          <t>B05_06</t>
        </is>
      </c>
      <c r="E223" s="9" t="n">
        <v>25218.8</v>
      </c>
      <c r="F223" s="9" t="n">
        <v>0.9631</v>
      </c>
      <c r="G223" s="9" t="n">
        <v>27527.1</v>
      </c>
      <c r="H223" s="9" t="n">
        <v>0.1843</v>
      </c>
      <c r="I223" s="9" t="n">
        <v>0.8157</v>
      </c>
      <c r="J223" s="9" t="n">
        <v>0.585</v>
      </c>
      <c r="K223" s="11">
        <f>ROUND(I223+H223,4)</f>
        <v/>
      </c>
    </row>
    <row r="224">
      <c r="A224" s="6" t="n">
        <v>2009</v>
      </c>
      <c r="B224" s="6" t="inlineStr">
        <is>
          <t>MEX</t>
        </is>
      </c>
      <c r="C224" s="6" t="inlineStr">
        <is>
          <t>Mexico</t>
        </is>
      </c>
      <c r="D224" s="6" t="inlineStr">
        <is>
          <t>B07_08</t>
        </is>
      </c>
      <c r="E224" s="6" t="n">
        <v>1664.3</v>
      </c>
      <c r="F224" s="6" t="n">
        <v>0.9046999999999999</v>
      </c>
      <c r="G224" s="6" t="n">
        <v>3057.7</v>
      </c>
      <c r="H224" s="6" t="n">
        <v>0.6257</v>
      </c>
      <c r="I224" s="6" t="n">
        <v>0.3743</v>
      </c>
      <c r="J224" s="6" t="n">
        <v>0.4459</v>
      </c>
      <c r="K224" s="11">
        <f>ROUND(I224+H224,4)</f>
        <v/>
      </c>
    </row>
    <row r="225">
      <c r="A225" s="9" t="n">
        <v>2009</v>
      </c>
      <c r="B225" s="9" t="inlineStr">
        <is>
          <t>MEX</t>
        </is>
      </c>
      <c r="C225" s="9" t="inlineStr">
        <is>
          <t>Mexico</t>
        </is>
      </c>
      <c r="D225" s="9" t="inlineStr">
        <is>
          <t>B09</t>
        </is>
      </c>
      <c r="E225" s="9" t="n">
        <v>3.9</v>
      </c>
      <c r="F225" s="9" t="n">
        <v>0.8662</v>
      </c>
      <c r="G225" s="9" t="n">
        <v>339.4</v>
      </c>
      <c r="H225" s="9" t="n">
        <v>0.208</v>
      </c>
      <c r="I225" s="9" t="n">
        <v>0.792</v>
      </c>
      <c r="J225" s="9" t="n">
        <v>0.0606</v>
      </c>
      <c r="K225" s="11">
        <f>ROUND(I225+H225,4)</f>
        <v/>
      </c>
    </row>
    <row r="226">
      <c r="A226" s="6" t="n">
        <v>2009</v>
      </c>
      <c r="B226" s="6" t="inlineStr">
        <is>
          <t>CHL</t>
        </is>
      </c>
      <c r="C226" s="6" t="inlineStr">
        <is>
          <t>Chile</t>
        </is>
      </c>
      <c r="D226" s="6" t="inlineStr">
        <is>
          <t>B05_06</t>
        </is>
      </c>
      <c r="E226" s="6" t="n">
        <v>1.9</v>
      </c>
      <c r="F226" s="6" t="n">
        <v>0.867</v>
      </c>
      <c r="G226" s="6" t="n">
        <v>73.5</v>
      </c>
      <c r="H226" s="6" t="n">
        <v>0.574</v>
      </c>
      <c r="I226" s="6" t="n">
        <v>0.426</v>
      </c>
      <c r="J226" s="6" t="n">
        <v>0.3282</v>
      </c>
      <c r="K226" s="11">
        <f>ROUND(I226+H226,4)</f>
        <v/>
      </c>
    </row>
    <row r="227">
      <c r="A227" s="9" t="n">
        <v>2009</v>
      </c>
      <c r="B227" s="9" t="inlineStr">
        <is>
          <t>CHL</t>
        </is>
      </c>
      <c r="C227" s="9" t="inlineStr">
        <is>
          <t>Chile</t>
        </is>
      </c>
      <c r="D227" s="9" t="inlineStr">
        <is>
          <t>B07_08</t>
        </is>
      </c>
      <c r="E227" s="9" t="n">
        <v>30860.1</v>
      </c>
      <c r="F227" s="9" t="n">
        <v>0.8435</v>
      </c>
      <c r="G227" s="9" t="n">
        <v>19056.9</v>
      </c>
      <c r="H227" s="9" t="n">
        <v>0.0406</v>
      </c>
      <c r="I227" s="9" t="n">
        <v>0.9594</v>
      </c>
      <c r="J227" s="9" t="n">
        <v>0.844</v>
      </c>
      <c r="K227" s="11">
        <f>ROUND(I227+H227,4)</f>
        <v/>
      </c>
    </row>
    <row r="228">
      <c r="A228" s="6" t="n">
        <v>2009</v>
      </c>
      <c r="B228" s="6" t="inlineStr">
        <is>
          <t>CHL</t>
        </is>
      </c>
      <c r="C228" s="6" t="inlineStr">
        <is>
          <t>Chile</t>
        </is>
      </c>
      <c r="D228" s="6" t="inlineStr">
        <is>
          <t>B09</t>
        </is>
      </c>
      <c r="E228" s="6" t="n">
        <v>10.7</v>
      </c>
      <c r="F228" s="6" t="n">
        <v>0.876</v>
      </c>
      <c r="G228" s="6" t="n">
        <v>14.9</v>
      </c>
      <c r="H228" s="6" t="n">
        <v>0.4246</v>
      </c>
      <c r="I228" s="6" t="n">
        <v>0.5754</v>
      </c>
      <c r="J228" s="6" t="n">
        <v>0.2581</v>
      </c>
      <c r="K228" s="11">
        <f>ROUND(I228+H228,4)</f>
        <v/>
      </c>
    </row>
    <row r="229">
      <c r="A229" s="9" t="n">
        <v>2009</v>
      </c>
      <c r="B229" s="9" t="inlineStr">
        <is>
          <t>AUS</t>
        </is>
      </c>
      <c r="C229" s="9" t="inlineStr">
        <is>
          <t>Australia</t>
        </is>
      </c>
      <c r="D229" s="9" t="inlineStr">
        <is>
          <t>B05_06</t>
        </is>
      </c>
      <c r="E229" s="9" t="n">
        <v>34120.7</v>
      </c>
      <c r="F229" s="9" t="n">
        <v>0.8981</v>
      </c>
      <c r="G229" s="9" t="n">
        <v>23969.3</v>
      </c>
      <c r="H229" s="9" t="n">
        <v>0.143</v>
      </c>
      <c r="I229" s="9" t="n">
        <v>0.857</v>
      </c>
      <c r="J229" s="9" t="n">
        <v>0.6895</v>
      </c>
      <c r="K229" s="11">
        <f>ROUND(I229+H229,4)</f>
        <v/>
      </c>
    </row>
    <row r="230">
      <c r="A230" s="6" t="n">
        <v>2009</v>
      </c>
      <c r="B230" s="6" t="inlineStr">
        <is>
          <t>AUS</t>
        </is>
      </c>
      <c r="C230" s="6" t="inlineStr">
        <is>
          <t>Australia</t>
        </is>
      </c>
      <c r="D230" s="6" t="inlineStr">
        <is>
          <t>B07_08</t>
        </is>
      </c>
      <c r="E230" s="6" t="n">
        <v>36469.3</v>
      </c>
      <c r="F230" s="6" t="n">
        <v>0.882</v>
      </c>
      <c r="G230" s="6" t="n">
        <v>27441.9</v>
      </c>
      <c r="H230" s="6" t="n">
        <v>0.2678</v>
      </c>
      <c r="I230" s="6" t="n">
        <v>0.7322</v>
      </c>
      <c r="J230" s="6" t="n">
        <v>0.8167</v>
      </c>
      <c r="K230" s="11">
        <f>ROUND(I230+H230,4)</f>
        <v/>
      </c>
    </row>
    <row r="231">
      <c r="A231" s="9" t="n">
        <v>2009</v>
      </c>
      <c r="B231" s="9" t="inlineStr">
        <is>
          <t>AUS</t>
        </is>
      </c>
      <c r="C231" s="9" t="inlineStr">
        <is>
          <t>Australia</t>
        </is>
      </c>
      <c r="D231" s="9" t="inlineStr">
        <is>
          <t>B09</t>
        </is>
      </c>
      <c r="E231" s="9" t="n">
        <v>70.3</v>
      </c>
      <c r="F231" s="9" t="n">
        <v>0.9137</v>
      </c>
      <c r="G231" s="9" t="n">
        <v>2794.1</v>
      </c>
      <c r="H231" s="9" t="n">
        <v>0.2305</v>
      </c>
      <c r="I231" s="9" t="n">
        <v>0.7695</v>
      </c>
      <c r="J231" s="9" t="n">
        <v>0.4516</v>
      </c>
      <c r="K231" s="11">
        <f>ROUND(I231+H231,4)</f>
        <v/>
      </c>
    </row>
    <row r="232">
      <c r="A232" s="6" t="n">
        <v>2009</v>
      </c>
      <c r="B232" s="6" t="inlineStr">
        <is>
          <t>FIN</t>
        </is>
      </c>
      <c r="C232" s="6" t="inlineStr">
        <is>
          <t>Finlandia</t>
        </is>
      </c>
      <c r="D232" s="6" t="inlineStr">
        <is>
          <t>B05_06</t>
        </is>
      </c>
      <c r="E232" s="6" t="n">
        <v>26.3</v>
      </c>
      <c r="F232" s="6" t="n">
        <v>0.7176</v>
      </c>
      <c r="G232" s="6" t="n">
        <v>60.2</v>
      </c>
      <c r="H232" s="6" t="n">
        <v>0.8228</v>
      </c>
      <c r="I232" s="6" t="n">
        <v>0.1772</v>
      </c>
      <c r="J232" s="6" t="n">
        <v>0.3283</v>
      </c>
      <c r="K232" s="11">
        <f>ROUND(I232+H232,4)</f>
        <v/>
      </c>
    </row>
    <row r="233">
      <c r="A233" s="9" t="n">
        <v>2009</v>
      </c>
      <c r="B233" s="9" t="inlineStr">
        <is>
          <t>FIN</t>
        </is>
      </c>
      <c r="C233" s="9" t="inlineStr">
        <is>
          <t>Finlandia</t>
        </is>
      </c>
      <c r="D233" s="9" t="inlineStr">
        <is>
          <t>B07_08</t>
        </is>
      </c>
      <c r="E233" s="9" t="n">
        <v>151.1</v>
      </c>
      <c r="F233" s="9" t="n">
        <v>0.6968</v>
      </c>
      <c r="G233" s="9" t="n">
        <v>323.4</v>
      </c>
      <c r="H233" s="9" t="n">
        <v>0.806</v>
      </c>
      <c r="I233" s="9" t="n">
        <v>0.194</v>
      </c>
      <c r="J233" s="9" t="n">
        <v>0.4862</v>
      </c>
      <c r="K233" s="11">
        <f>ROUND(I233+H233,4)</f>
        <v/>
      </c>
    </row>
    <row r="234">
      <c r="A234" s="6" t="n">
        <v>2009</v>
      </c>
      <c r="B234" s="6" t="inlineStr">
        <is>
          <t>FIN</t>
        </is>
      </c>
      <c r="C234" s="6" t="inlineStr">
        <is>
          <t>Finlandia</t>
        </is>
      </c>
      <c r="D234" s="6" t="inlineStr">
        <is>
          <t>B09</t>
        </is>
      </c>
      <c r="E234" s="6" t="n">
        <v>15</v>
      </c>
      <c r="F234" s="6" t="n">
        <v>0.8911</v>
      </c>
      <c r="G234" s="6" t="n">
        <v>17</v>
      </c>
      <c r="H234" s="6" t="n">
        <v>0.3122</v>
      </c>
      <c r="I234" s="6" t="n">
        <v>0.6878</v>
      </c>
      <c r="J234" s="6" t="n">
        <v>0.6486</v>
      </c>
      <c r="K234" s="11">
        <f>ROUND(I234+H234,4)</f>
        <v/>
      </c>
    </row>
    <row r="235">
      <c r="A235" s="9" t="n">
        <v>2009</v>
      </c>
      <c r="B235" s="9" t="inlineStr">
        <is>
          <t>SWE</t>
        </is>
      </c>
      <c r="C235" s="9" t="inlineStr">
        <is>
          <t>Suecia</t>
        </is>
      </c>
      <c r="D235" s="9" t="inlineStr">
        <is>
          <t>B05_06</t>
        </is>
      </c>
      <c r="E235" s="9" t="n">
        <v>8.1</v>
      </c>
      <c r="F235" s="9" t="n">
        <v>0.6514</v>
      </c>
      <c r="G235" s="9" t="n">
        <v>35.1</v>
      </c>
      <c r="H235" s="9" t="n">
        <v>0.9276</v>
      </c>
      <c r="I235" s="9" t="n">
        <v>0.07240000000000001</v>
      </c>
      <c r="J235" s="9" t="n">
        <v>0.5558999999999999</v>
      </c>
      <c r="K235" s="11">
        <f>ROUND(I235+H235,4)</f>
        <v/>
      </c>
    </row>
    <row r="236">
      <c r="A236" s="6" t="n">
        <v>2009</v>
      </c>
      <c r="B236" s="6" t="inlineStr">
        <is>
          <t>SWE</t>
        </is>
      </c>
      <c r="C236" s="6" t="inlineStr">
        <is>
          <t>Suecia</t>
        </is>
      </c>
      <c r="D236" s="6" t="inlineStr">
        <is>
          <t>B07_08</t>
        </is>
      </c>
      <c r="E236" s="6" t="n">
        <v>808.2</v>
      </c>
      <c r="F236" s="6" t="n">
        <v>0.7741</v>
      </c>
      <c r="G236" s="6" t="n">
        <v>942.6</v>
      </c>
      <c r="H236" s="6" t="n">
        <v>0.5766</v>
      </c>
      <c r="I236" s="6" t="n">
        <v>0.4234</v>
      </c>
      <c r="J236" s="6" t="n">
        <v>0.7388</v>
      </c>
      <c r="K236" s="11">
        <f>ROUND(I236+H236,4)</f>
        <v/>
      </c>
    </row>
    <row r="237">
      <c r="A237" s="9" t="n">
        <v>2009</v>
      </c>
      <c r="B237" s="9" t="inlineStr">
        <is>
          <t>SWE</t>
        </is>
      </c>
      <c r="C237" s="9" t="inlineStr">
        <is>
          <t>Suecia</t>
        </is>
      </c>
      <c r="D237" s="9" t="inlineStr">
        <is>
          <t>B09</t>
        </is>
      </c>
      <c r="E237" s="9" t="n">
        <v>189.8</v>
      </c>
      <c r="F237" s="9" t="n">
        <v>0.7935</v>
      </c>
      <c r="G237" s="9" t="n">
        <v>110.3</v>
      </c>
      <c r="H237" s="9" t="n">
        <v>0.1558</v>
      </c>
      <c r="I237" s="9" t="n">
        <v>0.8442</v>
      </c>
      <c r="J237" s="9" t="n">
        <v>0.8285</v>
      </c>
      <c r="K237" s="11">
        <f>ROUND(I237+H237,4)</f>
        <v/>
      </c>
    </row>
    <row r="238">
      <c r="A238" s="6" t="n">
        <v>2010</v>
      </c>
      <c r="B238" s="6" t="inlineStr">
        <is>
          <t>MEX</t>
        </is>
      </c>
      <c r="C238" s="6" t="inlineStr">
        <is>
          <t>Mexico</t>
        </is>
      </c>
      <c r="D238" s="6" t="inlineStr">
        <is>
          <t>B05_06</t>
        </is>
      </c>
      <c r="E238" s="6" t="n">
        <v>34583.7</v>
      </c>
      <c r="F238" s="6" t="n">
        <v>0.9616</v>
      </c>
      <c r="G238" s="6" t="n">
        <v>36959.6</v>
      </c>
      <c r="H238" s="6" t="n">
        <v>0.1667</v>
      </c>
      <c r="I238" s="6" t="n">
        <v>0.8333</v>
      </c>
      <c r="J238" s="6" t="n">
        <v>0.6011</v>
      </c>
      <c r="K238" s="11">
        <f>ROUND(I238+H238,4)</f>
        <v/>
      </c>
    </row>
    <row r="239">
      <c r="A239" s="9" t="n">
        <v>2010</v>
      </c>
      <c r="B239" s="9" t="inlineStr">
        <is>
          <t>MEX</t>
        </is>
      </c>
      <c r="C239" s="9" t="inlineStr">
        <is>
          <t>Mexico</t>
        </is>
      </c>
      <c r="D239" s="9" t="inlineStr">
        <is>
          <t>B07_08</t>
        </is>
      </c>
      <c r="E239" s="9" t="n">
        <v>2053.3</v>
      </c>
      <c r="F239" s="9" t="n">
        <v>0.9073</v>
      </c>
      <c r="G239" s="9" t="n">
        <v>4581</v>
      </c>
      <c r="H239" s="9" t="n">
        <v>0.6802</v>
      </c>
      <c r="I239" s="9" t="n">
        <v>0.3198</v>
      </c>
      <c r="J239" s="9" t="n">
        <v>0.4727</v>
      </c>
      <c r="K239" s="11">
        <f>ROUND(I239+H239,4)</f>
        <v/>
      </c>
    </row>
    <row r="240">
      <c r="A240" s="6" t="n">
        <v>2010</v>
      </c>
      <c r="B240" s="6" t="inlineStr">
        <is>
          <t>MEX</t>
        </is>
      </c>
      <c r="C240" s="6" t="inlineStr">
        <is>
          <t>Mexico</t>
        </is>
      </c>
      <c r="D240" s="6" t="inlineStr">
        <is>
          <t>B09</t>
        </is>
      </c>
      <c r="E240" s="6" t="n">
        <v>5.8</v>
      </c>
      <c r="F240" s="6" t="n">
        <v>0.861</v>
      </c>
      <c r="G240" s="6" t="n">
        <v>421.4</v>
      </c>
      <c r="H240" s="6" t="n">
        <v>0.2101</v>
      </c>
      <c r="I240" s="6" t="n">
        <v>0.7899</v>
      </c>
      <c r="J240" s="6" t="n">
        <v>0.06560000000000001</v>
      </c>
      <c r="K240" s="11">
        <f>ROUND(I240+H240,4)</f>
        <v/>
      </c>
    </row>
    <row r="241">
      <c r="A241" s="9" t="n">
        <v>2010</v>
      </c>
      <c r="B241" s="9" t="inlineStr">
        <is>
          <t>CHL</t>
        </is>
      </c>
      <c r="C241" s="9" t="inlineStr">
        <is>
          <t>Chile</t>
        </is>
      </c>
      <c r="D241" s="9" t="inlineStr">
        <is>
          <t>B05_06</t>
        </is>
      </c>
      <c r="E241" s="9" t="n">
        <v>4.1</v>
      </c>
      <c r="F241" s="9" t="n">
        <v>0.8621</v>
      </c>
      <c r="G241" s="9" t="n">
        <v>105.6</v>
      </c>
      <c r="H241" s="9" t="n">
        <v>0.531</v>
      </c>
      <c r="I241" s="9" t="n">
        <v>0.469</v>
      </c>
      <c r="J241" s="9" t="n">
        <v>0.3045</v>
      </c>
      <c r="K241" s="11">
        <f>ROUND(I241+H241,4)</f>
        <v/>
      </c>
    </row>
    <row r="242">
      <c r="A242" s="6" t="n">
        <v>2010</v>
      </c>
      <c r="B242" s="6" t="inlineStr">
        <is>
          <t>CHL</t>
        </is>
      </c>
      <c r="C242" s="6" t="inlineStr">
        <is>
          <t>Chile</t>
        </is>
      </c>
      <c r="D242" s="6" t="inlineStr">
        <is>
          <t>B07_08</t>
        </is>
      </c>
      <c r="E242" s="6" t="n">
        <v>42921.3</v>
      </c>
      <c r="F242" s="6" t="n">
        <v>0.8703</v>
      </c>
      <c r="G242" s="6" t="n">
        <v>29780.8</v>
      </c>
      <c r="H242" s="6" t="n">
        <v>0.0294</v>
      </c>
      <c r="I242" s="6" t="n">
        <v>0.9706</v>
      </c>
      <c r="J242" s="6" t="n">
        <v>0.8515</v>
      </c>
      <c r="K242" s="11">
        <f>ROUND(I242+H242,4)</f>
        <v/>
      </c>
    </row>
    <row r="243">
      <c r="A243" s="9" t="n">
        <v>2010</v>
      </c>
      <c r="B243" s="9" t="inlineStr">
        <is>
          <t>CHL</t>
        </is>
      </c>
      <c r="C243" s="9" t="inlineStr">
        <is>
          <t>Chile</t>
        </is>
      </c>
      <c r="D243" s="9" t="inlineStr">
        <is>
          <t>B09</t>
        </is>
      </c>
      <c r="E243" s="9" t="n">
        <v>15.6</v>
      </c>
      <c r="F243" s="9" t="n">
        <v>0.8881</v>
      </c>
      <c r="G243" s="9" t="n">
        <v>23.9</v>
      </c>
      <c r="H243" s="9" t="n">
        <v>0.4391</v>
      </c>
      <c r="I243" s="9" t="n">
        <v>0.5609</v>
      </c>
      <c r="J243" s="9" t="n">
        <v>0.2627</v>
      </c>
      <c r="K243" s="11">
        <f>ROUND(I243+H243,4)</f>
        <v/>
      </c>
    </row>
    <row r="244">
      <c r="A244" s="6" t="n">
        <v>2010</v>
      </c>
      <c r="B244" s="6" t="inlineStr">
        <is>
          <t>AUS</t>
        </is>
      </c>
      <c r="C244" s="6" t="inlineStr">
        <is>
          <t>Australia</t>
        </is>
      </c>
      <c r="D244" s="6" t="inlineStr">
        <is>
          <t>B05_06</t>
        </is>
      </c>
      <c r="E244" s="6" t="n">
        <v>46002.2</v>
      </c>
      <c r="F244" s="6" t="n">
        <v>0.8965</v>
      </c>
      <c r="G244" s="6" t="n">
        <v>30119.1</v>
      </c>
      <c r="H244" s="6" t="n">
        <v>0.0954</v>
      </c>
      <c r="I244" s="6" t="n">
        <v>0.9046</v>
      </c>
      <c r="J244" s="6" t="n">
        <v>0.6495</v>
      </c>
      <c r="K244" s="11">
        <f>ROUND(I244+H244,4)</f>
        <v/>
      </c>
    </row>
    <row r="245">
      <c r="A245" s="9" t="n">
        <v>2010</v>
      </c>
      <c r="B245" s="9" t="inlineStr">
        <is>
          <t>AUS</t>
        </is>
      </c>
      <c r="C245" s="9" t="inlineStr">
        <is>
          <t>Australia</t>
        </is>
      </c>
      <c r="D245" s="9" t="inlineStr">
        <is>
          <t>B07_08</t>
        </is>
      </c>
      <c r="E245" s="9" t="n">
        <v>50015</v>
      </c>
      <c r="F245" s="9" t="n">
        <v>0.9078000000000001</v>
      </c>
      <c r="G245" s="9" t="n">
        <v>48094.9</v>
      </c>
      <c r="H245" s="9" t="n">
        <v>0.3282</v>
      </c>
      <c r="I245" s="9" t="n">
        <v>0.6718</v>
      </c>
      <c r="J245" s="9" t="n">
        <v>0.7634</v>
      </c>
      <c r="K245" s="11">
        <f>ROUND(I245+H245,4)</f>
        <v/>
      </c>
    </row>
    <row r="246">
      <c r="A246" s="6" t="n">
        <v>2010</v>
      </c>
      <c r="B246" s="6" t="inlineStr">
        <is>
          <t>AUS</t>
        </is>
      </c>
      <c r="C246" s="6" t="inlineStr">
        <is>
          <t>Australia</t>
        </is>
      </c>
      <c r="D246" s="6" t="inlineStr">
        <is>
          <t>B09</t>
        </is>
      </c>
      <c r="E246" s="6" t="n">
        <v>120.6</v>
      </c>
      <c r="F246" s="6" t="n">
        <v>0.9141</v>
      </c>
      <c r="G246" s="6" t="n">
        <v>3273.5</v>
      </c>
      <c r="H246" s="6" t="n">
        <v>0.2351</v>
      </c>
      <c r="I246" s="6" t="n">
        <v>0.7649</v>
      </c>
      <c r="J246" s="6" t="n">
        <v>0.439</v>
      </c>
      <c r="K246" s="11">
        <f>ROUND(I246+H246,4)</f>
        <v/>
      </c>
    </row>
    <row r="247">
      <c r="A247" s="9" t="n">
        <v>2010</v>
      </c>
      <c r="B247" s="9" t="inlineStr">
        <is>
          <t>FIN</t>
        </is>
      </c>
      <c r="C247" s="9" t="inlineStr">
        <is>
          <t>Finlandia</t>
        </is>
      </c>
      <c r="D247" s="9" t="inlineStr">
        <is>
          <t>B05_06</t>
        </is>
      </c>
      <c r="E247" s="9" t="n">
        <v>18.3</v>
      </c>
      <c r="F247" s="9" t="n">
        <v>0.6876</v>
      </c>
      <c r="G247" s="9" t="n">
        <v>90.59999999999999</v>
      </c>
      <c r="H247" s="9" t="n">
        <v>0.912</v>
      </c>
      <c r="I247" s="9" t="n">
        <v>0.08799999999999999</v>
      </c>
      <c r="J247" s="9" t="n">
        <v>0.3638</v>
      </c>
      <c r="K247" s="11">
        <f>ROUND(I247+H247,4)</f>
        <v/>
      </c>
    </row>
    <row r="248">
      <c r="A248" s="6" t="n">
        <v>2010</v>
      </c>
      <c r="B248" s="6" t="inlineStr">
        <is>
          <t>FIN</t>
        </is>
      </c>
      <c r="C248" s="6" t="inlineStr">
        <is>
          <t>Finlandia</t>
        </is>
      </c>
      <c r="D248" s="6" t="inlineStr">
        <is>
          <t>B07_08</t>
        </is>
      </c>
      <c r="E248" s="6" t="n">
        <v>246.1</v>
      </c>
      <c r="F248" s="6" t="n">
        <v>0.6632</v>
      </c>
      <c r="G248" s="6" t="n">
        <v>436.7</v>
      </c>
      <c r="H248" s="6" t="n">
        <v>0.76</v>
      </c>
      <c r="I248" s="6" t="n">
        <v>0.24</v>
      </c>
      <c r="J248" s="6" t="n">
        <v>0.5313</v>
      </c>
      <c r="K248" s="11">
        <f>ROUND(I248+H248,4)</f>
        <v/>
      </c>
    </row>
    <row r="249">
      <c r="A249" s="9" t="n">
        <v>2010</v>
      </c>
      <c r="B249" s="9" t="inlineStr">
        <is>
          <t>FIN</t>
        </is>
      </c>
      <c r="C249" s="9" t="inlineStr">
        <is>
          <t>Finlandia</t>
        </is>
      </c>
      <c r="D249" s="9" t="inlineStr">
        <is>
          <t>B09</t>
        </is>
      </c>
      <c r="E249" s="9" t="n">
        <v>8.4</v>
      </c>
      <c r="F249" s="9" t="n">
        <v>0.7198</v>
      </c>
      <c r="G249" s="9" t="n">
        <v>13</v>
      </c>
      <c r="H249" s="9" t="n">
        <v>0.6682</v>
      </c>
      <c r="I249" s="9" t="n">
        <v>0.3318</v>
      </c>
      <c r="J249" s="9" t="n">
        <v>0.5113</v>
      </c>
      <c r="K249" s="11">
        <f>ROUND(I249+H249,4)</f>
        <v/>
      </c>
    </row>
    <row r="250">
      <c r="A250" s="6" t="n">
        <v>2010</v>
      </c>
      <c r="B250" s="6" t="inlineStr">
        <is>
          <t>SWE</t>
        </is>
      </c>
      <c r="C250" s="6" t="inlineStr">
        <is>
          <t>Suecia</t>
        </is>
      </c>
      <c r="D250" s="6" t="inlineStr">
        <is>
          <t>B05_06</t>
        </is>
      </c>
      <c r="E250" s="6" t="n">
        <v>17.7</v>
      </c>
      <c r="F250" s="6" t="n">
        <v>0.6579</v>
      </c>
      <c r="G250" s="6" t="n">
        <v>49.5</v>
      </c>
      <c r="H250" s="6" t="n">
        <v>0.887</v>
      </c>
      <c r="I250" s="6" t="n">
        <v>0.113</v>
      </c>
      <c r="J250" s="6" t="n">
        <v>0.5286</v>
      </c>
      <c r="K250" s="11">
        <f>ROUND(I250+H250,4)</f>
        <v/>
      </c>
    </row>
    <row r="251">
      <c r="A251" s="9" t="n">
        <v>2010</v>
      </c>
      <c r="B251" s="9" t="inlineStr">
        <is>
          <t>SWE</t>
        </is>
      </c>
      <c r="C251" s="9" t="inlineStr">
        <is>
          <t>Suecia</t>
        </is>
      </c>
      <c r="D251" s="9" t="inlineStr">
        <is>
          <t>B07_08</t>
        </is>
      </c>
      <c r="E251" s="9" t="n">
        <v>2095.8</v>
      </c>
      <c r="F251" s="9" t="n">
        <v>0.829</v>
      </c>
      <c r="G251" s="9" t="n">
        <v>2704.2</v>
      </c>
      <c r="H251" s="9" t="n">
        <v>0.5159</v>
      </c>
      <c r="I251" s="9" t="n">
        <v>0.4841</v>
      </c>
      <c r="J251" s="9" t="n">
        <v>0.7745</v>
      </c>
      <c r="K251" s="11">
        <f>ROUND(I251+H251,4)</f>
        <v/>
      </c>
    </row>
    <row r="252">
      <c r="A252" s="6" t="n">
        <v>2010</v>
      </c>
      <c r="B252" s="6" t="inlineStr">
        <is>
          <t>SWE</t>
        </is>
      </c>
      <c r="C252" s="6" t="inlineStr">
        <is>
          <t>Suecia</t>
        </is>
      </c>
      <c r="D252" s="6" t="inlineStr">
        <is>
          <t>B09</t>
        </is>
      </c>
      <c r="E252" s="6" t="n">
        <v>191</v>
      </c>
      <c r="F252" s="6" t="n">
        <v>0.8262</v>
      </c>
      <c r="G252" s="6" t="n">
        <v>127.5</v>
      </c>
      <c r="H252" s="6" t="n">
        <v>0.137</v>
      </c>
      <c r="I252" s="6" t="n">
        <v>0.863</v>
      </c>
      <c r="J252" s="6" t="n">
        <v>0.8334</v>
      </c>
      <c r="K252" s="11">
        <f>ROUND(I252+H252,4)</f>
        <v/>
      </c>
    </row>
    <row r="253">
      <c r="A253" s="9" t="n">
        <v>2011</v>
      </c>
      <c r="B253" s="9" t="inlineStr">
        <is>
          <t>MEX</t>
        </is>
      </c>
      <c r="C253" s="9" t="inlineStr">
        <is>
          <t>Mexico</t>
        </is>
      </c>
      <c r="D253" s="9" t="inlineStr">
        <is>
          <t>B05_06</t>
        </is>
      </c>
      <c r="E253" s="9" t="n">
        <v>47589.4</v>
      </c>
      <c r="F253" s="9" t="n">
        <v>0.961</v>
      </c>
      <c r="G253" s="9" t="n">
        <v>50626.9</v>
      </c>
      <c r="H253" s="9" t="n">
        <v>0.1606</v>
      </c>
      <c r="I253" s="9" t="n">
        <v>0.8394</v>
      </c>
      <c r="J253" s="9" t="n">
        <v>0.5993000000000001</v>
      </c>
      <c r="K253" s="11">
        <f>ROUND(I253+H253,4)</f>
        <v/>
      </c>
    </row>
    <row r="254">
      <c r="A254" s="6" t="n">
        <v>2011</v>
      </c>
      <c r="B254" s="6" t="inlineStr">
        <is>
          <t>MEX</t>
        </is>
      </c>
      <c r="C254" s="6" t="inlineStr">
        <is>
          <t>Mexico</t>
        </is>
      </c>
      <c r="D254" s="6" t="inlineStr">
        <is>
          <t>B07_08</t>
        </is>
      </c>
      <c r="E254" s="6" t="n">
        <v>3424.3</v>
      </c>
      <c r="F254" s="6" t="n">
        <v>0.9199000000000001</v>
      </c>
      <c r="G254" s="6" t="n">
        <v>7218.8</v>
      </c>
      <c r="H254" s="6" t="n">
        <v>0.6428</v>
      </c>
      <c r="I254" s="6" t="n">
        <v>0.3572</v>
      </c>
      <c r="J254" s="6" t="n">
        <v>0.5299</v>
      </c>
      <c r="K254" s="11">
        <f>ROUND(I254+H254,4)</f>
        <v/>
      </c>
    </row>
    <row r="255">
      <c r="A255" s="9" t="n">
        <v>2011</v>
      </c>
      <c r="B255" s="9" t="inlineStr">
        <is>
          <t>MEX</t>
        </is>
      </c>
      <c r="C255" s="9" t="inlineStr">
        <is>
          <t>Mexico</t>
        </is>
      </c>
      <c r="D255" s="9" t="inlineStr">
        <is>
          <t>B09</t>
        </is>
      </c>
      <c r="E255" s="9" t="n">
        <v>8</v>
      </c>
      <c r="F255" s="9" t="n">
        <v>0.8603</v>
      </c>
      <c r="G255" s="9" t="n">
        <v>433.8</v>
      </c>
      <c r="H255" s="9" t="n">
        <v>0.2225</v>
      </c>
      <c r="I255" s="9" t="n">
        <v>0.7775</v>
      </c>
      <c r="J255" s="9" t="n">
        <v>0.0616</v>
      </c>
      <c r="K255" s="11">
        <f>ROUND(I255+H255,4)</f>
        <v/>
      </c>
    </row>
    <row r="256">
      <c r="A256" s="6" t="n">
        <v>2011</v>
      </c>
      <c r="B256" s="6" t="inlineStr">
        <is>
          <t>CHL</t>
        </is>
      </c>
      <c r="C256" s="6" t="inlineStr">
        <is>
          <t>Chile</t>
        </is>
      </c>
      <c r="D256" s="6" t="inlineStr">
        <is>
          <t>B05_06</t>
        </is>
      </c>
      <c r="E256" s="6" t="n">
        <v>4.7</v>
      </c>
      <c r="F256" s="6" t="n">
        <v>0.8551</v>
      </c>
      <c r="G256" s="6" t="n">
        <v>114.1</v>
      </c>
      <c r="H256" s="6" t="n">
        <v>0.5737</v>
      </c>
      <c r="I256" s="6" t="n">
        <v>0.4263</v>
      </c>
      <c r="J256" s="6" t="n">
        <v>0.3053</v>
      </c>
      <c r="K256" s="11">
        <f>ROUND(I256+H256,4)</f>
        <v/>
      </c>
    </row>
    <row r="257">
      <c r="A257" s="9" t="n">
        <v>2011</v>
      </c>
      <c r="B257" s="9" t="inlineStr">
        <is>
          <t>CHL</t>
        </is>
      </c>
      <c r="C257" s="9" t="inlineStr">
        <is>
          <t>Chile</t>
        </is>
      </c>
      <c r="D257" s="9" t="inlineStr">
        <is>
          <t>B07_08</t>
        </is>
      </c>
      <c r="E257" s="9" t="n">
        <v>46493.1</v>
      </c>
      <c r="F257" s="9" t="n">
        <v>0.8534</v>
      </c>
      <c r="G257" s="9" t="n">
        <v>31442.4</v>
      </c>
      <c r="H257" s="9" t="n">
        <v>0.0344</v>
      </c>
      <c r="I257" s="9" t="n">
        <v>0.9656</v>
      </c>
      <c r="J257" s="9" t="n">
        <v>0.8348</v>
      </c>
      <c r="K257" s="11">
        <f>ROUND(I257+H257,4)</f>
        <v/>
      </c>
    </row>
    <row r="258">
      <c r="A258" s="6" t="n">
        <v>2011</v>
      </c>
      <c r="B258" s="6" t="inlineStr">
        <is>
          <t>CHL</t>
        </is>
      </c>
      <c r="C258" s="6" t="inlineStr">
        <is>
          <t>Chile</t>
        </is>
      </c>
      <c r="D258" s="6" t="inlineStr">
        <is>
          <t>B09</t>
        </is>
      </c>
      <c r="E258" s="6" t="n">
        <v>21.4</v>
      </c>
      <c r="F258" s="6" t="n">
        <v>0.8743</v>
      </c>
      <c r="G258" s="6" t="n">
        <v>28.8</v>
      </c>
      <c r="H258" s="6" t="n">
        <v>0.4037</v>
      </c>
      <c r="I258" s="6" t="n">
        <v>0.5963000000000001</v>
      </c>
      <c r="J258" s="6" t="n">
        <v>0.2954</v>
      </c>
      <c r="K258" s="11">
        <f>ROUND(I258+H258,4)</f>
        <v/>
      </c>
    </row>
    <row r="259">
      <c r="A259" s="9" t="n">
        <v>2011</v>
      </c>
      <c r="B259" s="9" t="inlineStr">
        <is>
          <t>AUS</t>
        </is>
      </c>
      <c r="C259" s="9" t="inlineStr">
        <is>
          <t>Australia</t>
        </is>
      </c>
      <c r="D259" s="9" t="inlineStr">
        <is>
          <t>B05_06</t>
        </is>
      </c>
      <c r="E259" s="9" t="n">
        <v>61002.7</v>
      </c>
      <c r="F259" s="9" t="n">
        <v>0.8935</v>
      </c>
      <c r="G259" s="9" t="n">
        <v>38120.9</v>
      </c>
      <c r="H259" s="9" t="n">
        <v>0.0895</v>
      </c>
      <c r="I259" s="9" t="n">
        <v>0.9105</v>
      </c>
      <c r="J259" s="9" t="n">
        <v>0.7067</v>
      </c>
      <c r="K259" s="11">
        <f>ROUND(I259+H259,4)</f>
        <v/>
      </c>
    </row>
    <row r="260">
      <c r="A260" s="6" t="n">
        <v>2011</v>
      </c>
      <c r="B260" s="6" t="inlineStr">
        <is>
          <t>AUS</t>
        </is>
      </c>
      <c r="C260" s="6" t="inlineStr">
        <is>
          <t>Australia</t>
        </is>
      </c>
      <c r="D260" s="6" t="inlineStr">
        <is>
          <t>B07_08</t>
        </is>
      </c>
      <c r="E260" s="6" t="n">
        <v>79129.60000000001</v>
      </c>
      <c r="F260" s="6" t="n">
        <v>0.8969</v>
      </c>
      <c r="G260" s="6" t="n">
        <v>59477.3</v>
      </c>
      <c r="H260" s="6" t="n">
        <v>0.2129</v>
      </c>
      <c r="I260" s="6" t="n">
        <v>0.7871</v>
      </c>
      <c r="J260" s="6" t="n">
        <v>0.8369</v>
      </c>
      <c r="K260" s="11">
        <f>ROUND(I260+H260,4)</f>
        <v/>
      </c>
    </row>
    <row r="261">
      <c r="A261" s="9" t="n">
        <v>2011</v>
      </c>
      <c r="B261" s="9" t="inlineStr">
        <is>
          <t>AUS</t>
        </is>
      </c>
      <c r="C261" s="9" t="inlineStr">
        <is>
          <t>Australia</t>
        </is>
      </c>
      <c r="D261" s="9" t="inlineStr">
        <is>
          <t>B09</t>
        </is>
      </c>
      <c r="E261" s="9" t="n">
        <v>203.3</v>
      </c>
      <c r="F261" s="9" t="n">
        <v>0.915</v>
      </c>
      <c r="G261" s="9" t="n">
        <v>5043.2</v>
      </c>
      <c r="H261" s="9" t="n">
        <v>0.1652</v>
      </c>
      <c r="I261" s="9" t="n">
        <v>0.8348</v>
      </c>
      <c r="J261" s="9" t="n">
        <v>0.4816</v>
      </c>
      <c r="K261" s="11">
        <f>ROUND(I261+H261,4)</f>
        <v/>
      </c>
    </row>
    <row r="262">
      <c r="A262" s="6" t="n">
        <v>2011</v>
      </c>
      <c r="B262" s="6" t="inlineStr">
        <is>
          <t>FIN</t>
        </is>
      </c>
      <c r="C262" s="6" t="inlineStr">
        <is>
          <t>Finlandia</t>
        </is>
      </c>
      <c r="D262" s="6" t="inlineStr">
        <is>
          <t>B05_06</t>
        </is>
      </c>
      <c r="E262" s="6" t="n">
        <v>25.1</v>
      </c>
      <c r="F262" s="6" t="n">
        <v>0.6454</v>
      </c>
      <c r="G262" s="6" t="n">
        <v>90.5</v>
      </c>
      <c r="H262" s="6" t="n">
        <v>0.8959</v>
      </c>
      <c r="I262" s="6" t="n">
        <v>0.1041</v>
      </c>
      <c r="J262" s="6" t="n">
        <v>0.3609</v>
      </c>
      <c r="K262" s="11">
        <f>ROUND(I262+H262,4)</f>
        <v/>
      </c>
    </row>
    <row r="263">
      <c r="A263" s="9" t="n">
        <v>2011</v>
      </c>
      <c r="B263" s="9" t="inlineStr">
        <is>
          <t>FIN</t>
        </is>
      </c>
      <c r="C263" s="9" t="inlineStr">
        <is>
          <t>Finlandia</t>
        </is>
      </c>
      <c r="D263" s="9" t="inlineStr">
        <is>
          <t>B07_08</t>
        </is>
      </c>
      <c r="E263" s="9" t="n">
        <v>302.5</v>
      </c>
      <c r="F263" s="9" t="n">
        <v>0.6371</v>
      </c>
      <c r="G263" s="9" t="n">
        <v>464.8</v>
      </c>
      <c r="H263" s="9" t="n">
        <v>0.7365</v>
      </c>
      <c r="I263" s="9" t="n">
        <v>0.2635</v>
      </c>
      <c r="J263" s="9" t="n">
        <v>0.5192</v>
      </c>
      <c r="K263" s="11">
        <f>ROUND(I263+H263,4)</f>
        <v/>
      </c>
    </row>
    <row r="264">
      <c r="A264" s="6" t="n">
        <v>2011</v>
      </c>
      <c r="B264" s="6" t="inlineStr">
        <is>
          <t>FIN</t>
        </is>
      </c>
      <c r="C264" s="6" t="inlineStr">
        <is>
          <t>Finlandia</t>
        </is>
      </c>
      <c r="D264" s="6" t="inlineStr">
        <is>
          <t>B09</t>
        </is>
      </c>
      <c r="E264" s="6" t="n">
        <v>17.1</v>
      </c>
      <c r="F264" s="6" t="n">
        <v>0.4722</v>
      </c>
      <c r="G264" s="6" t="n">
        <v>2</v>
      </c>
      <c r="H264" s="6" t="n">
        <v>0.6128</v>
      </c>
      <c r="I264" s="6" t="n">
        <v>0.3872</v>
      </c>
      <c r="J264" s="6" t="n">
        <v>0.5675</v>
      </c>
      <c r="K264" s="11">
        <f>ROUND(I264+H264,4)</f>
        <v/>
      </c>
    </row>
    <row r="265">
      <c r="A265" s="9" t="n">
        <v>2011</v>
      </c>
      <c r="B265" s="9" t="inlineStr">
        <is>
          <t>SWE</t>
        </is>
      </c>
      <c r="C265" s="9" t="inlineStr">
        <is>
          <t>Suecia</t>
        </is>
      </c>
      <c r="D265" s="9" t="inlineStr">
        <is>
          <t>B05_06</t>
        </is>
      </c>
      <c r="E265" s="9" t="n">
        <v>23</v>
      </c>
      <c r="F265" s="9" t="n">
        <v>0.6584</v>
      </c>
      <c r="G265" s="9" t="n">
        <v>55.3</v>
      </c>
      <c r="H265" s="9" t="n">
        <v>0.8761</v>
      </c>
      <c r="I265" s="9" t="n">
        <v>0.1239</v>
      </c>
      <c r="J265" s="9" t="n">
        <v>0.5103</v>
      </c>
      <c r="K265" s="11">
        <f>ROUND(I265+H265,4)</f>
        <v/>
      </c>
    </row>
    <row r="266">
      <c r="A266" s="6" t="n">
        <v>2011</v>
      </c>
      <c r="B266" s="6" t="inlineStr">
        <is>
          <t>SWE</t>
        </is>
      </c>
      <c r="C266" s="6" t="inlineStr">
        <is>
          <t>Suecia</t>
        </is>
      </c>
      <c r="D266" s="6" t="inlineStr">
        <is>
          <t>B07_08</t>
        </is>
      </c>
      <c r="E266" s="6" t="n">
        <v>2579.4</v>
      </c>
      <c r="F266" s="6" t="n">
        <v>0.8331</v>
      </c>
      <c r="G266" s="6" t="n">
        <v>3258</v>
      </c>
      <c r="H266" s="6" t="n">
        <v>0.4949</v>
      </c>
      <c r="I266" s="6" t="n">
        <v>0.5051</v>
      </c>
      <c r="J266" s="6" t="n">
        <v>0.7655999999999999</v>
      </c>
      <c r="K266" s="11">
        <f>ROUND(I266+H266,4)</f>
        <v/>
      </c>
    </row>
    <row r="267">
      <c r="A267" s="9" t="n">
        <v>2011</v>
      </c>
      <c r="B267" s="9" t="inlineStr">
        <is>
          <t>SWE</t>
        </is>
      </c>
      <c r="C267" s="9" t="inlineStr">
        <is>
          <t>Suecia</t>
        </is>
      </c>
      <c r="D267" s="9" t="inlineStr">
        <is>
          <t>B09</t>
        </is>
      </c>
      <c r="E267" s="9" t="n">
        <v>227.7</v>
      </c>
      <c r="F267" s="9" t="n">
        <v>0.7274</v>
      </c>
      <c r="G267" s="9" t="n">
        <v>94.59999999999999</v>
      </c>
      <c r="H267" s="9" t="n">
        <v>0.2029</v>
      </c>
      <c r="I267" s="9" t="n">
        <v>0.7971</v>
      </c>
      <c r="J267" s="9" t="n">
        <v>0.7558</v>
      </c>
      <c r="K267" s="11">
        <f>ROUND(I267+H267,4)</f>
        <v/>
      </c>
    </row>
    <row r="268">
      <c r="A268" s="6" t="n">
        <v>2012</v>
      </c>
      <c r="B268" s="6" t="inlineStr">
        <is>
          <t>MEX</t>
        </is>
      </c>
      <c r="C268" s="6" t="inlineStr">
        <is>
          <t>Mexico</t>
        </is>
      </c>
      <c r="D268" s="6" t="inlineStr">
        <is>
          <t>B05_06</t>
        </is>
      </c>
      <c r="E268" s="6" t="n">
        <v>45366.5</v>
      </c>
      <c r="F268" s="6" t="n">
        <v>0.961</v>
      </c>
      <c r="G268" s="6" t="n">
        <v>47979</v>
      </c>
      <c r="H268" s="6" t="n">
        <v>0.1557</v>
      </c>
      <c r="I268" s="6" t="n">
        <v>0.8443000000000001</v>
      </c>
      <c r="J268" s="6" t="n">
        <v>0.6072</v>
      </c>
      <c r="K268" s="11">
        <f>ROUND(I268+H268,4)</f>
        <v/>
      </c>
    </row>
    <row r="269">
      <c r="A269" s="9" t="n">
        <v>2012</v>
      </c>
      <c r="B269" s="9" t="inlineStr">
        <is>
          <t>MEX</t>
        </is>
      </c>
      <c r="C269" s="9" t="inlineStr">
        <is>
          <t>Mexico</t>
        </is>
      </c>
      <c r="D269" s="9" t="inlineStr">
        <is>
          <t>B07_08</t>
        </is>
      </c>
      <c r="E269" s="9" t="n">
        <v>3980.8</v>
      </c>
      <c r="F269" s="9" t="n">
        <v>0.9167</v>
      </c>
      <c r="G269" s="9" t="n">
        <v>7656.1</v>
      </c>
      <c r="H269" s="9" t="n">
        <v>0.6123</v>
      </c>
      <c r="I269" s="9" t="n">
        <v>0.3877</v>
      </c>
      <c r="J269" s="9" t="n">
        <v>0.5495</v>
      </c>
      <c r="K269" s="11">
        <f>ROUND(I269+H269,4)</f>
        <v/>
      </c>
    </row>
    <row r="270">
      <c r="A270" s="6" t="n">
        <v>2012</v>
      </c>
      <c r="B270" s="6" t="inlineStr">
        <is>
          <t>MEX</t>
        </is>
      </c>
      <c r="C270" s="6" t="inlineStr">
        <is>
          <t>Mexico</t>
        </is>
      </c>
      <c r="D270" s="6" t="inlineStr">
        <is>
          <t>B09</t>
        </is>
      </c>
      <c r="E270" s="6" t="n">
        <v>9</v>
      </c>
      <c r="F270" s="6" t="n">
        <v>0.8596</v>
      </c>
      <c r="G270" s="6" t="n">
        <v>388.5</v>
      </c>
      <c r="H270" s="6" t="n">
        <v>0.2447</v>
      </c>
      <c r="I270" s="6" t="n">
        <v>0.7553</v>
      </c>
      <c r="J270" s="6" t="n">
        <v>0.0542</v>
      </c>
      <c r="K270" s="11">
        <f>ROUND(I270+H270,4)</f>
        <v/>
      </c>
    </row>
    <row r="271">
      <c r="A271" s="9" t="n">
        <v>2012</v>
      </c>
      <c r="B271" s="9" t="inlineStr">
        <is>
          <t>CHL</t>
        </is>
      </c>
      <c r="C271" s="9" t="inlineStr">
        <is>
          <t>Chile</t>
        </is>
      </c>
      <c r="D271" s="9" t="inlineStr">
        <is>
          <t>B05_06</t>
        </is>
      </c>
      <c r="E271" s="9" t="n">
        <v>3.9</v>
      </c>
      <c r="F271" s="9" t="n">
        <v>0.8454</v>
      </c>
      <c r="G271" s="9" t="n">
        <v>94.7</v>
      </c>
      <c r="H271" s="9" t="n">
        <v>0.5145999999999999</v>
      </c>
      <c r="I271" s="9" t="n">
        <v>0.4854</v>
      </c>
      <c r="J271" s="9" t="n">
        <v>0.2843</v>
      </c>
      <c r="K271" s="11">
        <f>ROUND(I271+H271,4)</f>
        <v/>
      </c>
    </row>
    <row r="272">
      <c r="A272" s="6" t="n">
        <v>2012</v>
      </c>
      <c r="B272" s="6" t="inlineStr">
        <is>
          <t>CHL</t>
        </is>
      </c>
      <c r="C272" s="6" t="inlineStr">
        <is>
          <t>Chile</t>
        </is>
      </c>
      <c r="D272" s="6" t="inlineStr">
        <is>
          <t>B07_08</t>
        </is>
      </c>
      <c r="E272" s="6" t="n">
        <v>44664.5</v>
      </c>
      <c r="F272" s="6" t="n">
        <v>0.8371</v>
      </c>
      <c r="G272" s="6" t="n">
        <v>27857.5</v>
      </c>
      <c r="H272" s="6" t="n">
        <v>0.03</v>
      </c>
      <c r="I272" s="6" t="n">
        <v>0.97</v>
      </c>
      <c r="J272" s="6" t="n">
        <v>0.8292</v>
      </c>
      <c r="K272" s="11">
        <f>ROUND(I272+H272,4)</f>
        <v/>
      </c>
    </row>
    <row r="273">
      <c r="A273" s="9" t="n">
        <v>2012</v>
      </c>
      <c r="B273" s="9" t="inlineStr">
        <is>
          <t>CHL</t>
        </is>
      </c>
      <c r="C273" s="9" t="inlineStr">
        <is>
          <t>Chile</t>
        </is>
      </c>
      <c r="D273" s="9" t="inlineStr">
        <is>
          <t>B09</t>
        </is>
      </c>
      <c r="E273" s="9" t="n">
        <v>21</v>
      </c>
      <c r="F273" s="9" t="n">
        <v>0.8577</v>
      </c>
      <c r="G273" s="9" t="n">
        <v>25.8</v>
      </c>
      <c r="H273" s="9" t="n">
        <v>0.3892</v>
      </c>
      <c r="I273" s="9" t="n">
        <v>0.6108</v>
      </c>
      <c r="J273" s="9" t="n">
        <v>0.2999</v>
      </c>
      <c r="K273" s="11">
        <f>ROUND(I273+H273,4)</f>
        <v/>
      </c>
    </row>
    <row r="274">
      <c r="A274" s="6" t="n">
        <v>2012</v>
      </c>
      <c r="B274" s="6" t="inlineStr">
        <is>
          <t>AUS</t>
        </is>
      </c>
      <c r="C274" s="6" t="inlineStr">
        <is>
          <t>Australia</t>
        </is>
      </c>
      <c r="D274" s="6" t="inlineStr">
        <is>
          <t>B05_06</t>
        </is>
      </c>
      <c r="E274" s="6" t="n">
        <v>52532.6</v>
      </c>
      <c r="F274" s="6" t="n">
        <v>0.8885</v>
      </c>
      <c r="G274" s="6" t="n">
        <v>33112.1</v>
      </c>
      <c r="H274" s="6" t="n">
        <v>0.1309</v>
      </c>
      <c r="I274" s="6" t="n">
        <v>0.8691</v>
      </c>
      <c r="J274" s="6" t="n">
        <v>0.6737</v>
      </c>
      <c r="K274" s="11">
        <f>ROUND(I274+H274,4)</f>
        <v/>
      </c>
    </row>
    <row r="275">
      <c r="A275" s="9" t="n">
        <v>2012</v>
      </c>
      <c r="B275" s="9" t="inlineStr">
        <is>
          <t>AUS</t>
        </is>
      </c>
      <c r="C275" s="9" t="inlineStr">
        <is>
          <t>Australia</t>
        </is>
      </c>
      <c r="D275" s="9" t="inlineStr">
        <is>
          <t>B07_08</t>
        </is>
      </c>
      <c r="E275" s="9" t="n">
        <v>82390.10000000001</v>
      </c>
      <c r="F275" s="9" t="n">
        <v>0.8853</v>
      </c>
      <c r="G275" s="9" t="n">
        <v>52988.4</v>
      </c>
      <c r="H275" s="9" t="n">
        <v>0.1688</v>
      </c>
      <c r="I275" s="9" t="n">
        <v>0.8312</v>
      </c>
      <c r="J275" s="9" t="n">
        <v>0.8568</v>
      </c>
      <c r="K275" s="11">
        <f>ROUND(I275+H275,4)</f>
        <v/>
      </c>
    </row>
    <row r="276">
      <c r="A276" s="6" t="n">
        <v>2012</v>
      </c>
      <c r="B276" s="6" t="inlineStr">
        <is>
          <t>AUS</t>
        </is>
      </c>
      <c r="C276" s="6" t="inlineStr">
        <is>
          <t>Australia</t>
        </is>
      </c>
      <c r="D276" s="6" t="inlineStr">
        <is>
          <t>B09</t>
        </is>
      </c>
      <c r="E276" s="6" t="n">
        <v>169.8</v>
      </c>
      <c r="F276" s="6" t="n">
        <v>0.9204</v>
      </c>
      <c r="G276" s="6" t="n">
        <v>5154.3</v>
      </c>
      <c r="H276" s="6" t="n">
        <v>0.1674</v>
      </c>
      <c r="I276" s="6" t="n">
        <v>0.8326</v>
      </c>
      <c r="J276" s="6" t="n">
        <v>0.471</v>
      </c>
      <c r="K276" s="11">
        <f>ROUND(I276+H276,4)</f>
        <v/>
      </c>
    </row>
    <row r="277">
      <c r="A277" s="9" t="n">
        <v>2012</v>
      </c>
      <c r="B277" s="9" t="inlineStr">
        <is>
          <t>FIN</t>
        </is>
      </c>
      <c r="C277" s="9" t="inlineStr">
        <is>
          <t>Finlandia</t>
        </is>
      </c>
      <c r="D277" s="9" t="inlineStr">
        <is>
          <t>B05_06</t>
        </is>
      </c>
      <c r="E277" s="9" t="n">
        <v>22</v>
      </c>
      <c r="F277" s="9" t="n">
        <v>0.6391</v>
      </c>
      <c r="G277" s="9" t="n">
        <v>77.90000000000001</v>
      </c>
      <c r="H277" s="9" t="n">
        <v>0.8925999999999999</v>
      </c>
      <c r="I277" s="9" t="n">
        <v>0.1074</v>
      </c>
      <c r="J277" s="9" t="n">
        <v>0.3367</v>
      </c>
      <c r="K277" s="11">
        <f>ROUND(I277+H277,4)</f>
        <v/>
      </c>
    </row>
    <row r="278">
      <c r="A278" s="6" t="n">
        <v>2012</v>
      </c>
      <c r="B278" s="6" t="inlineStr">
        <is>
          <t>FIN</t>
        </is>
      </c>
      <c r="C278" s="6" t="inlineStr">
        <is>
          <t>Finlandia</t>
        </is>
      </c>
      <c r="D278" s="6" t="inlineStr">
        <is>
          <t>B07_08</t>
        </is>
      </c>
      <c r="E278" s="6" t="n">
        <v>276</v>
      </c>
      <c r="F278" s="6" t="n">
        <v>0.6361</v>
      </c>
      <c r="G278" s="6" t="n">
        <v>429.4</v>
      </c>
      <c r="H278" s="6" t="n">
        <v>0.7402</v>
      </c>
      <c r="I278" s="6" t="n">
        <v>0.2598</v>
      </c>
      <c r="J278" s="6" t="n">
        <v>0.5254</v>
      </c>
      <c r="K278" s="11">
        <f>ROUND(I278+H278,4)</f>
        <v/>
      </c>
    </row>
    <row r="279">
      <c r="A279" s="9" t="n">
        <v>2012</v>
      </c>
      <c r="B279" s="9" t="inlineStr">
        <is>
          <t>FIN</t>
        </is>
      </c>
      <c r="C279" s="9" t="inlineStr">
        <is>
          <t>Finlandia</t>
        </is>
      </c>
      <c r="D279" s="9" t="inlineStr">
        <is>
          <t>B09</t>
        </is>
      </c>
      <c r="E279" s="9" t="n">
        <v>18.8</v>
      </c>
      <c r="F279" s="9" t="n">
        <v>0.4513</v>
      </c>
      <c r="G279" s="9" t="n">
        <v>1.9</v>
      </c>
      <c r="H279" s="9" t="n">
        <v>0.6157</v>
      </c>
      <c r="I279" s="9" t="n">
        <v>0.3843</v>
      </c>
      <c r="J279" s="9" t="n">
        <v>0.5704</v>
      </c>
      <c r="K279" s="11">
        <f>ROUND(I279+H279,4)</f>
        <v/>
      </c>
    </row>
    <row r="280">
      <c r="A280" s="6" t="n">
        <v>2012</v>
      </c>
      <c r="B280" s="6" t="inlineStr">
        <is>
          <t>SWE</t>
        </is>
      </c>
      <c r="C280" s="6" t="inlineStr">
        <is>
          <t>Suecia</t>
        </is>
      </c>
      <c r="D280" s="6" t="inlineStr">
        <is>
          <t>B05_06</t>
        </is>
      </c>
      <c r="E280" s="6" t="n">
        <v>21.3</v>
      </c>
      <c r="F280" s="6" t="n">
        <v>0.6562</v>
      </c>
      <c r="G280" s="6" t="n">
        <v>52.9</v>
      </c>
      <c r="H280" s="6" t="n">
        <v>0.879</v>
      </c>
      <c r="I280" s="6" t="n">
        <v>0.121</v>
      </c>
      <c r="J280" s="6" t="n">
        <v>0.5049</v>
      </c>
      <c r="K280" s="11">
        <f>ROUND(I280+H280,4)</f>
        <v/>
      </c>
    </row>
    <row r="281">
      <c r="A281" s="9" t="n">
        <v>2012</v>
      </c>
      <c r="B281" s="9" t="inlineStr">
        <is>
          <t>SWE</t>
        </is>
      </c>
      <c r="C281" s="9" t="inlineStr">
        <is>
          <t>Suecia</t>
        </is>
      </c>
      <c r="D281" s="9" t="inlineStr">
        <is>
          <t>B07_08</t>
        </is>
      </c>
      <c r="E281" s="9" t="n">
        <v>2224.5</v>
      </c>
      <c r="F281" s="9" t="n">
        <v>0.8002</v>
      </c>
      <c r="G281" s="9" t="n">
        <v>2539.7</v>
      </c>
      <c r="H281" s="9" t="n">
        <v>0.4967</v>
      </c>
      <c r="I281" s="9" t="n">
        <v>0.5033</v>
      </c>
      <c r="J281" s="9" t="n">
        <v>0.7613</v>
      </c>
      <c r="K281" s="11">
        <f>ROUND(I281+H281,4)</f>
        <v/>
      </c>
    </row>
    <row r="282">
      <c r="A282" s="6" t="n">
        <v>2012</v>
      </c>
      <c r="B282" s="6" t="inlineStr">
        <is>
          <t>SWE</t>
        </is>
      </c>
      <c r="C282" s="6" t="inlineStr">
        <is>
          <t>Suecia</t>
        </is>
      </c>
      <c r="D282" s="6" t="inlineStr">
        <is>
          <t>B09</t>
        </is>
      </c>
      <c r="E282" s="6" t="n">
        <v>227.8</v>
      </c>
      <c r="F282" s="6" t="n">
        <v>0.778</v>
      </c>
      <c r="G282" s="6" t="n">
        <v>110.3</v>
      </c>
      <c r="H282" s="6" t="n">
        <v>0.0354</v>
      </c>
      <c r="I282" s="6" t="n">
        <v>0.9646</v>
      </c>
      <c r="J282" s="6" t="n">
        <v>0.9479</v>
      </c>
      <c r="K282" s="11">
        <f>ROUND(I282+H282,4)</f>
        <v/>
      </c>
    </row>
    <row r="283">
      <c r="A283" s="9" t="n">
        <v>2013</v>
      </c>
      <c r="B283" s="9" t="inlineStr">
        <is>
          <t>MEX</t>
        </is>
      </c>
      <c r="C283" s="9" t="inlineStr">
        <is>
          <t>Mexico</t>
        </is>
      </c>
      <c r="D283" s="9" t="inlineStr">
        <is>
          <t>B05_06</t>
        </is>
      </c>
      <c r="E283" s="9" t="n">
        <v>40482.3</v>
      </c>
      <c r="F283" s="9" t="n">
        <v>0.9638</v>
      </c>
      <c r="G283" s="9" t="n">
        <v>44202.6</v>
      </c>
      <c r="H283" s="9" t="n">
        <v>0.1833</v>
      </c>
      <c r="I283" s="9" t="n">
        <v>0.8167</v>
      </c>
      <c r="J283" s="9" t="n">
        <v>0.6138</v>
      </c>
      <c r="K283" s="11">
        <f>ROUND(I283+H283,4)</f>
        <v/>
      </c>
    </row>
    <row r="284">
      <c r="A284" s="6" t="n">
        <v>2013</v>
      </c>
      <c r="B284" s="6" t="inlineStr">
        <is>
          <t>MEX</t>
        </is>
      </c>
      <c r="C284" s="6" t="inlineStr">
        <is>
          <t>Mexico</t>
        </is>
      </c>
      <c r="D284" s="6" t="inlineStr">
        <is>
          <t>B07_08</t>
        </is>
      </c>
      <c r="E284" s="6" t="n">
        <v>3633.9</v>
      </c>
      <c r="F284" s="6" t="n">
        <v>0.8944</v>
      </c>
      <c r="G284" s="6" t="n">
        <v>7156.4</v>
      </c>
      <c r="H284" s="6" t="n">
        <v>0.6647999999999999</v>
      </c>
      <c r="I284" s="6" t="n">
        <v>0.3352</v>
      </c>
      <c r="J284" s="6" t="n">
        <v>0.5634</v>
      </c>
      <c r="K284" s="11">
        <f>ROUND(I284+H284,4)</f>
        <v/>
      </c>
    </row>
    <row r="285">
      <c r="A285" s="9" t="n">
        <v>2013</v>
      </c>
      <c r="B285" s="9" t="inlineStr">
        <is>
          <t>MEX</t>
        </is>
      </c>
      <c r="C285" s="9" t="inlineStr">
        <is>
          <t>Mexico</t>
        </is>
      </c>
      <c r="D285" s="9" t="inlineStr">
        <is>
          <t>B09</t>
        </is>
      </c>
      <c r="E285" s="9" t="n">
        <v>11.7</v>
      </c>
      <c r="F285" s="9" t="n">
        <v>0.857</v>
      </c>
      <c r="G285" s="9" t="n">
        <v>587.7</v>
      </c>
      <c r="H285" s="9" t="n">
        <v>0.2724</v>
      </c>
      <c r="I285" s="9" t="n">
        <v>0.7276</v>
      </c>
      <c r="J285" s="9" t="n">
        <v>0.08</v>
      </c>
      <c r="K285" s="11">
        <f>ROUND(I285+H285,4)</f>
        <v/>
      </c>
    </row>
    <row r="286">
      <c r="A286" s="6" t="n">
        <v>2013</v>
      </c>
      <c r="B286" s="6" t="inlineStr">
        <is>
          <t>CHL</t>
        </is>
      </c>
      <c r="C286" s="6" t="inlineStr">
        <is>
          <t>Chile</t>
        </is>
      </c>
      <c r="D286" s="6" t="inlineStr">
        <is>
          <t>B05_06</t>
        </is>
      </c>
      <c r="E286" s="6" t="n">
        <v>20.6</v>
      </c>
      <c r="F286" s="6" t="n">
        <v>0.8371</v>
      </c>
      <c r="G286" s="6" t="n">
        <v>75.8</v>
      </c>
      <c r="H286" s="6" t="n">
        <v>0.4808</v>
      </c>
      <c r="I286" s="6" t="n">
        <v>0.5192</v>
      </c>
      <c r="J286" s="6" t="n">
        <v>0.2487</v>
      </c>
      <c r="K286" s="11">
        <f>ROUND(I286+H286,4)</f>
        <v/>
      </c>
    </row>
    <row r="287">
      <c r="A287" s="9" t="n">
        <v>2013</v>
      </c>
      <c r="B287" s="9" t="inlineStr">
        <is>
          <t>CHL</t>
        </is>
      </c>
      <c r="C287" s="9" t="inlineStr">
        <is>
          <t>Chile</t>
        </is>
      </c>
      <c r="D287" s="9" t="inlineStr">
        <is>
          <t>B07_08</t>
        </is>
      </c>
      <c r="E287" s="9" t="n">
        <v>43471.4</v>
      </c>
      <c r="F287" s="9" t="n">
        <v>0.8379</v>
      </c>
      <c r="G287" s="9" t="n">
        <v>26504.5</v>
      </c>
      <c r="H287" s="9" t="n">
        <v>0.0233</v>
      </c>
      <c r="I287" s="9" t="n">
        <v>0.9767</v>
      </c>
      <c r="J287" s="9" t="n">
        <v>0.8621</v>
      </c>
      <c r="K287" s="11">
        <f>ROUND(I287+H287,4)</f>
        <v/>
      </c>
    </row>
    <row r="288">
      <c r="A288" s="6" t="n">
        <v>2013</v>
      </c>
      <c r="B288" s="6" t="inlineStr">
        <is>
          <t>CHL</t>
        </is>
      </c>
      <c r="C288" s="6" t="inlineStr">
        <is>
          <t>Chile</t>
        </is>
      </c>
      <c r="D288" s="6" t="inlineStr">
        <is>
          <t>B09</t>
        </is>
      </c>
      <c r="E288" s="6" t="n">
        <v>21.9</v>
      </c>
      <c r="F288" s="6" t="n">
        <v>0.8486</v>
      </c>
      <c r="G288" s="6" t="n">
        <v>24.4</v>
      </c>
      <c r="H288" s="6" t="n">
        <v>0.3554</v>
      </c>
      <c r="I288" s="6" t="n">
        <v>0.6446</v>
      </c>
      <c r="J288" s="6" t="n">
        <v>0.3099</v>
      </c>
      <c r="K288" s="11">
        <f>ROUND(I288+H288,4)</f>
        <v/>
      </c>
    </row>
    <row r="289">
      <c r="A289" s="9" t="n">
        <v>2013</v>
      </c>
      <c r="B289" s="9" t="inlineStr">
        <is>
          <t>AUS</t>
        </is>
      </c>
      <c r="C289" s="9" t="inlineStr">
        <is>
          <t>Australia</t>
        </is>
      </c>
      <c r="D289" s="9" t="inlineStr">
        <is>
          <t>B05_06</t>
        </is>
      </c>
      <c r="E289" s="9" t="n">
        <v>54238.5</v>
      </c>
      <c r="F289" s="9" t="n">
        <v>0.8928</v>
      </c>
      <c r="G289" s="9" t="n">
        <v>32726.6</v>
      </c>
      <c r="H289" s="9" t="n">
        <v>0.0743</v>
      </c>
      <c r="I289" s="9" t="n">
        <v>0.9257</v>
      </c>
      <c r="J289" s="9" t="n">
        <v>0.6867</v>
      </c>
      <c r="K289" s="11">
        <f>ROUND(I289+H289,4)</f>
        <v/>
      </c>
    </row>
    <row r="290">
      <c r="A290" s="6" t="n">
        <v>2013</v>
      </c>
      <c r="B290" s="6" t="inlineStr">
        <is>
          <t>AUS</t>
        </is>
      </c>
      <c r="C290" s="6" t="inlineStr">
        <is>
          <t>Australia</t>
        </is>
      </c>
      <c r="D290" s="6" t="inlineStr">
        <is>
          <t>B07_08</t>
        </is>
      </c>
      <c r="E290" s="6" t="n">
        <v>74013.5</v>
      </c>
      <c r="F290" s="6" t="n">
        <v>0.8955</v>
      </c>
      <c r="G290" s="6" t="n">
        <v>56961.6</v>
      </c>
      <c r="H290" s="6" t="n">
        <v>0.241</v>
      </c>
      <c r="I290" s="6" t="n">
        <v>0.759</v>
      </c>
      <c r="J290" s="6" t="n">
        <v>0.8088</v>
      </c>
      <c r="K290" s="11">
        <f>ROUND(I290+H290,4)</f>
        <v/>
      </c>
    </row>
    <row r="291">
      <c r="A291" s="9" t="n">
        <v>2013</v>
      </c>
      <c r="B291" s="9" t="inlineStr">
        <is>
          <t>AUS</t>
        </is>
      </c>
      <c r="C291" s="9" t="inlineStr">
        <is>
          <t>Australia</t>
        </is>
      </c>
      <c r="D291" s="9" t="inlineStr">
        <is>
          <t>B09</t>
        </is>
      </c>
      <c r="E291" s="9" t="n">
        <v>202.2</v>
      </c>
      <c r="F291" s="9" t="n">
        <v>0.9088000000000001</v>
      </c>
      <c r="G291" s="9" t="n">
        <v>4183.6</v>
      </c>
      <c r="H291" s="9" t="n">
        <v>0.1828</v>
      </c>
      <c r="I291" s="9" t="n">
        <v>0.8172</v>
      </c>
      <c r="J291" s="9" t="n">
        <v>0.4241</v>
      </c>
      <c r="K291" s="11">
        <f>ROUND(I291+H291,4)</f>
        <v/>
      </c>
    </row>
    <row r="292">
      <c r="A292" s="6" t="n">
        <v>2013</v>
      </c>
      <c r="B292" s="6" t="inlineStr">
        <is>
          <t>FIN</t>
        </is>
      </c>
      <c r="C292" s="6" t="inlineStr">
        <is>
          <t>Finlandia</t>
        </is>
      </c>
      <c r="D292" s="6" t="inlineStr">
        <is>
          <t>B05_06</t>
        </is>
      </c>
      <c r="E292" s="6" t="n">
        <v>17.6</v>
      </c>
      <c r="F292" s="6" t="n">
        <v>0.6185</v>
      </c>
      <c r="G292" s="6" t="n">
        <v>57.9</v>
      </c>
      <c r="H292" s="6" t="n">
        <v>0.9031</v>
      </c>
      <c r="I292" s="6" t="n">
        <v>0.0969</v>
      </c>
      <c r="J292" s="6" t="n">
        <v>0.3339</v>
      </c>
      <c r="K292" s="11">
        <f>ROUND(I292+H292,4)</f>
        <v/>
      </c>
    </row>
    <row r="293">
      <c r="A293" s="9" t="n">
        <v>2013</v>
      </c>
      <c r="B293" s="9" t="inlineStr">
        <is>
          <t>FIN</t>
        </is>
      </c>
      <c r="C293" s="9" t="inlineStr">
        <is>
          <t>Finlandia</t>
        </is>
      </c>
      <c r="D293" s="9" t="inlineStr">
        <is>
          <t>B07_08</t>
        </is>
      </c>
      <c r="E293" s="9" t="n">
        <v>293.7</v>
      </c>
      <c r="F293" s="9" t="n">
        <v>0.6139</v>
      </c>
      <c r="G293" s="9" t="n">
        <v>362.2</v>
      </c>
      <c r="H293" s="9" t="n">
        <v>0.7275</v>
      </c>
      <c r="I293" s="9" t="n">
        <v>0.2725</v>
      </c>
      <c r="J293" s="9" t="n">
        <v>0.5877</v>
      </c>
      <c r="K293" s="11">
        <f>ROUND(I293+H293,4)</f>
        <v/>
      </c>
    </row>
    <row r="294">
      <c r="A294" s="6" t="n">
        <v>2013</v>
      </c>
      <c r="B294" s="6" t="inlineStr">
        <is>
          <t>FIN</t>
        </is>
      </c>
      <c r="C294" s="6" t="inlineStr">
        <is>
          <t>Finlandia</t>
        </is>
      </c>
      <c r="D294" s="6" t="inlineStr">
        <is>
          <t>B09</t>
        </is>
      </c>
      <c r="E294" s="6" t="n">
        <v>19.6</v>
      </c>
      <c r="F294" s="6" t="n">
        <v>0.4666</v>
      </c>
      <c r="G294" s="6" t="n">
        <v>1.8</v>
      </c>
      <c r="H294" s="6" t="n">
        <v>0.5022</v>
      </c>
      <c r="I294" s="6" t="n">
        <v>0.4978</v>
      </c>
      <c r="J294" s="6" t="n">
        <v>0.6429</v>
      </c>
      <c r="K294" s="11">
        <f>ROUND(I294+H294,4)</f>
        <v/>
      </c>
    </row>
    <row r="295">
      <c r="A295" s="9" t="n">
        <v>2013</v>
      </c>
      <c r="B295" s="9" t="inlineStr">
        <is>
          <t>SWE</t>
        </is>
      </c>
      <c r="C295" s="9" t="inlineStr">
        <is>
          <t>Suecia</t>
        </is>
      </c>
      <c r="D295" s="9" t="inlineStr">
        <is>
          <t>B05_06</t>
        </is>
      </c>
      <c r="E295" s="9" t="n">
        <v>18</v>
      </c>
      <c r="F295" s="9" t="n">
        <v>0.6697</v>
      </c>
      <c r="G295" s="9" t="n">
        <v>42.2</v>
      </c>
      <c r="H295" s="9" t="n">
        <v>0.8835</v>
      </c>
      <c r="I295" s="9" t="n">
        <v>0.1165</v>
      </c>
      <c r="J295" s="9" t="n">
        <v>0.483</v>
      </c>
      <c r="K295" s="11">
        <f>ROUND(I295+H295,4)</f>
        <v/>
      </c>
    </row>
    <row r="296">
      <c r="A296" s="6" t="n">
        <v>2013</v>
      </c>
      <c r="B296" s="6" t="inlineStr">
        <is>
          <t>SWE</t>
        </is>
      </c>
      <c r="C296" s="6" t="inlineStr">
        <is>
          <t>Suecia</t>
        </is>
      </c>
      <c r="D296" s="6" t="inlineStr">
        <is>
          <t>B07_08</t>
        </is>
      </c>
      <c r="E296" s="6" t="n">
        <v>1933.5</v>
      </c>
      <c r="F296" s="6" t="n">
        <v>0.7953</v>
      </c>
      <c r="G296" s="6" t="n">
        <v>2051.1</v>
      </c>
      <c r="H296" s="6" t="n">
        <v>0.5184</v>
      </c>
      <c r="I296" s="6" t="n">
        <v>0.4816</v>
      </c>
      <c r="J296" s="6" t="n">
        <v>0.7416</v>
      </c>
      <c r="K296" s="11">
        <f>ROUND(I296+H296,4)</f>
        <v/>
      </c>
    </row>
    <row r="297">
      <c r="A297" s="9" t="n">
        <v>2013</v>
      </c>
      <c r="B297" s="9" t="inlineStr">
        <is>
          <t>SWE</t>
        </is>
      </c>
      <c r="C297" s="9" t="inlineStr">
        <is>
          <t>Suecia</t>
        </is>
      </c>
      <c r="D297" s="9" t="inlineStr">
        <is>
          <t>B09</t>
        </is>
      </c>
      <c r="E297" s="9" t="n">
        <v>186.5</v>
      </c>
      <c r="F297" s="9" t="n">
        <v>0.7903</v>
      </c>
      <c r="G297" s="9" t="n">
        <v>83.8</v>
      </c>
      <c r="H297" s="9" t="n">
        <v>0.0271</v>
      </c>
      <c r="I297" s="9" t="n">
        <v>0.9729</v>
      </c>
      <c r="J297" s="9" t="n">
        <v>0.9578</v>
      </c>
      <c r="K297" s="11">
        <f>ROUND(I297+H297,4)</f>
        <v/>
      </c>
    </row>
    <row r="298">
      <c r="A298" s="6" t="n">
        <v>2013</v>
      </c>
      <c r="B298" s="6" t="inlineStr">
        <is>
          <t>CHN</t>
        </is>
      </c>
      <c r="C298" s="6" t="inlineStr">
        <is>
          <t>China</t>
        </is>
      </c>
      <c r="D298" s="6" t="inlineStr">
        <is>
          <t>B05_06</t>
        </is>
      </c>
      <c r="E298" s="6" t="n">
        <v>2763.2</v>
      </c>
      <c r="F298" s="6" t="n">
        <v>0.8883</v>
      </c>
      <c r="G298" s="6" t="n">
        <v>57209.4</v>
      </c>
      <c r="H298" s="6" t="n">
        <v>0.9671999999999999</v>
      </c>
      <c r="I298" s="6" t="n">
        <v>0.0328</v>
      </c>
      <c r="J298" s="6" t="n">
        <v>0.2041</v>
      </c>
      <c r="K298" s="11">
        <f>ROUND(I298+H298,4)</f>
        <v/>
      </c>
    </row>
    <row r="299">
      <c r="A299" s="9" t="n">
        <v>2013</v>
      </c>
      <c r="B299" s="9" t="inlineStr">
        <is>
          <t>CHN</t>
        </is>
      </c>
      <c r="C299" s="9" t="inlineStr">
        <is>
          <t>China</t>
        </is>
      </c>
      <c r="D299" s="9" t="inlineStr">
        <is>
          <t>B07_08</t>
        </is>
      </c>
      <c r="E299" s="9" t="n">
        <v>3156.3</v>
      </c>
      <c r="F299" s="9" t="n">
        <v>0.7764</v>
      </c>
      <c r="G299" s="9" t="n">
        <v>20511.5</v>
      </c>
      <c r="H299" s="9" t="n">
        <v>0.9417</v>
      </c>
      <c r="I299" s="9" t="n">
        <v>0.0583</v>
      </c>
      <c r="J299" s="9" t="n">
        <v>0.2026</v>
      </c>
      <c r="K299" s="11">
        <f>ROUND(I299+H299,4)</f>
        <v/>
      </c>
    </row>
    <row r="300">
      <c r="A300" s="6" t="n">
        <v>2013</v>
      </c>
      <c r="B300" s="6" t="inlineStr">
        <is>
          <t>CHN</t>
        </is>
      </c>
      <c r="C300" s="6" t="inlineStr">
        <is>
          <t>China</t>
        </is>
      </c>
      <c r="D300" s="6" t="inlineStr">
        <is>
          <t>B09</t>
        </is>
      </c>
      <c r="E300" s="6" t="n">
        <v>452</v>
      </c>
      <c r="F300" s="6" t="n">
        <v>0.8219</v>
      </c>
      <c r="G300" s="6" t="n">
        <v>1783.4</v>
      </c>
      <c r="H300" s="6" t="n">
        <v>0.865</v>
      </c>
      <c r="I300" s="6" t="n">
        <v>0.135</v>
      </c>
      <c r="J300" s="6" t="n">
        <v>0.1915</v>
      </c>
      <c r="K300" s="11">
        <f>ROUND(I300+H300,4)</f>
        <v/>
      </c>
    </row>
    <row r="301">
      <c r="A301" s="9" t="n">
        <v>2013</v>
      </c>
      <c r="B301" s="9" t="inlineStr">
        <is>
          <t>BRA</t>
        </is>
      </c>
      <c r="C301" s="9" t="inlineStr">
        <is>
          <t>Brasil</t>
        </is>
      </c>
      <c r="D301" s="9" t="inlineStr">
        <is>
          <t>B05_06</t>
        </is>
      </c>
      <c r="E301" s="9" t="n">
        <v>12542.9</v>
      </c>
      <c r="F301" s="9" t="n">
        <v>0.8808</v>
      </c>
      <c r="G301" s="9" t="n">
        <v>14711.8</v>
      </c>
      <c r="H301" s="9" t="n">
        <v>0.4018</v>
      </c>
      <c r="I301" s="9" t="n">
        <v>0.5982</v>
      </c>
      <c r="J301" s="9" t="n">
        <v>0.282</v>
      </c>
      <c r="K301" s="11">
        <f>ROUND(I301+H301,4)</f>
        <v/>
      </c>
    </row>
    <row r="302">
      <c r="A302" s="6" t="n">
        <v>2013</v>
      </c>
      <c r="B302" s="6" t="inlineStr">
        <is>
          <t>BRA</t>
        </is>
      </c>
      <c r="C302" s="6" t="inlineStr">
        <is>
          <t>Brasil</t>
        </is>
      </c>
      <c r="D302" s="6" t="inlineStr">
        <is>
          <t>B07_08</t>
        </is>
      </c>
      <c r="E302" s="6" t="n">
        <v>33019.3</v>
      </c>
      <c r="F302" s="6" t="n">
        <v>0.8738</v>
      </c>
      <c r="G302" s="6" t="n">
        <v>23491.1</v>
      </c>
      <c r="H302" s="6" t="n">
        <v>0.1023</v>
      </c>
      <c r="I302" s="6" t="n">
        <v>0.8977000000000001</v>
      </c>
      <c r="J302" s="6" t="n">
        <v>0.6968</v>
      </c>
      <c r="K302" s="11">
        <f>ROUND(I302+H302,4)</f>
        <v/>
      </c>
    </row>
    <row r="303">
      <c r="A303" s="9" t="n">
        <v>2013</v>
      </c>
      <c r="B303" s="9" t="inlineStr">
        <is>
          <t>BRA</t>
        </is>
      </c>
      <c r="C303" s="9" t="inlineStr">
        <is>
          <t>Brasil</t>
        </is>
      </c>
      <c r="D303" s="9" t="inlineStr">
        <is>
          <t>B09</t>
        </is>
      </c>
      <c r="E303" s="9" t="n">
        <v>262.2</v>
      </c>
      <c r="F303" s="9" t="n">
        <v>0.8969</v>
      </c>
      <c r="G303" s="9" t="n">
        <v>855.6</v>
      </c>
      <c r="H303" s="9" t="n">
        <v>0.356</v>
      </c>
      <c r="I303" s="9" t="n">
        <v>0.644</v>
      </c>
      <c r="J303" s="9" t="n">
        <v>0.3148</v>
      </c>
      <c r="K303" s="11">
        <f>ROUND(I303+H303,4)</f>
        <v/>
      </c>
    </row>
    <row r="304">
      <c r="A304" s="6" t="n">
        <v>2013</v>
      </c>
      <c r="B304" s="6" t="inlineStr">
        <is>
          <t>PER</t>
        </is>
      </c>
      <c r="C304" s="6" t="inlineStr">
        <is>
          <t>Peru</t>
        </is>
      </c>
      <c r="D304" s="6" t="inlineStr">
        <is>
          <t>B05_06</t>
        </is>
      </c>
      <c r="E304" s="6" t="n">
        <v>1097.4</v>
      </c>
      <c r="F304" s="6" t="n">
        <v>0.8901</v>
      </c>
      <c r="G304" s="6" t="n">
        <v>2643.5</v>
      </c>
      <c r="H304" s="6" t="n">
        <v>0.5377</v>
      </c>
      <c r="I304" s="6" t="n">
        <v>0.4623</v>
      </c>
      <c r="J304" s="6" t="n">
        <v>0.4433</v>
      </c>
      <c r="K304" s="11">
        <f>ROUND(I304+H304,4)</f>
        <v/>
      </c>
    </row>
    <row r="305">
      <c r="A305" s="9" t="n">
        <v>2013</v>
      </c>
      <c r="B305" s="9" t="inlineStr">
        <is>
          <t>PER</t>
        </is>
      </c>
      <c r="C305" s="9" t="inlineStr">
        <is>
          <t>Peru</t>
        </is>
      </c>
      <c r="D305" s="9" t="inlineStr">
        <is>
          <t>B07_08</t>
        </is>
      </c>
      <c r="E305" s="9" t="n">
        <v>20258.4</v>
      </c>
      <c r="F305" s="9" t="n">
        <v>0.8608</v>
      </c>
      <c r="G305" s="9" t="n">
        <v>12855.1</v>
      </c>
      <c r="H305" s="9" t="n">
        <v>0.0278</v>
      </c>
      <c r="I305" s="9" t="n">
        <v>0.9722</v>
      </c>
      <c r="J305" s="9" t="n">
        <v>0.9129</v>
      </c>
      <c r="K305" s="11">
        <f>ROUND(I305+H305,4)</f>
        <v/>
      </c>
    </row>
    <row r="306">
      <c r="A306" s="6" t="n">
        <v>2013</v>
      </c>
      <c r="B306" s="6" t="inlineStr">
        <is>
          <t>PER</t>
        </is>
      </c>
      <c r="C306" s="6" t="inlineStr">
        <is>
          <t>Peru</t>
        </is>
      </c>
      <c r="D306" s="6" t="inlineStr">
        <is>
          <t>B09</t>
        </is>
      </c>
      <c r="E306" s="6" t="n">
        <v>3</v>
      </c>
      <c r="F306" s="6" t="n">
        <v>0.9321</v>
      </c>
      <c r="G306" s="6" t="n">
        <v>393.9</v>
      </c>
      <c r="H306" s="6" t="n">
        <v>0.273</v>
      </c>
      <c r="I306" s="6" t="n">
        <v>0.727</v>
      </c>
      <c r="J306" s="6" t="n">
        <v>0.4103</v>
      </c>
      <c r="K306" s="11">
        <f>ROUND(I306+H306,4)</f>
        <v/>
      </c>
    </row>
    <row r="307">
      <c r="A307" s="9" t="n">
        <v>2014</v>
      </c>
      <c r="B307" s="9" t="inlineStr">
        <is>
          <t>MEX</t>
        </is>
      </c>
      <c r="C307" s="9" t="inlineStr">
        <is>
          <t>Mexico</t>
        </is>
      </c>
      <c r="D307" s="9" t="inlineStr">
        <is>
          <t>B05_06</t>
        </is>
      </c>
      <c r="E307" s="9" t="n">
        <v>33905.1</v>
      </c>
      <c r="F307" s="9" t="n">
        <v>0.9667</v>
      </c>
      <c r="G307" s="9" t="n">
        <v>39353.3</v>
      </c>
      <c r="H307" s="9" t="n">
        <v>0.2199</v>
      </c>
      <c r="I307" s="9" t="n">
        <v>0.7801</v>
      </c>
      <c r="J307" s="9" t="n">
        <v>0.5699</v>
      </c>
      <c r="K307" s="11">
        <f>ROUND(I307+H307,4)</f>
        <v/>
      </c>
    </row>
    <row r="308">
      <c r="A308" s="6" t="n">
        <v>2014</v>
      </c>
      <c r="B308" s="6" t="inlineStr">
        <is>
          <t>MEX</t>
        </is>
      </c>
      <c r="C308" s="6" t="inlineStr">
        <is>
          <t>Mexico</t>
        </is>
      </c>
      <c r="D308" s="6" t="inlineStr">
        <is>
          <t>B07_08</t>
        </is>
      </c>
      <c r="E308" s="6" t="n">
        <v>3837.3</v>
      </c>
      <c r="F308" s="6" t="n">
        <v>0.8837</v>
      </c>
      <c r="G308" s="6" t="n">
        <v>6669.5</v>
      </c>
      <c r="H308" s="6" t="n">
        <v>0.6297</v>
      </c>
      <c r="I308" s="6" t="n">
        <v>0.3703</v>
      </c>
      <c r="J308" s="6" t="n">
        <v>0.5566</v>
      </c>
      <c r="K308" s="11">
        <f>ROUND(I308+H308,4)</f>
        <v/>
      </c>
    </row>
    <row r="309">
      <c r="A309" s="9" t="n">
        <v>2014</v>
      </c>
      <c r="B309" s="9" t="inlineStr">
        <is>
          <t>MEX</t>
        </is>
      </c>
      <c r="C309" s="9" t="inlineStr">
        <is>
          <t>Mexico</t>
        </is>
      </c>
      <c r="D309" s="9" t="inlineStr">
        <is>
          <t>B09</t>
        </is>
      </c>
      <c r="E309" s="9" t="n">
        <v>13.5</v>
      </c>
      <c r="F309" s="9" t="n">
        <v>0.8507</v>
      </c>
      <c r="G309" s="9" t="n">
        <v>478.9</v>
      </c>
      <c r="H309" s="9" t="n">
        <v>0.3237</v>
      </c>
      <c r="I309" s="9" t="n">
        <v>0.6763</v>
      </c>
      <c r="J309" s="9" t="n">
        <v>0.0646</v>
      </c>
      <c r="K309" s="11">
        <f>ROUND(I309+H309,4)</f>
        <v/>
      </c>
    </row>
    <row r="310">
      <c r="A310" s="6" t="n">
        <v>2014</v>
      </c>
      <c r="B310" s="6" t="inlineStr">
        <is>
          <t>CHL</t>
        </is>
      </c>
      <c r="C310" s="6" t="inlineStr">
        <is>
          <t>Chile</t>
        </is>
      </c>
      <c r="D310" s="6" t="inlineStr">
        <is>
          <t>B05_06</t>
        </is>
      </c>
      <c r="E310" s="6" t="n">
        <v>27.9</v>
      </c>
      <c r="F310" s="6" t="n">
        <v>0.8364</v>
      </c>
      <c r="G310" s="6" t="n">
        <v>92.2</v>
      </c>
      <c r="H310" s="6" t="n">
        <v>0.3577</v>
      </c>
      <c r="I310" s="6" t="n">
        <v>0.6423</v>
      </c>
      <c r="J310" s="6" t="n">
        <v>0.316</v>
      </c>
      <c r="K310" s="11">
        <f>ROUND(I310+H310,4)</f>
        <v/>
      </c>
    </row>
    <row r="311">
      <c r="A311" s="9" t="n">
        <v>2014</v>
      </c>
      <c r="B311" s="9" t="inlineStr">
        <is>
          <t>CHL</t>
        </is>
      </c>
      <c r="C311" s="9" t="inlineStr">
        <is>
          <t>Chile</t>
        </is>
      </c>
      <c r="D311" s="9" t="inlineStr">
        <is>
          <t>B07_08</t>
        </is>
      </c>
      <c r="E311" s="9" t="n">
        <v>43459.5</v>
      </c>
      <c r="F311" s="9" t="n">
        <v>0.7924</v>
      </c>
      <c r="G311" s="9" t="n">
        <v>22104.2</v>
      </c>
      <c r="H311" s="9" t="n">
        <v>0.0583</v>
      </c>
      <c r="I311" s="9" t="n">
        <v>0.9417</v>
      </c>
      <c r="J311" s="9" t="n">
        <v>0.7734</v>
      </c>
      <c r="K311" s="11">
        <f>ROUND(I311+H311,4)</f>
        <v/>
      </c>
    </row>
    <row r="312">
      <c r="A312" s="6" t="n">
        <v>2014</v>
      </c>
      <c r="B312" s="6" t="inlineStr">
        <is>
          <t>CHL</t>
        </is>
      </c>
      <c r="C312" s="6" t="inlineStr">
        <is>
          <t>Chile</t>
        </is>
      </c>
      <c r="D312" s="6" t="inlineStr">
        <is>
          <t>B09</t>
        </is>
      </c>
      <c r="E312" s="6" t="n">
        <v>21.8</v>
      </c>
      <c r="F312" s="6" t="n">
        <v>0.8505</v>
      </c>
      <c r="G312" s="6" t="n">
        <v>29.7</v>
      </c>
      <c r="H312" s="6" t="n">
        <v>0.3659</v>
      </c>
      <c r="I312" s="6" t="n">
        <v>0.6341</v>
      </c>
      <c r="J312" s="6" t="n">
        <v>0.4031</v>
      </c>
      <c r="K312" s="11">
        <f>ROUND(I312+H312,4)</f>
        <v/>
      </c>
    </row>
    <row r="313">
      <c r="A313" s="9" t="n">
        <v>2014</v>
      </c>
      <c r="B313" s="9" t="inlineStr">
        <is>
          <t>AUS</t>
        </is>
      </c>
      <c r="C313" s="9" t="inlineStr">
        <is>
          <t>Australia</t>
        </is>
      </c>
      <c r="D313" s="9" t="inlineStr">
        <is>
          <t>B05_06</t>
        </is>
      </c>
      <c r="E313" s="9" t="n">
        <v>50337.2</v>
      </c>
      <c r="F313" s="9" t="n">
        <v>0.8915</v>
      </c>
      <c r="G313" s="9" t="n">
        <v>30481.3</v>
      </c>
      <c r="H313" s="9" t="n">
        <v>0.07770000000000001</v>
      </c>
      <c r="I313" s="9" t="n">
        <v>0.9223</v>
      </c>
      <c r="J313" s="9" t="n">
        <v>0.7556</v>
      </c>
      <c r="K313" s="11">
        <f>ROUND(I313+H313,4)</f>
        <v/>
      </c>
    </row>
    <row r="314">
      <c r="A314" s="6" t="n">
        <v>2014</v>
      </c>
      <c r="B314" s="6" t="inlineStr">
        <is>
          <t>AUS</t>
        </is>
      </c>
      <c r="C314" s="6" t="inlineStr">
        <is>
          <t>Australia</t>
        </is>
      </c>
      <c r="D314" s="6" t="inlineStr">
        <is>
          <t>B07_08</t>
        </is>
      </c>
      <c r="E314" s="6" t="n">
        <v>77908.60000000001</v>
      </c>
      <c r="F314" s="6" t="n">
        <v>0.8801</v>
      </c>
      <c r="G314" s="6" t="n">
        <v>42692.4</v>
      </c>
      <c r="H314" s="6" t="n">
        <v>0.0752</v>
      </c>
      <c r="I314" s="6" t="n">
        <v>0.9248</v>
      </c>
      <c r="J314" s="6" t="n">
        <v>0.8791</v>
      </c>
      <c r="K314" s="11">
        <f>ROUND(I314+H314,4)</f>
        <v/>
      </c>
    </row>
    <row r="315">
      <c r="A315" s="9" t="n">
        <v>2014</v>
      </c>
      <c r="B315" s="9" t="inlineStr">
        <is>
          <t>AUS</t>
        </is>
      </c>
      <c r="C315" s="9" t="inlineStr">
        <is>
          <t>Australia</t>
        </is>
      </c>
      <c r="D315" s="9" t="inlineStr">
        <is>
          <t>B09</t>
        </is>
      </c>
      <c r="E315" s="9" t="n">
        <v>179</v>
      </c>
      <c r="F315" s="9" t="n">
        <v>0.9089</v>
      </c>
      <c r="G315" s="9" t="n">
        <v>4160.5</v>
      </c>
      <c r="H315" s="9" t="n">
        <v>0.09229999999999999</v>
      </c>
      <c r="I315" s="9" t="n">
        <v>0.9077</v>
      </c>
      <c r="J315" s="9" t="n">
        <v>0.4954</v>
      </c>
      <c r="K315" s="11">
        <f>ROUND(I315+H315,4)</f>
        <v/>
      </c>
    </row>
    <row r="316">
      <c r="A316" s="6" t="n">
        <v>2014</v>
      </c>
      <c r="B316" s="6" t="inlineStr">
        <is>
          <t>FIN</t>
        </is>
      </c>
      <c r="C316" s="6" t="inlineStr">
        <is>
          <t>Finlandia</t>
        </is>
      </c>
      <c r="D316" s="6" t="inlineStr">
        <is>
          <t>B05_06</t>
        </is>
      </c>
      <c r="E316" s="6" t="n">
        <v>22.6</v>
      </c>
      <c r="F316" s="6" t="n">
        <v>0.5996</v>
      </c>
      <c r="G316" s="6" t="n">
        <v>51.1</v>
      </c>
      <c r="H316" s="6" t="n">
        <v>0.8551</v>
      </c>
      <c r="I316" s="6" t="n">
        <v>0.1449</v>
      </c>
      <c r="J316" s="6" t="n">
        <v>0.3076</v>
      </c>
      <c r="K316" s="11">
        <f>ROUND(I316+H316,4)</f>
        <v/>
      </c>
    </row>
    <row r="317">
      <c r="A317" s="9" t="n">
        <v>2014</v>
      </c>
      <c r="B317" s="9" t="inlineStr">
        <is>
          <t>FIN</t>
        </is>
      </c>
      <c r="C317" s="9" t="inlineStr">
        <is>
          <t>Finlandia</t>
        </is>
      </c>
      <c r="D317" s="9" t="inlineStr">
        <is>
          <t>B07_08</t>
        </is>
      </c>
      <c r="E317" s="9" t="n">
        <v>273.2</v>
      </c>
      <c r="F317" s="9" t="n">
        <v>0.5770999999999999</v>
      </c>
      <c r="G317" s="9" t="n">
        <v>305</v>
      </c>
      <c r="H317" s="9" t="n">
        <v>0.7023</v>
      </c>
      <c r="I317" s="9" t="n">
        <v>0.2977</v>
      </c>
      <c r="J317" s="9" t="n">
        <v>0.532</v>
      </c>
      <c r="K317" s="11">
        <f>ROUND(I317+H317,4)</f>
        <v/>
      </c>
    </row>
    <row r="318">
      <c r="A318" s="6" t="n">
        <v>2014</v>
      </c>
      <c r="B318" s="6" t="inlineStr">
        <is>
          <t>FIN</t>
        </is>
      </c>
      <c r="C318" s="6" t="inlineStr">
        <is>
          <t>Finlandia</t>
        </is>
      </c>
      <c r="D318" s="6" t="inlineStr">
        <is>
          <t>B09</t>
        </is>
      </c>
      <c r="E318" s="6" t="n">
        <v>18.5</v>
      </c>
      <c r="F318" s="6" t="n">
        <v>0.2405</v>
      </c>
      <c r="G318" s="6" t="n">
        <v>-8.1</v>
      </c>
      <c r="H318" s="6" t="n">
        <v>0.5064</v>
      </c>
      <c r="I318" s="6" t="n">
        <v>0.4936</v>
      </c>
      <c r="J318" s="6" t="n">
        <v>0.6107</v>
      </c>
      <c r="K318" s="11">
        <f>ROUND(I318+H318,4)</f>
        <v/>
      </c>
    </row>
    <row r="319">
      <c r="A319" s="9" t="n">
        <v>2014</v>
      </c>
      <c r="B319" s="9" t="inlineStr">
        <is>
          <t>SWE</t>
        </is>
      </c>
      <c r="C319" s="9" t="inlineStr">
        <is>
          <t>Suecia</t>
        </is>
      </c>
      <c r="D319" s="9" t="inlineStr">
        <is>
          <t>B05_06</t>
        </is>
      </c>
      <c r="E319" s="9" t="n">
        <v>18.3</v>
      </c>
      <c r="F319" s="9" t="n">
        <v>0.6674</v>
      </c>
      <c r="G319" s="9" t="n">
        <v>40.1</v>
      </c>
      <c r="H319" s="9" t="n">
        <v>0.875</v>
      </c>
      <c r="I319" s="9" t="n">
        <v>0.125</v>
      </c>
      <c r="J319" s="9" t="n">
        <v>0.469</v>
      </c>
      <c r="K319" s="11">
        <f>ROUND(I319+H319,4)</f>
        <v/>
      </c>
    </row>
    <row r="320">
      <c r="A320" s="6" t="n">
        <v>2014</v>
      </c>
      <c r="B320" s="6" t="inlineStr">
        <is>
          <t>SWE</t>
        </is>
      </c>
      <c r="C320" s="6" t="inlineStr">
        <is>
          <t>Suecia</t>
        </is>
      </c>
      <c r="D320" s="6" t="inlineStr">
        <is>
          <t>B07_08</t>
        </is>
      </c>
      <c r="E320" s="6" t="n">
        <v>1971.4</v>
      </c>
      <c r="F320" s="6" t="n">
        <v>0.7848000000000001</v>
      </c>
      <c r="G320" s="6" t="n">
        <v>1806.4</v>
      </c>
      <c r="H320" s="6" t="n">
        <v>0.4604</v>
      </c>
      <c r="I320" s="6" t="n">
        <v>0.5396</v>
      </c>
      <c r="J320" s="6" t="n">
        <v>0.7487</v>
      </c>
      <c r="K320" s="11">
        <f>ROUND(I320+H320,4)</f>
        <v/>
      </c>
    </row>
    <row r="321">
      <c r="A321" s="9" t="n">
        <v>2014</v>
      </c>
      <c r="B321" s="9" t="inlineStr">
        <is>
          <t>SWE</t>
        </is>
      </c>
      <c r="C321" s="9" t="inlineStr">
        <is>
          <t>Suecia</t>
        </is>
      </c>
      <c r="D321" s="9" t="inlineStr">
        <is>
          <t>B09</t>
        </is>
      </c>
      <c r="E321" s="9" t="n">
        <v>134.1</v>
      </c>
      <c r="F321" s="9" t="n">
        <v>0.7446</v>
      </c>
      <c r="G321" s="9" t="n">
        <v>43.3</v>
      </c>
      <c r="H321" s="9" t="n">
        <v>0.0139</v>
      </c>
      <c r="I321" s="9" t="n">
        <v>0.9861</v>
      </c>
      <c r="J321" s="9" t="n">
        <v>0.9777</v>
      </c>
      <c r="K321" s="11">
        <f>ROUND(I321+H321,4)</f>
        <v/>
      </c>
    </row>
    <row r="322">
      <c r="A322" s="6" t="n">
        <v>2015</v>
      </c>
      <c r="B322" s="6" t="inlineStr">
        <is>
          <t>MEX</t>
        </is>
      </c>
      <c r="C322" s="6" t="inlineStr">
        <is>
          <t>Mexico</t>
        </is>
      </c>
      <c r="D322" s="6" t="inlineStr">
        <is>
          <t>B05_06</t>
        </is>
      </c>
      <c r="E322" s="6" t="n">
        <v>17627.7</v>
      </c>
      <c r="F322" s="6" t="n">
        <v>0.9384</v>
      </c>
      <c r="G322" s="6" t="n">
        <v>18776</v>
      </c>
      <c r="H322" s="6" t="n">
        <v>0.2139</v>
      </c>
      <c r="I322" s="6" t="n">
        <v>0.7861</v>
      </c>
      <c r="J322" s="6" t="n">
        <v>0.6244</v>
      </c>
      <c r="K322" s="11">
        <f>ROUND(I322+H322,4)</f>
        <v/>
      </c>
    </row>
    <row r="323">
      <c r="A323" s="9" t="n">
        <v>2015</v>
      </c>
      <c r="B323" s="9" t="inlineStr">
        <is>
          <t>MEX</t>
        </is>
      </c>
      <c r="C323" s="9" t="inlineStr">
        <is>
          <t>Mexico</t>
        </is>
      </c>
      <c r="D323" s="9" t="inlineStr">
        <is>
          <t>B07_08</t>
        </is>
      </c>
      <c r="E323" s="9" t="n">
        <v>3682.3</v>
      </c>
      <c r="F323" s="9" t="n">
        <v>0.8753</v>
      </c>
      <c r="G323" s="9" t="n">
        <v>6521.7</v>
      </c>
      <c r="H323" s="9" t="n">
        <v>0.6241</v>
      </c>
      <c r="I323" s="9" t="n">
        <v>0.3759</v>
      </c>
      <c r="J323" s="9" t="n">
        <v>0.5877</v>
      </c>
      <c r="K323" s="11">
        <f>ROUND(I323+H323,4)</f>
        <v/>
      </c>
    </row>
    <row r="324">
      <c r="A324" s="6" t="n">
        <v>2015</v>
      </c>
      <c r="B324" s="6" t="inlineStr">
        <is>
          <t>MEX</t>
        </is>
      </c>
      <c r="C324" s="6" t="inlineStr">
        <is>
          <t>Mexico</t>
        </is>
      </c>
      <c r="D324" s="6" t="inlineStr">
        <is>
          <t>B09</t>
        </is>
      </c>
      <c r="E324" s="6" t="n">
        <v>13.6</v>
      </c>
      <c r="F324" s="6" t="n">
        <v>0.8300999999999999</v>
      </c>
      <c r="G324" s="6" t="n">
        <v>341.7</v>
      </c>
      <c r="H324" s="6" t="n">
        <v>0.3399</v>
      </c>
      <c r="I324" s="6" t="n">
        <v>0.6601</v>
      </c>
      <c r="J324" s="6" t="n">
        <v>0.0559</v>
      </c>
      <c r="K324" s="11">
        <f>ROUND(I324+H324,4)</f>
        <v/>
      </c>
    </row>
    <row r="325">
      <c r="A325" s="9" t="n">
        <v>2015</v>
      </c>
      <c r="B325" s="9" t="inlineStr">
        <is>
          <t>CHL</t>
        </is>
      </c>
      <c r="C325" s="9" t="inlineStr">
        <is>
          <t>Chile</t>
        </is>
      </c>
      <c r="D325" s="9" t="inlineStr">
        <is>
          <t>B05_06</t>
        </is>
      </c>
      <c r="E325" s="9" t="n">
        <v>16.9</v>
      </c>
      <c r="F325" s="9" t="n">
        <v>0.8080000000000001</v>
      </c>
      <c r="G325" s="9" t="n">
        <v>24.2</v>
      </c>
      <c r="H325" s="9" t="n">
        <v>0.4114</v>
      </c>
      <c r="I325" s="9" t="n">
        <v>0.5886</v>
      </c>
      <c r="J325" s="9" t="n">
        <v>0.2731</v>
      </c>
      <c r="K325" s="11">
        <f>ROUND(I325+H325,4)</f>
        <v/>
      </c>
    </row>
    <row r="326">
      <c r="A326" s="6" t="n">
        <v>2015</v>
      </c>
      <c r="B326" s="6" t="inlineStr">
        <is>
          <t>CHL</t>
        </is>
      </c>
      <c r="C326" s="6" t="inlineStr">
        <is>
          <t>Chile</t>
        </is>
      </c>
      <c r="D326" s="6" t="inlineStr">
        <is>
          <t>B07_08</t>
        </is>
      </c>
      <c r="E326" s="6" t="n">
        <v>32227.2</v>
      </c>
      <c r="F326" s="6" t="n">
        <v>0.8581</v>
      </c>
      <c r="G326" s="6" t="n">
        <v>19352.7</v>
      </c>
      <c r="H326" s="6" t="n">
        <v>0.0209</v>
      </c>
      <c r="I326" s="6" t="n">
        <v>0.9791</v>
      </c>
      <c r="J326" s="6" t="n">
        <v>0.9166</v>
      </c>
      <c r="K326" s="11">
        <f>ROUND(I326+H326,4)</f>
        <v/>
      </c>
    </row>
    <row r="327">
      <c r="A327" s="9" t="n">
        <v>2015</v>
      </c>
      <c r="B327" s="9" t="inlineStr">
        <is>
          <t>CHL</t>
        </is>
      </c>
      <c r="C327" s="9" t="inlineStr">
        <is>
          <t>Chile</t>
        </is>
      </c>
      <c r="D327" s="9" t="inlineStr">
        <is>
          <t>B09</t>
        </is>
      </c>
      <c r="E327" s="9" t="n">
        <v>23.2</v>
      </c>
      <c r="F327" s="9" t="n">
        <v>0.8757</v>
      </c>
      <c r="G327" s="9" t="n">
        <v>25.3</v>
      </c>
      <c r="H327" s="9" t="n">
        <v>0.3401</v>
      </c>
      <c r="I327" s="9" t="n">
        <v>0.6599</v>
      </c>
      <c r="J327" s="9" t="n">
        <v>0.3731</v>
      </c>
      <c r="K327" s="11">
        <f>ROUND(I327+H327,4)</f>
        <v/>
      </c>
    </row>
    <row r="328">
      <c r="A328" s="6" t="n">
        <v>2015</v>
      </c>
      <c r="B328" s="6" t="inlineStr">
        <is>
          <t>AUS</t>
        </is>
      </c>
      <c r="C328" s="6" t="inlineStr">
        <is>
          <t>Australia</t>
        </is>
      </c>
      <c r="D328" s="6" t="inlineStr">
        <is>
          <t>B05_06</t>
        </is>
      </c>
      <c r="E328" s="6" t="n">
        <v>39781.9</v>
      </c>
      <c r="F328" s="6" t="n">
        <v>0.8941</v>
      </c>
      <c r="G328" s="6" t="n">
        <v>22523.2</v>
      </c>
      <c r="H328" s="6" t="n">
        <v>0.0655</v>
      </c>
      <c r="I328" s="6" t="n">
        <v>0.9345</v>
      </c>
      <c r="J328" s="6" t="n">
        <v>0.7335</v>
      </c>
      <c r="K328" s="11">
        <f>ROUND(I328+H328,4)</f>
        <v/>
      </c>
    </row>
    <row r="329">
      <c r="A329" s="9" t="n">
        <v>2015</v>
      </c>
      <c r="B329" s="9" t="inlineStr">
        <is>
          <t>AUS</t>
        </is>
      </c>
      <c r="C329" s="9" t="inlineStr">
        <is>
          <t>Australia</t>
        </is>
      </c>
      <c r="D329" s="9" t="inlineStr">
        <is>
          <t>B07_08</t>
        </is>
      </c>
      <c r="E329" s="9" t="n">
        <v>51926.4</v>
      </c>
      <c r="F329" s="9" t="n">
        <v>0.8745000000000001</v>
      </c>
      <c r="G329" s="9" t="n">
        <v>30627.5</v>
      </c>
      <c r="H329" s="9" t="n">
        <v>0.1524</v>
      </c>
      <c r="I329" s="9" t="n">
        <v>0.8476</v>
      </c>
      <c r="J329" s="9" t="n">
        <v>0.8463000000000001</v>
      </c>
      <c r="K329" s="11">
        <f>ROUND(I329+H329,4)</f>
        <v/>
      </c>
    </row>
    <row r="330">
      <c r="A330" s="6" t="n">
        <v>2015</v>
      </c>
      <c r="B330" s="6" t="inlineStr">
        <is>
          <t>AUS</t>
        </is>
      </c>
      <c r="C330" s="6" t="inlineStr">
        <is>
          <t>Australia</t>
        </is>
      </c>
      <c r="D330" s="6" t="inlineStr">
        <is>
          <t>B09</t>
        </is>
      </c>
      <c r="E330" s="6" t="n">
        <v>205.8</v>
      </c>
      <c r="F330" s="6" t="n">
        <v>0.91</v>
      </c>
      <c r="G330" s="6" t="n">
        <v>2933.4</v>
      </c>
      <c r="H330" s="6" t="n">
        <v>0.1274</v>
      </c>
      <c r="I330" s="6" t="n">
        <v>0.8726</v>
      </c>
      <c r="J330" s="6" t="n">
        <v>0.5172</v>
      </c>
      <c r="K330" s="11">
        <f>ROUND(I330+H330,4)</f>
        <v/>
      </c>
    </row>
    <row r="331">
      <c r="A331" s="9" t="n">
        <v>2015</v>
      </c>
      <c r="B331" s="9" t="inlineStr">
        <is>
          <t>FIN</t>
        </is>
      </c>
      <c r="C331" s="9" t="inlineStr">
        <is>
          <t>Finlandia</t>
        </is>
      </c>
      <c r="D331" s="9" t="inlineStr">
        <is>
          <t>B05_06</t>
        </is>
      </c>
      <c r="E331" s="9" t="n">
        <v>27.1</v>
      </c>
      <c r="F331" s="9" t="n">
        <v>0.5979</v>
      </c>
      <c r="G331" s="9" t="n">
        <v>45.6</v>
      </c>
      <c r="H331" s="9" t="n">
        <v>0.8004</v>
      </c>
      <c r="I331" s="9" t="n">
        <v>0.1996</v>
      </c>
      <c r="J331" s="9" t="n">
        <v>0.303</v>
      </c>
      <c r="K331" s="11">
        <f>ROUND(I331+H331,4)</f>
        <v/>
      </c>
    </row>
    <row r="332">
      <c r="A332" s="6" t="n">
        <v>2015</v>
      </c>
      <c r="B332" s="6" t="inlineStr">
        <is>
          <t>FIN</t>
        </is>
      </c>
      <c r="C332" s="6" t="inlineStr">
        <is>
          <t>Finlandia</t>
        </is>
      </c>
      <c r="D332" s="6" t="inlineStr">
        <is>
          <t>B07_08</t>
        </is>
      </c>
      <c r="E332" s="6" t="n">
        <v>228.3</v>
      </c>
      <c r="F332" s="6" t="n">
        <v>0.5867</v>
      </c>
      <c r="G332" s="6" t="n">
        <v>272.1</v>
      </c>
      <c r="H332" s="6" t="n">
        <v>0.6933</v>
      </c>
      <c r="I332" s="6" t="n">
        <v>0.3067</v>
      </c>
      <c r="J332" s="6" t="n">
        <v>0.5085</v>
      </c>
      <c r="K332" s="11">
        <f>ROUND(I332+H332,4)</f>
        <v/>
      </c>
    </row>
    <row r="333">
      <c r="A333" s="9" t="n">
        <v>2015</v>
      </c>
      <c r="B333" s="9" t="inlineStr">
        <is>
          <t>FIN</t>
        </is>
      </c>
      <c r="C333" s="9" t="inlineStr">
        <is>
          <t>Finlandia</t>
        </is>
      </c>
      <c r="D333" s="9" t="inlineStr">
        <is>
          <t>B09</t>
        </is>
      </c>
      <c r="E333" s="9" t="n">
        <v>19.9</v>
      </c>
      <c r="F333" s="9" t="n">
        <v>0.628</v>
      </c>
      <c r="G333" s="9" t="n">
        <v>16</v>
      </c>
      <c r="H333" s="9" t="n">
        <v>0.4693</v>
      </c>
      <c r="I333" s="9" t="n">
        <v>0.5306999999999999</v>
      </c>
      <c r="J333" s="9" t="n">
        <v>0.5579</v>
      </c>
      <c r="K333" s="11">
        <f>ROUND(I333+H333,4)</f>
        <v/>
      </c>
    </row>
    <row r="334">
      <c r="A334" s="6" t="n">
        <v>2015</v>
      </c>
      <c r="B334" s="6" t="inlineStr">
        <is>
          <t>SWE</t>
        </is>
      </c>
      <c r="C334" s="6" t="inlineStr">
        <is>
          <t>Suecia</t>
        </is>
      </c>
      <c r="D334" s="6" t="inlineStr">
        <is>
          <t>B05_06</t>
        </is>
      </c>
      <c r="E334" s="6" t="n">
        <v>11.8</v>
      </c>
      <c r="F334" s="6" t="n">
        <v>0.6961000000000001</v>
      </c>
      <c r="G334" s="6" t="n">
        <v>33.9</v>
      </c>
      <c r="H334" s="6" t="n">
        <v>0.893</v>
      </c>
      <c r="I334" s="6" t="n">
        <v>0.107</v>
      </c>
      <c r="J334" s="6" t="n">
        <v>0.4605</v>
      </c>
      <c r="K334" s="11">
        <f>ROUND(I334+H334,4)</f>
        <v/>
      </c>
    </row>
    <row r="335">
      <c r="A335" s="9" t="n">
        <v>2015</v>
      </c>
      <c r="B335" s="9" t="inlineStr">
        <is>
          <t>SWE</t>
        </is>
      </c>
      <c r="C335" s="9" t="inlineStr">
        <is>
          <t>Suecia</t>
        </is>
      </c>
      <c r="D335" s="9" t="inlineStr">
        <is>
          <t>B07_08</t>
        </is>
      </c>
      <c r="E335" s="9" t="n">
        <v>1256.3</v>
      </c>
      <c r="F335" s="9" t="n">
        <v>0.796</v>
      </c>
      <c r="G335" s="9" t="n">
        <v>1288</v>
      </c>
      <c r="H335" s="9" t="n">
        <v>0.5135999999999999</v>
      </c>
      <c r="I335" s="9" t="n">
        <v>0.4864</v>
      </c>
      <c r="J335" s="9" t="n">
        <v>0.729</v>
      </c>
      <c r="K335" s="11">
        <f>ROUND(I335+H335,4)</f>
        <v/>
      </c>
    </row>
    <row r="336">
      <c r="A336" s="6" t="n">
        <v>2015</v>
      </c>
      <c r="B336" s="6" t="inlineStr">
        <is>
          <t>SWE</t>
        </is>
      </c>
      <c r="C336" s="6" t="inlineStr">
        <is>
          <t>Suecia</t>
        </is>
      </c>
      <c r="D336" s="6" t="inlineStr">
        <is>
          <t>B09</t>
        </is>
      </c>
      <c r="E336" s="6" t="n">
        <v>83.7</v>
      </c>
      <c r="F336" s="6" t="n">
        <v>0.6671</v>
      </c>
      <c r="G336" s="6" t="n">
        <v>5.1</v>
      </c>
      <c r="H336" s="6" t="n">
        <v>0.0138</v>
      </c>
      <c r="I336" s="6" t="n">
        <v>0.9862</v>
      </c>
      <c r="J336" s="6" t="n">
        <v>0.9772999999999999</v>
      </c>
      <c r="K336" s="11">
        <f>ROUND(I336+H336,4)</f>
        <v/>
      </c>
    </row>
    <row r="337">
      <c r="A337" s="9" t="n">
        <v>2016</v>
      </c>
      <c r="B337" s="9" t="inlineStr">
        <is>
          <t>MEX</t>
        </is>
      </c>
      <c r="C337" s="9" t="inlineStr">
        <is>
          <t>Mexico</t>
        </is>
      </c>
      <c r="D337" s="9" t="inlineStr">
        <is>
          <t>B05_06</t>
        </is>
      </c>
      <c r="E337" s="9" t="n">
        <v>14971.4</v>
      </c>
      <c r="F337" s="9" t="n">
        <v>0.9179</v>
      </c>
      <c r="G337" s="9" t="n">
        <v>15229.2</v>
      </c>
      <c r="H337" s="9" t="n">
        <v>0.2161</v>
      </c>
      <c r="I337" s="9" t="n">
        <v>0.7839</v>
      </c>
      <c r="J337" s="9" t="n">
        <v>0.6516</v>
      </c>
      <c r="K337" s="11">
        <f>ROUND(I337+H337,4)</f>
        <v/>
      </c>
    </row>
    <row r="338">
      <c r="A338" s="6" t="n">
        <v>2016</v>
      </c>
      <c r="B338" s="6" t="inlineStr">
        <is>
          <t>MEX</t>
        </is>
      </c>
      <c r="C338" s="6" t="inlineStr">
        <is>
          <t>Mexico</t>
        </is>
      </c>
      <c r="D338" s="6" t="inlineStr">
        <is>
          <t>B07_08</t>
        </is>
      </c>
      <c r="E338" s="6" t="n">
        <v>3664.2</v>
      </c>
      <c r="F338" s="6" t="n">
        <v>0.8796</v>
      </c>
      <c r="G338" s="6" t="n">
        <v>7129.1</v>
      </c>
      <c r="H338" s="6" t="n">
        <v>0.6408</v>
      </c>
      <c r="I338" s="6" t="n">
        <v>0.3592</v>
      </c>
      <c r="J338" s="6" t="n">
        <v>0.6155</v>
      </c>
      <c r="K338" s="11">
        <f>ROUND(I338+H338,4)</f>
        <v/>
      </c>
    </row>
    <row r="339">
      <c r="A339" s="9" t="n">
        <v>2016</v>
      </c>
      <c r="B339" s="9" t="inlineStr">
        <is>
          <t>MEX</t>
        </is>
      </c>
      <c r="C339" s="9" t="inlineStr">
        <is>
          <t>Mexico</t>
        </is>
      </c>
      <c r="D339" s="9" t="inlineStr">
        <is>
          <t>B09</t>
        </is>
      </c>
      <c r="E339" s="9" t="n">
        <v>13</v>
      </c>
      <c r="F339" s="9" t="n">
        <v>0.8193</v>
      </c>
      <c r="G339" s="9" t="n">
        <v>302.8</v>
      </c>
      <c r="H339" s="9" t="n">
        <v>0.337</v>
      </c>
      <c r="I339" s="9" t="n">
        <v>0.663</v>
      </c>
      <c r="J339" s="9" t="n">
        <v>0.0616</v>
      </c>
      <c r="K339" s="11">
        <f>ROUND(I339+H339,4)</f>
        <v/>
      </c>
    </row>
    <row r="340">
      <c r="A340" s="6" t="n">
        <v>2016</v>
      </c>
      <c r="B340" s="6" t="inlineStr">
        <is>
          <t>CHL</t>
        </is>
      </c>
      <c r="C340" s="6" t="inlineStr">
        <is>
          <t>Chile</t>
        </is>
      </c>
      <c r="D340" s="6" t="inlineStr">
        <is>
          <t>B05_06</t>
        </is>
      </c>
      <c r="E340" s="6" t="n">
        <v>10.3</v>
      </c>
      <c r="F340" s="6" t="n">
        <v>0.8076</v>
      </c>
      <c r="G340" s="6" t="n">
        <v>16.7</v>
      </c>
      <c r="H340" s="6" t="n">
        <v>0.4291</v>
      </c>
      <c r="I340" s="6" t="n">
        <v>0.5709</v>
      </c>
      <c r="J340" s="6" t="n">
        <v>0.2583</v>
      </c>
      <c r="K340" s="11">
        <f>ROUND(I340+H340,4)</f>
        <v/>
      </c>
    </row>
    <row r="341">
      <c r="A341" s="9" t="n">
        <v>2016</v>
      </c>
      <c r="B341" s="9" t="inlineStr">
        <is>
          <t>CHL</t>
        </is>
      </c>
      <c r="C341" s="9" t="inlineStr">
        <is>
          <t>Chile</t>
        </is>
      </c>
      <c r="D341" s="9" t="inlineStr">
        <is>
          <t>B07_08</t>
        </is>
      </c>
      <c r="E341" s="9" t="n">
        <v>30703</v>
      </c>
      <c r="F341" s="9" t="n">
        <v>0.8685</v>
      </c>
      <c r="G341" s="9" t="n">
        <v>18767.9</v>
      </c>
      <c r="H341" s="9" t="n">
        <v>0.0219</v>
      </c>
      <c r="I341" s="9" t="n">
        <v>0.9781</v>
      </c>
      <c r="J341" s="9" t="n">
        <v>0.9214</v>
      </c>
      <c r="K341" s="11">
        <f>ROUND(I341+H341,4)</f>
        <v/>
      </c>
    </row>
    <row r="342">
      <c r="A342" s="6" t="n">
        <v>2016</v>
      </c>
      <c r="B342" s="6" t="inlineStr">
        <is>
          <t>CHL</t>
        </is>
      </c>
      <c r="C342" s="6" t="inlineStr">
        <is>
          <t>Chile</t>
        </is>
      </c>
      <c r="D342" s="6" t="inlineStr">
        <is>
          <t>B09</t>
        </is>
      </c>
      <c r="E342" s="6" t="n">
        <v>31.6</v>
      </c>
      <c r="F342" s="6" t="n">
        <v>0.8822</v>
      </c>
      <c r="G342" s="6" t="n">
        <v>30.2</v>
      </c>
      <c r="H342" s="6" t="n">
        <v>0.2797</v>
      </c>
      <c r="I342" s="6" t="n">
        <v>0.7203000000000001</v>
      </c>
      <c r="J342" s="6" t="n">
        <v>0.4349</v>
      </c>
      <c r="K342" s="11">
        <f>ROUND(I342+H342,4)</f>
        <v/>
      </c>
    </row>
    <row r="343">
      <c r="A343" s="9" t="n">
        <v>2016</v>
      </c>
      <c r="B343" s="9" t="inlineStr">
        <is>
          <t>AUS</t>
        </is>
      </c>
      <c r="C343" s="9" t="inlineStr">
        <is>
          <t>Australia</t>
        </is>
      </c>
      <c r="D343" s="9" t="inlineStr">
        <is>
          <t>B05_06</t>
        </is>
      </c>
      <c r="E343" s="9" t="n">
        <v>41978.5</v>
      </c>
      <c r="F343" s="9" t="n">
        <v>0.9186</v>
      </c>
      <c r="G343" s="9" t="n">
        <v>30953.5</v>
      </c>
      <c r="H343" s="9" t="n">
        <v>0.1124</v>
      </c>
      <c r="I343" s="9" t="n">
        <v>0.8875999999999999</v>
      </c>
      <c r="J343" s="9" t="n">
        <v>0.6583</v>
      </c>
      <c r="K343" s="11">
        <f>ROUND(I343+H343,4)</f>
        <v/>
      </c>
    </row>
    <row r="344">
      <c r="A344" s="6" t="n">
        <v>2016</v>
      </c>
      <c r="B344" s="6" t="inlineStr">
        <is>
          <t>AUS</t>
        </is>
      </c>
      <c r="C344" s="6" t="inlineStr">
        <is>
          <t>Australia</t>
        </is>
      </c>
      <c r="D344" s="6" t="inlineStr">
        <is>
          <t>B07_08</t>
        </is>
      </c>
      <c r="E344" s="6" t="n">
        <v>50522.7</v>
      </c>
      <c r="F344" s="6" t="n">
        <v>0.8903</v>
      </c>
      <c r="G344" s="6" t="n">
        <v>37608.9</v>
      </c>
      <c r="H344" s="6" t="n">
        <v>0.2661</v>
      </c>
      <c r="I344" s="6" t="n">
        <v>0.7339</v>
      </c>
      <c r="J344" s="6" t="n">
        <v>0.838</v>
      </c>
      <c r="K344" s="11">
        <f>ROUND(I344+H344,4)</f>
        <v/>
      </c>
    </row>
    <row r="345">
      <c r="A345" s="9" t="n">
        <v>2016</v>
      </c>
      <c r="B345" s="9" t="inlineStr">
        <is>
          <t>AUS</t>
        </is>
      </c>
      <c r="C345" s="9" t="inlineStr">
        <is>
          <t>Australia</t>
        </is>
      </c>
      <c r="D345" s="9" t="inlineStr">
        <is>
          <t>B09</t>
        </is>
      </c>
      <c r="E345" s="9" t="n">
        <v>200.7</v>
      </c>
      <c r="F345" s="9" t="n">
        <v>0.9095</v>
      </c>
      <c r="G345" s="9" t="n">
        <v>2679.2</v>
      </c>
      <c r="H345" s="9" t="n">
        <v>0.2126</v>
      </c>
      <c r="I345" s="9" t="n">
        <v>0.7874</v>
      </c>
      <c r="J345" s="9" t="n">
        <v>0.5473</v>
      </c>
      <c r="K345" s="11">
        <f>ROUND(I345+H345,4)</f>
        <v/>
      </c>
    </row>
    <row r="346">
      <c r="A346" s="6" t="n">
        <v>2016</v>
      </c>
      <c r="B346" s="6" t="inlineStr">
        <is>
          <t>FIN</t>
        </is>
      </c>
      <c r="C346" s="6" t="inlineStr">
        <is>
          <t>Finlandia</t>
        </is>
      </c>
      <c r="D346" s="6" t="inlineStr">
        <is>
          <t>B05_06</t>
        </is>
      </c>
      <c r="E346" s="6" t="n">
        <v>27.8</v>
      </c>
      <c r="F346" s="6" t="n">
        <v>0.615</v>
      </c>
      <c r="G346" s="6" t="n">
        <v>44</v>
      </c>
      <c r="H346" s="6" t="n">
        <v>0.7965</v>
      </c>
      <c r="I346" s="6" t="n">
        <v>0.2035</v>
      </c>
      <c r="J346" s="6" t="n">
        <v>0.2948</v>
      </c>
      <c r="K346" s="11">
        <f>ROUND(I346+H346,4)</f>
        <v/>
      </c>
    </row>
    <row r="347">
      <c r="A347" s="9" t="n">
        <v>2016</v>
      </c>
      <c r="B347" s="9" t="inlineStr">
        <is>
          <t>FIN</t>
        </is>
      </c>
      <c r="C347" s="9" t="inlineStr">
        <is>
          <t>Finlandia</t>
        </is>
      </c>
      <c r="D347" s="9" t="inlineStr">
        <is>
          <t>B07_08</t>
        </is>
      </c>
      <c r="E347" s="9" t="n">
        <v>268.9</v>
      </c>
      <c r="F347" s="9" t="n">
        <v>0.6046</v>
      </c>
      <c r="G347" s="9" t="n">
        <v>262.9</v>
      </c>
      <c r="H347" s="9" t="n">
        <v>0.637</v>
      </c>
      <c r="I347" s="9" t="n">
        <v>0.363</v>
      </c>
      <c r="J347" s="9" t="n">
        <v>0.4959</v>
      </c>
      <c r="K347" s="11">
        <f>ROUND(I347+H347,4)</f>
        <v/>
      </c>
    </row>
    <row r="348">
      <c r="A348" s="6" t="n">
        <v>2016</v>
      </c>
      <c r="B348" s="6" t="inlineStr">
        <is>
          <t>FIN</t>
        </is>
      </c>
      <c r="C348" s="6" t="inlineStr">
        <is>
          <t>Finlandia</t>
        </is>
      </c>
      <c r="D348" s="6" t="inlineStr">
        <is>
          <t>B09</t>
        </is>
      </c>
      <c r="E348" s="6" t="n">
        <v>20.9</v>
      </c>
      <c r="F348" s="6" t="n">
        <v>0.6284999999999999</v>
      </c>
      <c r="G348" s="6" t="n">
        <v>32</v>
      </c>
      <c r="H348" s="6" t="n">
        <v>0.7315</v>
      </c>
      <c r="I348" s="6" t="n">
        <v>0.2685</v>
      </c>
      <c r="J348" s="6" t="n">
        <v>0.4485</v>
      </c>
      <c r="K348" s="11">
        <f>ROUND(I348+H348,4)</f>
        <v/>
      </c>
    </row>
    <row r="349">
      <c r="A349" s="9" t="n">
        <v>2016</v>
      </c>
      <c r="B349" s="9" t="inlineStr">
        <is>
          <t>SWE</t>
        </is>
      </c>
      <c r="C349" s="9" t="inlineStr">
        <is>
          <t>Suecia</t>
        </is>
      </c>
      <c r="D349" s="9" t="inlineStr">
        <is>
          <t>B05_06</t>
        </is>
      </c>
      <c r="E349" s="9" t="n">
        <v>12.3</v>
      </c>
      <c r="F349" s="9" t="n">
        <v>0.6714</v>
      </c>
      <c r="G349" s="9" t="n">
        <v>33.7</v>
      </c>
      <c r="H349" s="9" t="n">
        <v>0.8862</v>
      </c>
      <c r="I349" s="9" t="n">
        <v>0.1138</v>
      </c>
      <c r="J349" s="9" t="n">
        <v>0.4501</v>
      </c>
      <c r="K349" s="11">
        <f>ROUND(I349+H349,4)</f>
        <v/>
      </c>
    </row>
    <row r="350">
      <c r="A350" s="6" t="n">
        <v>2016</v>
      </c>
      <c r="B350" s="6" t="inlineStr">
        <is>
          <t>SWE</t>
        </is>
      </c>
      <c r="C350" s="6" t="inlineStr">
        <is>
          <t>Suecia</t>
        </is>
      </c>
      <c r="D350" s="6" t="inlineStr">
        <is>
          <t>B07_08</t>
        </is>
      </c>
      <c r="E350" s="6" t="n">
        <v>1412.9</v>
      </c>
      <c r="F350" s="6" t="n">
        <v>0.7743</v>
      </c>
      <c r="G350" s="6" t="n">
        <v>1356.2</v>
      </c>
      <c r="H350" s="6" t="n">
        <v>0.5036</v>
      </c>
      <c r="I350" s="6" t="n">
        <v>0.4964</v>
      </c>
      <c r="J350" s="6" t="n">
        <v>0.7544999999999999</v>
      </c>
      <c r="K350" s="11">
        <f>ROUND(I350+H350,4)</f>
        <v/>
      </c>
    </row>
    <row r="351">
      <c r="A351" s="9" t="n">
        <v>2016</v>
      </c>
      <c r="B351" s="9" t="inlineStr">
        <is>
          <t>SWE</t>
        </is>
      </c>
      <c r="C351" s="9" t="inlineStr">
        <is>
          <t>Suecia</t>
        </is>
      </c>
      <c r="D351" s="9" t="inlineStr">
        <is>
          <t>B09</t>
        </is>
      </c>
      <c r="E351" s="9" t="n">
        <v>99.7</v>
      </c>
      <c r="F351" s="9" t="n">
        <v>0.8417</v>
      </c>
      <c r="G351" s="9" t="n">
        <v>59.9</v>
      </c>
      <c r="H351" s="9" t="n">
        <v>0.0132</v>
      </c>
      <c r="I351" s="9" t="n">
        <v>0.9868</v>
      </c>
      <c r="J351" s="9" t="n">
        <v>0.9777</v>
      </c>
      <c r="K351" s="11">
        <f>ROUND(I351+H351,4)</f>
        <v/>
      </c>
    </row>
    <row r="352">
      <c r="A352" s="6" t="n">
        <v>2017</v>
      </c>
      <c r="B352" s="6" t="inlineStr">
        <is>
          <t>MEX</t>
        </is>
      </c>
      <c r="C352" s="6" t="inlineStr">
        <is>
          <t>Mexico</t>
        </is>
      </c>
      <c r="D352" s="6" t="inlineStr">
        <is>
          <t>B05_06</t>
        </is>
      </c>
      <c r="E352" s="6" t="n">
        <v>18798.6</v>
      </c>
      <c r="F352" s="6" t="n">
        <v>0.8985</v>
      </c>
      <c r="G352" s="6" t="n">
        <v>18822.4</v>
      </c>
      <c r="H352" s="6" t="n">
        <v>0.2436</v>
      </c>
      <c r="I352" s="6" t="n">
        <v>0.7564</v>
      </c>
      <c r="J352" s="6" t="n">
        <v>0.6027</v>
      </c>
      <c r="K352" s="11">
        <f>ROUND(I352+H352,4)</f>
        <v/>
      </c>
    </row>
    <row r="353">
      <c r="A353" s="9" t="n">
        <v>2017</v>
      </c>
      <c r="B353" s="9" t="inlineStr">
        <is>
          <t>MEX</t>
        </is>
      </c>
      <c r="C353" s="9" t="inlineStr">
        <is>
          <t>Mexico</t>
        </is>
      </c>
      <c r="D353" s="9" t="inlineStr">
        <is>
          <t>B07_08</t>
        </is>
      </c>
      <c r="E353" s="9" t="n">
        <v>3938.6</v>
      </c>
      <c r="F353" s="9" t="n">
        <v>0.8841</v>
      </c>
      <c r="G353" s="9" t="n">
        <v>7774.1</v>
      </c>
      <c r="H353" s="9" t="n">
        <v>0.6471</v>
      </c>
      <c r="I353" s="9" t="n">
        <v>0.3529</v>
      </c>
      <c r="J353" s="9" t="n">
        <v>0.6071</v>
      </c>
      <c r="K353" s="11">
        <f>ROUND(I353+H353,4)</f>
        <v/>
      </c>
    </row>
    <row r="354">
      <c r="A354" s="6" t="n">
        <v>2017</v>
      </c>
      <c r="B354" s="6" t="inlineStr">
        <is>
          <t>MEX</t>
        </is>
      </c>
      <c r="C354" s="6" t="inlineStr">
        <is>
          <t>Mexico</t>
        </is>
      </c>
      <c r="D354" s="6" t="inlineStr">
        <is>
          <t>B09</t>
        </is>
      </c>
      <c r="E354" s="6" t="n">
        <v>14</v>
      </c>
      <c r="F354" s="6" t="n">
        <v>0.8237</v>
      </c>
      <c r="G354" s="6" t="n">
        <v>397.7</v>
      </c>
      <c r="H354" s="6" t="n">
        <v>0.3242</v>
      </c>
      <c r="I354" s="6" t="n">
        <v>0.6758</v>
      </c>
      <c r="J354" s="6" t="n">
        <v>0.08939999999999999</v>
      </c>
      <c r="K354" s="11">
        <f>ROUND(I354+H354,4)</f>
        <v/>
      </c>
    </row>
    <row r="355">
      <c r="A355" s="9" t="n">
        <v>2017</v>
      </c>
      <c r="B355" s="9" t="inlineStr">
        <is>
          <t>CHL</t>
        </is>
      </c>
      <c r="C355" s="9" t="inlineStr">
        <is>
          <t>Chile</t>
        </is>
      </c>
      <c r="D355" s="9" t="inlineStr">
        <is>
          <t>B05_06</t>
        </is>
      </c>
      <c r="E355" s="9" t="n">
        <v>15.2</v>
      </c>
      <c r="F355" s="9" t="n">
        <v>0.8287</v>
      </c>
      <c r="G355" s="9" t="n">
        <v>34.1</v>
      </c>
      <c r="H355" s="9" t="n">
        <v>0.4261</v>
      </c>
      <c r="I355" s="9" t="n">
        <v>0.5739</v>
      </c>
      <c r="J355" s="9" t="n">
        <v>0.2912</v>
      </c>
      <c r="K355" s="11">
        <f>ROUND(I355+H355,4)</f>
        <v/>
      </c>
    </row>
    <row r="356">
      <c r="A356" s="6" t="n">
        <v>2017</v>
      </c>
      <c r="B356" s="6" t="inlineStr">
        <is>
          <t>CHL</t>
        </is>
      </c>
      <c r="C356" s="6" t="inlineStr">
        <is>
          <t>Chile</t>
        </is>
      </c>
      <c r="D356" s="6" t="inlineStr">
        <is>
          <t>B07_08</t>
        </is>
      </c>
      <c r="E356" s="6" t="n">
        <v>37096</v>
      </c>
      <c r="F356" s="6" t="n">
        <v>0.8862</v>
      </c>
      <c r="G356" s="6" t="n">
        <v>24785.3</v>
      </c>
      <c r="H356" s="6" t="n">
        <v>0.0213</v>
      </c>
      <c r="I356" s="6" t="n">
        <v>0.9787</v>
      </c>
      <c r="J356" s="6" t="n">
        <v>0.9173</v>
      </c>
      <c r="K356" s="11">
        <f>ROUND(I356+H356,4)</f>
        <v/>
      </c>
    </row>
    <row r="357">
      <c r="A357" s="9" t="n">
        <v>2017</v>
      </c>
      <c r="B357" s="9" t="inlineStr">
        <is>
          <t>CHL</t>
        </is>
      </c>
      <c r="C357" s="9" t="inlineStr">
        <is>
          <t>Chile</t>
        </is>
      </c>
      <c r="D357" s="9" t="inlineStr">
        <is>
          <t>B09</t>
        </is>
      </c>
      <c r="E357" s="9" t="n">
        <v>40.1</v>
      </c>
      <c r="F357" s="9" t="n">
        <v>0.8789</v>
      </c>
      <c r="G357" s="9" t="n">
        <v>36.5</v>
      </c>
      <c r="H357" s="9" t="n">
        <v>0.2554</v>
      </c>
      <c r="I357" s="9" t="n">
        <v>0.7446</v>
      </c>
      <c r="J357" s="9" t="n">
        <v>0.4695</v>
      </c>
      <c r="K357" s="11">
        <f>ROUND(I357+H357,4)</f>
        <v/>
      </c>
    </row>
    <row r="358">
      <c r="A358" s="6" t="n">
        <v>2017</v>
      </c>
      <c r="B358" s="6" t="inlineStr">
        <is>
          <t>AUS</t>
        </is>
      </c>
      <c r="C358" s="6" t="inlineStr">
        <is>
          <t>Australia</t>
        </is>
      </c>
      <c r="D358" s="6" t="inlineStr">
        <is>
          <t>B05_06</t>
        </is>
      </c>
      <c r="E358" s="6" t="n">
        <v>58092.2</v>
      </c>
      <c r="F358" s="6" t="n">
        <v>0.9286</v>
      </c>
      <c r="G358" s="6" t="n">
        <v>44512.1</v>
      </c>
      <c r="H358" s="6" t="n">
        <v>0.09810000000000001</v>
      </c>
      <c r="I358" s="6" t="n">
        <v>0.9019</v>
      </c>
      <c r="J358" s="6" t="n">
        <v>0.7244</v>
      </c>
      <c r="K358" s="11">
        <f>ROUND(I358+H358,4)</f>
        <v/>
      </c>
    </row>
    <row r="359">
      <c r="A359" s="9" t="n">
        <v>2017</v>
      </c>
      <c r="B359" s="9" t="inlineStr">
        <is>
          <t>AUS</t>
        </is>
      </c>
      <c r="C359" s="9" t="inlineStr">
        <is>
          <t>Australia</t>
        </is>
      </c>
      <c r="D359" s="9" t="inlineStr">
        <is>
          <t>B07_08</t>
        </is>
      </c>
      <c r="E359" s="9" t="n">
        <v>62014.6</v>
      </c>
      <c r="F359" s="9" t="n">
        <v>0.8882</v>
      </c>
      <c r="G359" s="9" t="n">
        <v>40003.5</v>
      </c>
      <c r="H359" s="9" t="n">
        <v>0.1851</v>
      </c>
      <c r="I359" s="9" t="n">
        <v>0.8149</v>
      </c>
      <c r="J359" s="9" t="n">
        <v>0.8603</v>
      </c>
      <c r="K359" s="11">
        <f>ROUND(I359+H359,4)</f>
        <v/>
      </c>
    </row>
    <row r="360">
      <c r="A360" s="6" t="n">
        <v>2017</v>
      </c>
      <c r="B360" s="6" t="inlineStr">
        <is>
          <t>AUS</t>
        </is>
      </c>
      <c r="C360" s="6" t="inlineStr">
        <is>
          <t>Australia</t>
        </is>
      </c>
      <c r="D360" s="6" t="inlineStr">
        <is>
          <t>B09</t>
        </is>
      </c>
      <c r="E360" s="6" t="n">
        <v>255.1</v>
      </c>
      <c r="F360" s="6" t="n">
        <v>0.9127999999999999</v>
      </c>
      <c r="G360" s="6" t="n">
        <v>3434.6</v>
      </c>
      <c r="H360" s="6" t="n">
        <v>0.1631</v>
      </c>
      <c r="I360" s="6" t="n">
        <v>0.8369</v>
      </c>
      <c r="J360" s="6" t="n">
        <v>0.5853</v>
      </c>
      <c r="K360" s="11">
        <f>ROUND(I360+H360,4)</f>
        <v/>
      </c>
    </row>
    <row r="361">
      <c r="A361" s="9" t="n">
        <v>2017</v>
      </c>
      <c r="B361" s="9" t="inlineStr">
        <is>
          <t>FIN</t>
        </is>
      </c>
      <c r="C361" s="9" t="inlineStr">
        <is>
          <t>Finlandia</t>
        </is>
      </c>
      <c r="D361" s="9" t="inlineStr">
        <is>
          <t>B05_06</t>
        </is>
      </c>
      <c r="E361" s="9" t="n">
        <v>44.9</v>
      </c>
      <c r="F361" s="9" t="n">
        <v>0.648</v>
      </c>
      <c r="G361" s="9" t="n">
        <v>65.40000000000001</v>
      </c>
      <c r="H361" s="9" t="n">
        <v>0.748</v>
      </c>
      <c r="I361" s="9" t="n">
        <v>0.252</v>
      </c>
      <c r="J361" s="9" t="n">
        <v>0.3134</v>
      </c>
      <c r="K361" s="11">
        <f>ROUND(I361+H361,4)</f>
        <v/>
      </c>
    </row>
    <row r="362">
      <c r="A362" s="6" t="n">
        <v>2017</v>
      </c>
      <c r="B362" s="6" t="inlineStr">
        <is>
          <t>FIN</t>
        </is>
      </c>
      <c r="C362" s="6" t="inlineStr">
        <is>
          <t>Finlandia</t>
        </is>
      </c>
      <c r="D362" s="6" t="inlineStr">
        <is>
          <t>B07_08</t>
        </is>
      </c>
      <c r="E362" s="6" t="n">
        <v>399.2</v>
      </c>
      <c r="F362" s="6" t="n">
        <v>0.6452</v>
      </c>
      <c r="G362" s="6" t="n">
        <v>372.3</v>
      </c>
      <c r="H362" s="6" t="n">
        <v>0.5625</v>
      </c>
      <c r="I362" s="6" t="n">
        <v>0.4375</v>
      </c>
      <c r="J362" s="6" t="n">
        <v>0.5104</v>
      </c>
      <c r="K362" s="11">
        <f>ROUND(I362+H362,4)</f>
        <v/>
      </c>
    </row>
    <row r="363">
      <c r="A363" s="9" t="n">
        <v>2017</v>
      </c>
      <c r="B363" s="9" t="inlineStr">
        <is>
          <t>FIN</t>
        </is>
      </c>
      <c r="C363" s="9" t="inlineStr">
        <is>
          <t>Finlandia</t>
        </is>
      </c>
      <c r="D363" s="9" t="inlineStr">
        <is>
          <t>B09</t>
        </is>
      </c>
      <c r="E363" s="9" t="n">
        <v>23.4</v>
      </c>
      <c r="F363" s="9" t="n">
        <v>0.6997</v>
      </c>
      <c r="G363" s="9" t="n">
        <v>58.2</v>
      </c>
      <c r="H363" s="9" t="n">
        <v>0.7743</v>
      </c>
      <c r="I363" s="9" t="n">
        <v>0.2257</v>
      </c>
      <c r="J363" s="9" t="n">
        <v>0.4533</v>
      </c>
      <c r="K363" s="11">
        <f>ROUND(I363+H363,4)</f>
        <v/>
      </c>
    </row>
    <row r="364">
      <c r="A364" s="6" t="n">
        <v>2017</v>
      </c>
      <c r="B364" s="6" t="inlineStr">
        <is>
          <t>SWE</t>
        </is>
      </c>
      <c r="C364" s="6" t="inlineStr">
        <is>
          <t>Suecia</t>
        </is>
      </c>
      <c r="D364" s="6" t="inlineStr">
        <is>
          <t>B05_06</t>
        </is>
      </c>
      <c r="E364" s="6" t="n">
        <v>20.9</v>
      </c>
      <c r="F364" s="6" t="n">
        <v>0.6726</v>
      </c>
      <c r="G364" s="6" t="n">
        <v>50.2</v>
      </c>
      <c r="H364" s="6" t="n">
        <v>0.8787</v>
      </c>
      <c r="I364" s="6" t="n">
        <v>0.1213</v>
      </c>
      <c r="J364" s="6" t="n">
        <v>0.4881</v>
      </c>
      <c r="K364" s="11">
        <f>ROUND(I364+H364,4)</f>
        <v/>
      </c>
    </row>
    <row r="365">
      <c r="A365" s="9" t="n">
        <v>2017</v>
      </c>
      <c r="B365" s="9" t="inlineStr">
        <is>
          <t>SWE</t>
        </is>
      </c>
      <c r="C365" s="9" t="inlineStr">
        <is>
          <t>Suecia</t>
        </is>
      </c>
      <c r="D365" s="9" t="inlineStr">
        <is>
          <t>B07_08</t>
        </is>
      </c>
      <c r="E365" s="9" t="n">
        <v>1572.7</v>
      </c>
      <c r="F365" s="9" t="n">
        <v>0.8369</v>
      </c>
      <c r="G365" s="9" t="n">
        <v>2226.8</v>
      </c>
      <c r="H365" s="9" t="n">
        <v>0.5692</v>
      </c>
      <c r="I365" s="9" t="n">
        <v>0.4308</v>
      </c>
      <c r="J365" s="9" t="n">
        <v>0.7669</v>
      </c>
      <c r="K365" s="11">
        <f>ROUND(I365+H365,4)</f>
        <v/>
      </c>
    </row>
    <row r="366">
      <c r="A366" s="6" t="n">
        <v>2017</v>
      </c>
      <c r="B366" s="6" t="inlineStr">
        <is>
          <t>SWE</t>
        </is>
      </c>
      <c r="C366" s="6" t="inlineStr">
        <is>
          <t>Suecia</t>
        </is>
      </c>
      <c r="D366" s="6" t="inlineStr">
        <is>
          <t>B09</t>
        </is>
      </c>
      <c r="E366" s="6" t="n">
        <v>99.40000000000001</v>
      </c>
      <c r="F366" s="6" t="n">
        <v>0.7204</v>
      </c>
      <c r="G366" s="6" t="n">
        <v>24.8</v>
      </c>
      <c r="H366" s="6" t="n">
        <v>0.0189</v>
      </c>
      <c r="I366" s="6" t="n">
        <v>0.9811</v>
      </c>
      <c r="J366" s="6" t="n">
        <v>0.9741</v>
      </c>
      <c r="K366" s="11">
        <f>ROUND(I366+H366,4)</f>
        <v/>
      </c>
    </row>
    <row r="367">
      <c r="A367" s="9" t="n">
        <v>2018</v>
      </c>
      <c r="B367" s="9" t="inlineStr">
        <is>
          <t>MEX</t>
        </is>
      </c>
      <c r="C367" s="9" t="inlineStr">
        <is>
          <t>Mexico</t>
        </is>
      </c>
      <c r="D367" s="9" t="inlineStr">
        <is>
          <t>B05_06</t>
        </is>
      </c>
      <c r="E367" s="9" t="n">
        <v>24696.6</v>
      </c>
      <c r="F367" s="9" t="n">
        <v>0.8842</v>
      </c>
      <c r="G367" s="9" t="n">
        <v>22325.7</v>
      </c>
      <c r="H367" s="9" t="n">
        <v>0.1877</v>
      </c>
      <c r="I367" s="9" t="n">
        <v>0.8123</v>
      </c>
      <c r="J367" s="9" t="n">
        <v>0.6625</v>
      </c>
      <c r="K367" s="11">
        <f>ROUND(I367+H367,4)</f>
        <v/>
      </c>
    </row>
    <row r="368">
      <c r="A368" s="6" t="n">
        <v>2018</v>
      </c>
      <c r="B368" s="6" t="inlineStr">
        <is>
          <t>MEX</t>
        </is>
      </c>
      <c r="C368" s="6" t="inlineStr">
        <is>
          <t>Mexico</t>
        </is>
      </c>
      <c r="D368" s="6" t="inlineStr">
        <is>
          <t>B07_08</t>
        </is>
      </c>
      <c r="E368" s="6" t="n">
        <v>4344.1</v>
      </c>
      <c r="F368" s="6" t="n">
        <v>0.8753</v>
      </c>
      <c r="G368" s="6" t="n">
        <v>7908.3</v>
      </c>
      <c r="H368" s="6" t="n">
        <v>0.6224</v>
      </c>
      <c r="I368" s="6" t="n">
        <v>0.3776</v>
      </c>
      <c r="J368" s="6" t="n">
        <v>0.6188</v>
      </c>
      <c r="K368" s="11">
        <f>ROUND(I368+H368,4)</f>
        <v/>
      </c>
    </row>
    <row r="369">
      <c r="A369" s="9" t="n">
        <v>2018</v>
      </c>
      <c r="B369" s="9" t="inlineStr">
        <is>
          <t>MEX</t>
        </is>
      </c>
      <c r="C369" s="9" t="inlineStr">
        <is>
          <t>Mexico</t>
        </is>
      </c>
      <c r="D369" s="9" t="inlineStr">
        <is>
          <t>B09</t>
        </is>
      </c>
      <c r="E369" s="9" t="n">
        <v>14.2</v>
      </c>
      <c r="F369" s="9" t="n">
        <v>0.8147</v>
      </c>
      <c r="G369" s="9" t="n">
        <v>470.4</v>
      </c>
      <c r="H369" s="9" t="n">
        <v>0.2617</v>
      </c>
      <c r="I369" s="9" t="n">
        <v>0.7383</v>
      </c>
      <c r="J369" s="9" t="n">
        <v>0.1077</v>
      </c>
      <c r="K369" s="11">
        <f>ROUND(I369+H369,4)</f>
        <v/>
      </c>
    </row>
    <row r="370">
      <c r="A370" s="6" t="n">
        <v>2018</v>
      </c>
      <c r="B370" s="6" t="inlineStr">
        <is>
          <t>CHL</t>
        </is>
      </c>
      <c r="C370" s="6" t="inlineStr">
        <is>
          <t>Chile</t>
        </is>
      </c>
      <c r="D370" s="6" t="inlineStr">
        <is>
          <t>B05_06</t>
        </is>
      </c>
      <c r="E370" s="6" t="n">
        <v>6.2</v>
      </c>
      <c r="F370" s="6" t="n">
        <v>0.8336</v>
      </c>
      <c r="G370" s="6" t="n">
        <v>39.9</v>
      </c>
      <c r="H370" s="6" t="n">
        <v>0.4978</v>
      </c>
      <c r="I370" s="6" t="n">
        <v>0.5022</v>
      </c>
      <c r="J370" s="6" t="n">
        <v>0.2719</v>
      </c>
      <c r="K370" s="11">
        <f>ROUND(I370+H370,4)</f>
        <v/>
      </c>
    </row>
    <row r="371">
      <c r="A371" s="9" t="n">
        <v>2018</v>
      </c>
      <c r="B371" s="9" t="inlineStr">
        <is>
          <t>CHL</t>
        </is>
      </c>
      <c r="C371" s="9" t="inlineStr">
        <is>
          <t>Chile</t>
        </is>
      </c>
      <c r="D371" s="9" t="inlineStr">
        <is>
          <t>B07_08</t>
        </is>
      </c>
      <c r="E371" s="9" t="n">
        <v>39230</v>
      </c>
      <c r="F371" s="9" t="n">
        <v>0.8716</v>
      </c>
      <c r="G371" s="9" t="n">
        <v>25874.4</v>
      </c>
      <c r="H371" s="9" t="n">
        <v>0.025</v>
      </c>
      <c r="I371" s="9" t="n">
        <v>0.975</v>
      </c>
      <c r="J371" s="9" t="n">
        <v>0.9095</v>
      </c>
      <c r="K371" s="11">
        <f>ROUND(I371+H371,4)</f>
        <v/>
      </c>
    </row>
    <row r="372">
      <c r="A372" s="6" t="n">
        <v>2018</v>
      </c>
      <c r="B372" s="6" t="inlineStr">
        <is>
          <t>CHL</t>
        </is>
      </c>
      <c r="C372" s="6" t="inlineStr">
        <is>
          <t>Chile</t>
        </is>
      </c>
      <c r="D372" s="6" t="inlineStr">
        <is>
          <t>B09</t>
        </is>
      </c>
      <c r="E372" s="6" t="n">
        <v>52.5</v>
      </c>
      <c r="F372" s="6" t="n">
        <v>0.8673</v>
      </c>
      <c r="G372" s="6" t="n">
        <v>44.9</v>
      </c>
      <c r="H372" s="6" t="n">
        <v>0.2237</v>
      </c>
      <c r="I372" s="6" t="n">
        <v>0.7763</v>
      </c>
      <c r="J372" s="6" t="n">
        <v>0.5346</v>
      </c>
      <c r="K372" s="11">
        <f>ROUND(I372+H372,4)</f>
        <v/>
      </c>
    </row>
    <row r="373">
      <c r="A373" s="9" t="n">
        <v>2018</v>
      </c>
      <c r="B373" s="9" t="inlineStr">
        <is>
          <t>AUS</t>
        </is>
      </c>
      <c r="C373" s="9" t="inlineStr">
        <is>
          <t>Australia</t>
        </is>
      </c>
      <c r="D373" s="9" t="inlineStr">
        <is>
          <t>B05_06</t>
        </is>
      </c>
      <c r="E373" s="9" t="n">
        <v>82102.3</v>
      </c>
      <c r="F373" s="9" t="n">
        <v>0.9194</v>
      </c>
      <c r="G373" s="9" t="n">
        <v>58894.2</v>
      </c>
      <c r="H373" s="9" t="n">
        <v>0.0536</v>
      </c>
      <c r="I373" s="9" t="n">
        <v>0.9464</v>
      </c>
      <c r="J373" s="9" t="n">
        <v>0.7923</v>
      </c>
      <c r="K373" s="11">
        <f>ROUND(I373+H373,4)</f>
        <v/>
      </c>
    </row>
    <row r="374">
      <c r="A374" s="6" t="n">
        <v>2018</v>
      </c>
      <c r="B374" s="6" t="inlineStr">
        <is>
          <t>AUS</t>
        </is>
      </c>
      <c r="C374" s="6" t="inlineStr">
        <is>
          <t>Australia</t>
        </is>
      </c>
      <c r="D374" s="6" t="inlineStr">
        <is>
          <t>B07_08</t>
        </is>
      </c>
      <c r="E374" s="6" t="n">
        <v>65949.10000000001</v>
      </c>
      <c r="F374" s="6" t="n">
        <v>0.8809</v>
      </c>
      <c r="G374" s="6" t="n">
        <v>47058.8</v>
      </c>
      <c r="H374" s="6" t="n">
        <v>0.234</v>
      </c>
      <c r="I374" s="6" t="n">
        <v>0.766</v>
      </c>
      <c r="J374" s="6" t="n">
        <v>0.8357</v>
      </c>
      <c r="K374" s="11">
        <f>ROUND(I374+H374,4)</f>
        <v/>
      </c>
    </row>
    <row r="375">
      <c r="A375" s="9" t="n">
        <v>2018</v>
      </c>
      <c r="B375" s="9" t="inlineStr">
        <is>
          <t>AUS</t>
        </is>
      </c>
      <c r="C375" s="9" t="inlineStr">
        <is>
          <t>Australia</t>
        </is>
      </c>
      <c r="D375" s="9" t="inlineStr">
        <is>
          <t>B09</t>
        </is>
      </c>
      <c r="E375" s="9" t="n">
        <v>249.4</v>
      </c>
      <c r="F375" s="9" t="n">
        <v>0.8988</v>
      </c>
      <c r="G375" s="9" t="n">
        <v>3368.1</v>
      </c>
      <c r="H375" s="9" t="n">
        <v>0.1646</v>
      </c>
      <c r="I375" s="9" t="n">
        <v>0.8354</v>
      </c>
      <c r="J375" s="9" t="n">
        <v>0.6032999999999999</v>
      </c>
      <c r="K375" s="11">
        <f>ROUND(I375+H375,4)</f>
        <v/>
      </c>
    </row>
    <row r="376">
      <c r="A376" s="6" t="n">
        <v>2018</v>
      </c>
      <c r="B376" s="6" t="inlineStr">
        <is>
          <t>FIN</t>
        </is>
      </c>
      <c r="C376" s="6" t="inlineStr">
        <is>
          <t>Finlandia</t>
        </is>
      </c>
      <c r="D376" s="6" t="inlineStr">
        <is>
          <t>B05_06</t>
        </is>
      </c>
      <c r="E376" s="6" t="n">
        <v>52.5</v>
      </c>
      <c r="F376" s="6" t="n">
        <v>0.6274</v>
      </c>
      <c r="G376" s="6" t="n">
        <v>72.5</v>
      </c>
      <c r="H376" s="6" t="n">
        <v>0.7364000000000001</v>
      </c>
      <c r="I376" s="6" t="n">
        <v>0.2636</v>
      </c>
      <c r="J376" s="6" t="n">
        <v>0.3112</v>
      </c>
      <c r="K376" s="11">
        <f>ROUND(I376+H376,4)</f>
        <v/>
      </c>
    </row>
    <row r="377">
      <c r="A377" s="9" t="n">
        <v>2018</v>
      </c>
      <c r="B377" s="9" t="inlineStr">
        <is>
          <t>FIN</t>
        </is>
      </c>
      <c r="C377" s="9" t="inlineStr">
        <is>
          <t>Finlandia</t>
        </is>
      </c>
      <c r="D377" s="9" t="inlineStr">
        <is>
          <t>B07_08</t>
        </is>
      </c>
      <c r="E377" s="9" t="n">
        <v>468</v>
      </c>
      <c r="F377" s="9" t="n">
        <v>0.6327</v>
      </c>
      <c r="G377" s="9" t="n">
        <v>416.9</v>
      </c>
      <c r="H377" s="9" t="n">
        <v>0.5452</v>
      </c>
      <c r="I377" s="9" t="n">
        <v>0.4548</v>
      </c>
      <c r="J377" s="9" t="n">
        <v>0.5042</v>
      </c>
      <c r="K377" s="11">
        <f>ROUND(I377+H377,4)</f>
        <v/>
      </c>
    </row>
    <row r="378">
      <c r="A378" s="6" t="n">
        <v>2018</v>
      </c>
      <c r="B378" s="6" t="inlineStr">
        <is>
          <t>FIN</t>
        </is>
      </c>
      <c r="C378" s="6" t="inlineStr">
        <is>
          <t>Finlandia</t>
        </is>
      </c>
      <c r="D378" s="6" t="inlineStr">
        <is>
          <t>B09</t>
        </is>
      </c>
      <c r="E378" s="6" t="n">
        <v>25.9</v>
      </c>
      <c r="F378" s="6" t="n">
        <v>0.645</v>
      </c>
      <c r="G378" s="6" t="n">
        <v>55.3</v>
      </c>
      <c r="H378" s="6" t="n">
        <v>0.778</v>
      </c>
      <c r="I378" s="6" t="n">
        <v>0.222</v>
      </c>
      <c r="J378" s="6" t="n">
        <v>0.4704</v>
      </c>
      <c r="K378" s="11">
        <f>ROUND(I378+H378,4)</f>
        <v/>
      </c>
    </row>
    <row r="379">
      <c r="A379" s="9" t="n">
        <v>2018</v>
      </c>
      <c r="B379" s="9" t="inlineStr">
        <is>
          <t>SWE</t>
        </is>
      </c>
      <c r="C379" s="9" t="inlineStr">
        <is>
          <t>Suecia</t>
        </is>
      </c>
      <c r="D379" s="9" t="inlineStr">
        <is>
          <t>B05_06</t>
        </is>
      </c>
      <c r="E379" s="9" t="n">
        <v>16.5</v>
      </c>
      <c r="F379" s="9" t="n">
        <v>0.6566</v>
      </c>
      <c r="G379" s="9" t="n">
        <v>51.9</v>
      </c>
      <c r="H379" s="9" t="n">
        <v>0.9033</v>
      </c>
      <c r="I379" s="9" t="n">
        <v>0.09669999999999999</v>
      </c>
      <c r="J379" s="9" t="n">
        <v>0.4961</v>
      </c>
      <c r="K379" s="11">
        <f>ROUND(I379+H379,4)</f>
        <v/>
      </c>
    </row>
    <row r="380">
      <c r="A380" s="6" t="n">
        <v>2018</v>
      </c>
      <c r="B380" s="6" t="inlineStr">
        <is>
          <t>SWE</t>
        </is>
      </c>
      <c r="C380" s="6" t="inlineStr">
        <is>
          <t>Suecia</t>
        </is>
      </c>
      <c r="D380" s="6" t="inlineStr">
        <is>
          <t>B07_08</t>
        </is>
      </c>
      <c r="E380" s="6" t="n">
        <v>1874.7</v>
      </c>
      <c r="F380" s="6" t="n">
        <v>0.8272</v>
      </c>
      <c r="G380" s="6" t="n">
        <v>2420.7</v>
      </c>
      <c r="H380" s="6" t="n">
        <v>0.5233</v>
      </c>
      <c r="I380" s="6" t="n">
        <v>0.4767</v>
      </c>
      <c r="J380" s="6" t="n">
        <v>0.7791</v>
      </c>
      <c r="K380" s="11">
        <f>ROUND(I380+H380,4)</f>
        <v/>
      </c>
    </row>
    <row r="381">
      <c r="A381" s="9" t="n">
        <v>2018</v>
      </c>
      <c r="B381" s="9" t="inlineStr">
        <is>
          <t>SWE</t>
        </is>
      </c>
      <c r="C381" s="9" t="inlineStr">
        <is>
          <t>Suecia</t>
        </is>
      </c>
      <c r="D381" s="9" t="inlineStr">
        <is>
          <t>B09</t>
        </is>
      </c>
      <c r="E381" s="9" t="n">
        <v>139.6</v>
      </c>
      <c r="F381" s="9" t="n">
        <v>0.6820000000000001</v>
      </c>
      <c r="G381" s="9" t="n">
        <v>27.8</v>
      </c>
      <c r="H381" s="9" t="n">
        <v>0.0153</v>
      </c>
      <c r="I381" s="9" t="n">
        <v>0.9847</v>
      </c>
      <c r="J381" s="9" t="n">
        <v>0.9802999999999999</v>
      </c>
      <c r="K381" s="11">
        <f>ROUND(I381+H381,4)</f>
        <v/>
      </c>
    </row>
    <row r="382">
      <c r="A382" s="6" t="n">
        <v>2018</v>
      </c>
      <c r="B382" s="6" t="inlineStr">
        <is>
          <t>CHN</t>
        </is>
      </c>
      <c r="C382" s="6" t="inlineStr">
        <is>
          <t>China</t>
        </is>
      </c>
      <c r="D382" s="6" t="inlineStr">
        <is>
          <t>B05_06</t>
        </is>
      </c>
      <c r="E382" s="6" t="n">
        <v>2340.2</v>
      </c>
      <c r="F382" s="6" t="n">
        <v>0.8538</v>
      </c>
      <c r="G382" s="6" t="n">
        <v>43934.4</v>
      </c>
      <c r="H382" s="6" t="n">
        <v>0.9737</v>
      </c>
      <c r="I382" s="6" t="n">
        <v>0.0263</v>
      </c>
      <c r="J382" s="6" t="n">
        <v>0.1865</v>
      </c>
      <c r="K382" s="11">
        <f>ROUND(I382+H382,4)</f>
        <v/>
      </c>
    </row>
    <row r="383">
      <c r="A383" s="9" t="n">
        <v>2018</v>
      </c>
      <c r="B383" s="9" t="inlineStr">
        <is>
          <t>CHN</t>
        </is>
      </c>
      <c r="C383" s="9" t="inlineStr">
        <is>
          <t>China</t>
        </is>
      </c>
      <c r="D383" s="9" t="inlineStr">
        <is>
          <t>B07_08</t>
        </is>
      </c>
      <c r="E383" s="9" t="n">
        <v>3709.8</v>
      </c>
      <c r="F383" s="9" t="n">
        <v>0.7677</v>
      </c>
      <c r="G383" s="9" t="n">
        <v>15507.1</v>
      </c>
      <c r="H383" s="9" t="n">
        <v>0.9315</v>
      </c>
      <c r="I383" s="9" t="n">
        <v>0.06850000000000001</v>
      </c>
      <c r="J383" s="9" t="n">
        <v>0.1797</v>
      </c>
      <c r="K383" s="11">
        <f>ROUND(I383+H383,4)</f>
        <v/>
      </c>
    </row>
    <row r="384">
      <c r="A384" s="6" t="n">
        <v>2018</v>
      </c>
      <c r="B384" s="6" t="inlineStr">
        <is>
          <t>CHN</t>
        </is>
      </c>
      <c r="C384" s="6" t="inlineStr">
        <is>
          <t>China</t>
        </is>
      </c>
      <c r="D384" s="6" t="inlineStr">
        <is>
          <t>B09</t>
        </is>
      </c>
      <c r="E384" s="6" t="n">
        <v>560.2</v>
      </c>
      <c r="F384" s="6" t="n">
        <v>0.7935</v>
      </c>
      <c r="G384" s="6" t="n">
        <v>1508.8</v>
      </c>
      <c r="H384" s="6" t="n">
        <v>0.8772</v>
      </c>
      <c r="I384" s="6" t="n">
        <v>0.1228</v>
      </c>
      <c r="J384" s="6" t="n">
        <v>0.1934</v>
      </c>
      <c r="K384" s="11">
        <f>ROUND(I384+H384,4)</f>
        <v/>
      </c>
    </row>
    <row r="385">
      <c r="A385" s="9" t="n">
        <v>2018</v>
      </c>
      <c r="B385" s="9" t="inlineStr">
        <is>
          <t>BRA</t>
        </is>
      </c>
      <c r="C385" s="9" t="inlineStr">
        <is>
          <t>Brasil</t>
        </is>
      </c>
      <c r="D385" s="9" t="inlineStr">
        <is>
          <t>B05_06</t>
        </is>
      </c>
      <c r="E385" s="9" t="n">
        <v>24676.7</v>
      </c>
      <c r="F385" s="9" t="n">
        <v>0.8178</v>
      </c>
      <c r="G385" s="9" t="n">
        <v>14100.5</v>
      </c>
      <c r="H385" s="9" t="n">
        <v>0.1453</v>
      </c>
      <c r="I385" s="9" t="n">
        <v>0.8547</v>
      </c>
      <c r="J385" s="9" t="n">
        <v>0.5598</v>
      </c>
      <c r="K385" s="11">
        <f>ROUND(I385+H385,4)</f>
        <v/>
      </c>
    </row>
    <row r="386">
      <c r="A386" s="6" t="n">
        <v>2018</v>
      </c>
      <c r="B386" s="6" t="inlineStr">
        <is>
          <t>BRA</t>
        </is>
      </c>
      <c r="C386" s="6" t="inlineStr">
        <is>
          <t>Brasil</t>
        </is>
      </c>
      <c r="D386" s="6" t="inlineStr">
        <is>
          <t>B07_08</t>
        </is>
      </c>
      <c r="E386" s="6" t="n">
        <v>21639.2</v>
      </c>
      <c r="F386" s="6" t="n">
        <v>0.8218</v>
      </c>
      <c r="G386" s="6" t="n">
        <v>12059.7</v>
      </c>
      <c r="H386" s="6" t="n">
        <v>0.1764</v>
      </c>
      <c r="I386" s="6" t="n">
        <v>0.8236</v>
      </c>
      <c r="J386" s="6" t="n">
        <v>0.6933</v>
      </c>
      <c r="K386" s="11">
        <f>ROUND(I386+H386,4)</f>
        <v/>
      </c>
    </row>
    <row r="387">
      <c r="A387" s="9" t="n">
        <v>2018</v>
      </c>
      <c r="B387" s="9" t="inlineStr">
        <is>
          <t>BRA</t>
        </is>
      </c>
      <c r="C387" s="9" t="inlineStr">
        <is>
          <t>Brasil</t>
        </is>
      </c>
      <c r="D387" s="9" t="inlineStr">
        <is>
          <t>B09</t>
        </is>
      </c>
      <c r="E387" s="9" t="n">
        <v>67.40000000000001</v>
      </c>
      <c r="F387" s="9" t="n">
        <v>0.8704</v>
      </c>
      <c r="G387" s="9" t="n">
        <v>694.2</v>
      </c>
      <c r="H387" s="9" t="n">
        <v>0.335</v>
      </c>
      <c r="I387" s="9" t="n">
        <v>0.665</v>
      </c>
      <c r="J387" s="9" t="n">
        <v>0.3944</v>
      </c>
      <c r="K387" s="11">
        <f>ROUND(I387+H387,4)</f>
        <v/>
      </c>
    </row>
    <row r="388">
      <c r="A388" s="6" t="n">
        <v>2018</v>
      </c>
      <c r="B388" s="6" t="inlineStr">
        <is>
          <t>PER</t>
        </is>
      </c>
      <c r="C388" s="6" t="inlineStr">
        <is>
          <t>Peru</t>
        </is>
      </c>
      <c r="D388" s="6" t="inlineStr">
        <is>
          <t>B05_06</t>
        </is>
      </c>
      <c r="E388" s="6" t="n">
        <v>734.3</v>
      </c>
      <c r="F388" s="6" t="n">
        <v>0.8625</v>
      </c>
      <c r="G388" s="6" t="n">
        <v>1449.9</v>
      </c>
      <c r="H388" s="6" t="n">
        <v>0.4923</v>
      </c>
      <c r="I388" s="6" t="n">
        <v>0.5077</v>
      </c>
      <c r="J388" s="6" t="n">
        <v>0.4196</v>
      </c>
      <c r="K388" s="11">
        <f>ROUND(I388+H388,4)</f>
        <v/>
      </c>
    </row>
    <row r="389">
      <c r="A389" s="9" t="n">
        <v>2018</v>
      </c>
      <c r="B389" s="9" t="inlineStr">
        <is>
          <t>PER</t>
        </is>
      </c>
      <c r="C389" s="9" t="inlineStr">
        <is>
          <t>Peru</t>
        </is>
      </c>
      <c r="D389" s="9" t="inlineStr">
        <is>
          <t>B07_08</t>
        </is>
      </c>
      <c r="E389" s="9" t="n">
        <v>25006.1</v>
      </c>
      <c r="F389" s="9" t="n">
        <v>0.8591</v>
      </c>
      <c r="G389" s="9" t="n">
        <v>15399.8</v>
      </c>
      <c r="H389" s="9" t="n">
        <v>0.0172</v>
      </c>
      <c r="I389" s="9" t="n">
        <v>0.9828</v>
      </c>
      <c r="J389" s="9" t="n">
        <v>0.9118000000000001</v>
      </c>
      <c r="K389" s="11">
        <f>ROUND(I389+H389,4)</f>
        <v/>
      </c>
    </row>
    <row r="390">
      <c r="A390" s="6" t="n">
        <v>2018</v>
      </c>
      <c r="B390" s="6" t="inlineStr">
        <is>
          <t>PER</t>
        </is>
      </c>
      <c r="C390" s="6" t="inlineStr">
        <is>
          <t>Peru</t>
        </is>
      </c>
      <c r="D390" s="6" t="inlineStr">
        <is>
          <t>B09</t>
        </is>
      </c>
      <c r="E390" s="6" t="n">
        <v>2.9</v>
      </c>
      <c r="F390" s="6" t="n">
        <v>0.9296</v>
      </c>
      <c r="G390" s="6" t="n">
        <v>263.5</v>
      </c>
      <c r="H390" s="6" t="n">
        <v>0.1927</v>
      </c>
      <c r="I390" s="6" t="n">
        <v>0.8073</v>
      </c>
      <c r="J390" s="6" t="n">
        <v>0.5328000000000001</v>
      </c>
      <c r="K390" s="11">
        <f>ROUND(I390+H390,4)</f>
        <v/>
      </c>
    </row>
    <row r="391">
      <c r="A391" s="9" t="n">
        <v>2019</v>
      </c>
      <c r="B391" s="9" t="inlineStr">
        <is>
          <t>MEX</t>
        </is>
      </c>
      <c r="C391" s="9" t="inlineStr">
        <is>
          <t>Mexico</t>
        </is>
      </c>
      <c r="D391" s="9" t="inlineStr">
        <is>
          <t>B05_06</t>
        </is>
      </c>
      <c r="E391" s="9" t="n">
        <v>25343.7</v>
      </c>
      <c r="F391" s="9" t="n">
        <v>0.9048</v>
      </c>
      <c r="G391" s="9" t="n">
        <v>24499.2</v>
      </c>
      <c r="H391" s="9" t="n">
        <v>0.1967</v>
      </c>
      <c r="I391" s="9" t="n">
        <v>0.8033</v>
      </c>
      <c r="J391" s="9" t="n">
        <v>0.6532</v>
      </c>
      <c r="K391" s="11">
        <f>ROUND(I391+H391,4)</f>
        <v/>
      </c>
    </row>
    <row r="392">
      <c r="A392" s="6" t="n">
        <v>2019</v>
      </c>
      <c r="B392" s="6" t="inlineStr">
        <is>
          <t>MEX</t>
        </is>
      </c>
      <c r="C392" s="6" t="inlineStr">
        <is>
          <t>Mexico</t>
        </is>
      </c>
      <c r="D392" s="6" t="inlineStr">
        <is>
          <t>B07_08</t>
        </is>
      </c>
      <c r="E392" s="6" t="n">
        <v>5113</v>
      </c>
      <c r="F392" s="6" t="n">
        <v>0.8799</v>
      </c>
      <c r="G392" s="6" t="n">
        <v>8065.5</v>
      </c>
      <c r="H392" s="6" t="n">
        <v>0.5666</v>
      </c>
      <c r="I392" s="6" t="n">
        <v>0.4334</v>
      </c>
      <c r="J392" s="6" t="n">
        <v>0.6356000000000001</v>
      </c>
      <c r="K392" s="11">
        <f>ROUND(I392+H392,4)</f>
        <v/>
      </c>
    </row>
    <row r="393">
      <c r="A393" s="9" t="n">
        <v>2019</v>
      </c>
      <c r="B393" s="9" t="inlineStr">
        <is>
          <t>MEX</t>
        </is>
      </c>
      <c r="C393" s="9" t="inlineStr">
        <is>
          <t>Mexico</t>
        </is>
      </c>
      <c r="D393" s="9" t="inlineStr">
        <is>
          <t>B09</t>
        </is>
      </c>
      <c r="E393" s="9" t="n">
        <v>17</v>
      </c>
      <c r="F393" s="9" t="n">
        <v>0.821</v>
      </c>
      <c r="G393" s="9" t="n">
        <v>516.5</v>
      </c>
      <c r="H393" s="9" t="n">
        <v>0.273</v>
      </c>
      <c r="I393" s="9" t="n">
        <v>0.727</v>
      </c>
      <c r="J393" s="9" t="n">
        <v>0.103</v>
      </c>
      <c r="K393" s="11">
        <f>ROUND(I393+H393,4)</f>
        <v/>
      </c>
    </row>
    <row r="394">
      <c r="A394" s="6" t="n">
        <v>2019</v>
      </c>
      <c r="B394" s="6" t="inlineStr">
        <is>
          <t>CHL</t>
        </is>
      </c>
      <c r="C394" s="6" t="inlineStr">
        <is>
          <t>Chile</t>
        </is>
      </c>
      <c r="D394" s="6" t="inlineStr">
        <is>
          <t>B05_06</t>
        </is>
      </c>
      <c r="E394" s="6" t="n">
        <v>4.7</v>
      </c>
      <c r="F394" s="6" t="n">
        <v>0.8046</v>
      </c>
      <c r="G394" s="6" t="n">
        <v>31.6</v>
      </c>
      <c r="H394" s="6" t="n">
        <v>0.5335</v>
      </c>
      <c r="I394" s="6" t="n">
        <v>0.4665</v>
      </c>
      <c r="J394" s="6" t="n">
        <v>0.2646</v>
      </c>
      <c r="K394" s="11">
        <f>ROUND(I394+H394,4)</f>
        <v/>
      </c>
    </row>
    <row r="395">
      <c r="A395" s="9" t="n">
        <v>2019</v>
      </c>
      <c r="B395" s="9" t="inlineStr">
        <is>
          <t>CHL</t>
        </is>
      </c>
      <c r="C395" s="9" t="inlineStr">
        <is>
          <t>Chile</t>
        </is>
      </c>
      <c r="D395" s="9" t="inlineStr">
        <is>
          <t>B07_08</t>
        </is>
      </c>
      <c r="E395" s="9" t="n">
        <v>35400.8</v>
      </c>
      <c r="F395" s="9" t="n">
        <v>0.8673</v>
      </c>
      <c r="G395" s="9" t="n">
        <v>23283.6</v>
      </c>
      <c r="H395" s="9" t="n">
        <v>0.0277</v>
      </c>
      <c r="I395" s="9" t="n">
        <v>0.9723000000000001</v>
      </c>
      <c r="J395" s="9" t="n">
        <v>0.9087</v>
      </c>
      <c r="K395" s="11">
        <f>ROUND(I395+H395,4)</f>
        <v/>
      </c>
    </row>
    <row r="396">
      <c r="A396" s="6" t="n">
        <v>2019</v>
      </c>
      <c r="B396" s="6" t="inlineStr">
        <is>
          <t>CHL</t>
        </is>
      </c>
      <c r="C396" s="6" t="inlineStr">
        <is>
          <t>Chile</t>
        </is>
      </c>
      <c r="D396" s="6" t="inlineStr">
        <is>
          <t>B09</t>
        </is>
      </c>
      <c r="E396" s="6" t="n">
        <v>44.4</v>
      </c>
      <c r="F396" s="6" t="n">
        <v>0.8737</v>
      </c>
      <c r="G396" s="6" t="n">
        <v>40.6</v>
      </c>
      <c r="H396" s="6" t="n">
        <v>0.2438</v>
      </c>
      <c r="I396" s="6" t="n">
        <v>0.7562</v>
      </c>
      <c r="J396" s="6" t="n">
        <v>0.4964</v>
      </c>
      <c r="K396" s="11">
        <f>ROUND(I396+H396,4)</f>
        <v/>
      </c>
    </row>
    <row r="397">
      <c r="A397" s="9" t="n">
        <v>2019</v>
      </c>
      <c r="B397" s="9" t="inlineStr">
        <is>
          <t>AUS</t>
        </is>
      </c>
      <c r="C397" s="9" t="inlineStr">
        <is>
          <t>Australia</t>
        </is>
      </c>
      <c r="D397" s="9" t="inlineStr">
        <is>
          <t>B05_06</t>
        </is>
      </c>
      <c r="E397" s="9" t="n">
        <v>71615.7</v>
      </c>
      <c r="F397" s="9" t="n">
        <v>0.9196</v>
      </c>
      <c r="G397" s="9" t="n">
        <v>49149.1</v>
      </c>
      <c r="H397" s="9" t="n">
        <v>0.0426</v>
      </c>
      <c r="I397" s="9" t="n">
        <v>0.9574</v>
      </c>
      <c r="J397" s="9" t="n">
        <v>0.8035</v>
      </c>
      <c r="K397" s="11">
        <f>ROUND(I397+H397,4)</f>
        <v/>
      </c>
    </row>
    <row r="398">
      <c r="A398" s="6" t="n">
        <v>2019</v>
      </c>
      <c r="B398" s="6" t="inlineStr">
        <is>
          <t>AUS</t>
        </is>
      </c>
      <c r="C398" s="6" t="inlineStr">
        <is>
          <t>Australia</t>
        </is>
      </c>
      <c r="D398" s="6" t="inlineStr">
        <is>
          <t>B07_08</t>
        </is>
      </c>
      <c r="E398" s="6" t="n">
        <v>82596.10000000001</v>
      </c>
      <c r="F398" s="6" t="n">
        <v>0.9014</v>
      </c>
      <c r="G398" s="6" t="n">
        <v>63239.9</v>
      </c>
      <c r="H398" s="6" t="n">
        <v>0.2034</v>
      </c>
      <c r="I398" s="6" t="n">
        <v>0.7966</v>
      </c>
      <c r="J398" s="6" t="n">
        <v>0.8742</v>
      </c>
      <c r="K398" s="11">
        <f>ROUND(I398+H398,4)</f>
        <v/>
      </c>
    </row>
    <row r="399">
      <c r="A399" s="9" t="n">
        <v>2019</v>
      </c>
      <c r="B399" s="9" t="inlineStr">
        <is>
          <t>AUS</t>
        </is>
      </c>
      <c r="C399" s="9" t="inlineStr">
        <is>
          <t>Australia</t>
        </is>
      </c>
      <c r="D399" s="9" t="inlineStr">
        <is>
          <t>B09</t>
        </is>
      </c>
      <c r="E399" s="9" t="n">
        <v>256.7</v>
      </c>
      <c r="F399" s="9" t="n">
        <v>0.9054</v>
      </c>
      <c r="G399" s="9" t="n">
        <v>4134.9</v>
      </c>
      <c r="H399" s="9" t="n">
        <v>0.1493</v>
      </c>
      <c r="I399" s="9" t="n">
        <v>0.8507</v>
      </c>
      <c r="J399" s="9" t="n">
        <v>0.6173</v>
      </c>
      <c r="K399" s="11">
        <f>ROUND(I399+H399,4)</f>
        <v/>
      </c>
    </row>
    <row r="400">
      <c r="A400" s="6" t="n">
        <v>2019</v>
      </c>
      <c r="B400" s="6" t="inlineStr">
        <is>
          <t>FIN</t>
        </is>
      </c>
      <c r="C400" s="6" t="inlineStr">
        <is>
          <t>Finlandia</t>
        </is>
      </c>
      <c r="D400" s="6" t="inlineStr">
        <is>
          <t>B05_06</t>
        </is>
      </c>
      <c r="E400" s="6" t="n">
        <v>75</v>
      </c>
      <c r="F400" s="6" t="n">
        <v>0.6646</v>
      </c>
      <c r="G400" s="6" t="n">
        <v>62.6</v>
      </c>
      <c r="H400" s="6" t="n">
        <v>0.5875</v>
      </c>
      <c r="I400" s="6" t="n">
        <v>0.4125</v>
      </c>
      <c r="J400" s="6" t="n">
        <v>0.3277</v>
      </c>
      <c r="K400" s="11">
        <f>ROUND(I400+H400,4)</f>
        <v/>
      </c>
    </row>
    <row r="401">
      <c r="A401" s="9" t="n">
        <v>2019</v>
      </c>
      <c r="B401" s="9" t="inlineStr">
        <is>
          <t>FIN</t>
        </is>
      </c>
      <c r="C401" s="9" t="inlineStr">
        <is>
          <t>Finlandia</t>
        </is>
      </c>
      <c r="D401" s="9" t="inlineStr">
        <is>
          <t>B07_08</t>
        </is>
      </c>
      <c r="E401" s="9" t="n">
        <v>474.3</v>
      </c>
      <c r="F401" s="9" t="n">
        <v>0.6512</v>
      </c>
      <c r="G401" s="9" t="n">
        <v>354.4</v>
      </c>
      <c r="H401" s="9" t="n">
        <v>0.5129</v>
      </c>
      <c r="I401" s="9" t="n">
        <v>0.4871</v>
      </c>
      <c r="J401" s="9" t="n">
        <v>0.5214</v>
      </c>
      <c r="K401" s="11">
        <f>ROUND(I401+H401,4)</f>
        <v/>
      </c>
    </row>
    <row r="402">
      <c r="A402" s="6" t="n">
        <v>2019</v>
      </c>
      <c r="B402" s="6" t="inlineStr">
        <is>
          <t>FIN</t>
        </is>
      </c>
      <c r="C402" s="6" t="inlineStr">
        <is>
          <t>Finlandia</t>
        </is>
      </c>
      <c r="D402" s="6" t="inlineStr">
        <is>
          <t>B09</t>
        </is>
      </c>
      <c r="E402" s="6" t="n">
        <v>28.2</v>
      </c>
      <c r="F402" s="6" t="n">
        <v>0.6612</v>
      </c>
      <c r="G402" s="6" t="n">
        <v>48.4</v>
      </c>
      <c r="H402" s="6" t="n">
        <v>0.763</v>
      </c>
      <c r="I402" s="6" t="n">
        <v>0.237</v>
      </c>
      <c r="J402" s="6" t="n">
        <v>0.5027</v>
      </c>
      <c r="K402" s="11">
        <f>ROUND(I402+H402,4)</f>
        <v/>
      </c>
    </row>
    <row r="403">
      <c r="A403" s="9" t="n">
        <v>2019</v>
      </c>
      <c r="B403" s="9" t="inlineStr">
        <is>
          <t>SWE</t>
        </is>
      </c>
      <c r="C403" s="9" t="inlineStr">
        <is>
          <t>Suecia</t>
        </is>
      </c>
      <c r="D403" s="9" t="inlineStr">
        <is>
          <t>B05_06</t>
        </is>
      </c>
      <c r="E403" s="9" t="n">
        <v>20.5</v>
      </c>
      <c r="F403" s="9" t="n">
        <v>0.6862</v>
      </c>
      <c r="G403" s="9" t="n">
        <v>54.1</v>
      </c>
      <c r="H403" s="9" t="n">
        <v>0.8869</v>
      </c>
      <c r="I403" s="9" t="n">
        <v>0.1131</v>
      </c>
      <c r="J403" s="9" t="n">
        <v>0.506</v>
      </c>
      <c r="K403" s="11">
        <f>ROUND(I403+H403,4)</f>
        <v/>
      </c>
    </row>
    <row r="404">
      <c r="A404" s="6" t="n">
        <v>2019</v>
      </c>
      <c r="B404" s="6" t="inlineStr">
        <is>
          <t>SWE</t>
        </is>
      </c>
      <c r="C404" s="6" t="inlineStr">
        <is>
          <t>Suecia</t>
        </is>
      </c>
      <c r="D404" s="6" t="inlineStr">
        <is>
          <t>B07_08</t>
        </is>
      </c>
      <c r="E404" s="6" t="n">
        <v>1587.4</v>
      </c>
      <c r="F404" s="6" t="n">
        <v>0.8635</v>
      </c>
      <c r="G404" s="6" t="n">
        <v>2777.3</v>
      </c>
      <c r="H404" s="6" t="n">
        <v>0.6052999999999999</v>
      </c>
      <c r="I404" s="6" t="n">
        <v>0.3947</v>
      </c>
      <c r="J404" s="6" t="n">
        <v>0.76</v>
      </c>
      <c r="K404" s="11">
        <f>ROUND(I404+H404,4)</f>
        <v/>
      </c>
    </row>
    <row r="405">
      <c r="A405" s="9" t="n">
        <v>2019</v>
      </c>
      <c r="B405" s="9" t="inlineStr">
        <is>
          <t>SWE</t>
        </is>
      </c>
      <c r="C405" s="9" t="inlineStr">
        <is>
          <t>Suecia</t>
        </is>
      </c>
      <c r="D405" s="9" t="inlineStr">
        <is>
          <t>B09</t>
        </is>
      </c>
      <c r="E405" s="9" t="n">
        <v>176.4</v>
      </c>
      <c r="F405" s="9" t="n">
        <v>0.6925</v>
      </c>
      <c r="G405" s="9" t="n">
        <v>31.3</v>
      </c>
      <c r="H405" s="9" t="n">
        <v>0.0163</v>
      </c>
      <c r="I405" s="9" t="n">
        <v>0.9837</v>
      </c>
      <c r="J405" s="9" t="n">
        <v>0.9798</v>
      </c>
      <c r="K405" s="11">
        <f>ROUND(I405+H405,4)</f>
        <v/>
      </c>
    </row>
    <row r="406">
      <c r="A406" s="6" t="n">
        <v>2020</v>
      </c>
      <c r="B406" s="6" t="inlineStr">
        <is>
          <t>MEX</t>
        </is>
      </c>
      <c r="C406" s="6" t="inlineStr">
        <is>
          <t>Mexico</t>
        </is>
      </c>
      <c r="D406" s="6" t="inlineStr">
        <is>
          <t>B05_06</t>
        </is>
      </c>
      <c r="E406" s="6" t="n">
        <v>22126</v>
      </c>
      <c r="F406" s="6" t="n">
        <v>0.8935999999999999</v>
      </c>
      <c r="G406" s="6" t="n">
        <v>18539.2</v>
      </c>
      <c r="H406" s="6" t="n">
        <v>0.1153</v>
      </c>
      <c r="I406" s="6" t="n">
        <v>0.8847</v>
      </c>
      <c r="J406" s="6" t="n">
        <v>0.7716</v>
      </c>
      <c r="K406" s="11">
        <f>ROUND(I406+H406,4)</f>
        <v/>
      </c>
    </row>
    <row r="407">
      <c r="A407" s="9" t="n">
        <v>2020</v>
      </c>
      <c r="B407" s="9" t="inlineStr">
        <is>
          <t>MEX</t>
        </is>
      </c>
      <c r="C407" s="9" t="inlineStr">
        <is>
          <t>Mexico</t>
        </is>
      </c>
      <c r="D407" s="9" t="inlineStr">
        <is>
          <t>B07_08</t>
        </is>
      </c>
      <c r="E407" s="9" t="n">
        <v>6411.3</v>
      </c>
      <c r="F407" s="9" t="n">
        <v>0.8907</v>
      </c>
      <c r="G407" s="9" t="n">
        <v>9505.700000000001</v>
      </c>
      <c r="H407" s="9" t="n">
        <v>0.5181</v>
      </c>
      <c r="I407" s="9" t="n">
        <v>0.4819</v>
      </c>
      <c r="J407" s="9" t="n">
        <v>0.6533</v>
      </c>
      <c r="K407" s="11">
        <f>ROUND(I407+H407,4)</f>
        <v/>
      </c>
    </row>
    <row r="408">
      <c r="A408" s="6" t="n">
        <v>2020</v>
      </c>
      <c r="B408" s="6" t="inlineStr">
        <is>
          <t>MEX</t>
        </is>
      </c>
      <c r="C408" s="6" t="inlineStr">
        <is>
          <t>Mexico</t>
        </is>
      </c>
      <c r="D408" s="6" t="inlineStr">
        <is>
          <t>B09</t>
        </is>
      </c>
      <c r="E408" s="6" t="n">
        <v>11.3</v>
      </c>
      <c r="F408" s="6" t="n">
        <v>0.8197</v>
      </c>
      <c r="G408" s="6" t="n">
        <v>576.2</v>
      </c>
      <c r="H408" s="6" t="n">
        <v>0.2025</v>
      </c>
      <c r="I408" s="6" t="n">
        <v>0.7975</v>
      </c>
      <c r="J408" s="6" t="n">
        <v>0.1112</v>
      </c>
      <c r="K408" s="11">
        <f>ROUND(I408+H408,4)</f>
        <v/>
      </c>
    </row>
    <row r="409">
      <c r="A409" s="9" t="n">
        <v>2020</v>
      </c>
      <c r="B409" s="9" t="inlineStr">
        <is>
          <t>CHL</t>
        </is>
      </c>
      <c r="C409" s="9" t="inlineStr">
        <is>
          <t>Chile</t>
        </is>
      </c>
      <c r="D409" s="9" t="inlineStr">
        <is>
          <t>B05_06</t>
        </is>
      </c>
      <c r="E409" s="9" t="n">
        <v>2.7</v>
      </c>
      <c r="F409" s="9" t="n">
        <v>0.7854</v>
      </c>
      <c r="G409" s="9" t="n">
        <v>13.4</v>
      </c>
      <c r="H409" s="9" t="n">
        <v>0.5764</v>
      </c>
      <c r="I409" s="9" t="n">
        <v>0.4236</v>
      </c>
      <c r="J409" s="9" t="n">
        <v>0.2742</v>
      </c>
      <c r="K409" s="11">
        <f>ROUND(I409+H409,4)</f>
        <v/>
      </c>
    </row>
    <row r="410">
      <c r="A410" s="6" t="n">
        <v>2020</v>
      </c>
      <c r="B410" s="6" t="inlineStr">
        <is>
          <t>CHL</t>
        </is>
      </c>
      <c r="C410" s="6" t="inlineStr">
        <is>
          <t>Chile</t>
        </is>
      </c>
      <c r="D410" s="6" t="inlineStr">
        <is>
          <t>B07_08</t>
        </is>
      </c>
      <c r="E410" s="6" t="n">
        <v>37786.7</v>
      </c>
      <c r="F410" s="6" t="n">
        <v>0.9046</v>
      </c>
      <c r="G410" s="6" t="n">
        <v>29114.9</v>
      </c>
      <c r="H410" s="6" t="n">
        <v>0.0396</v>
      </c>
      <c r="I410" s="6" t="n">
        <v>0.9604</v>
      </c>
      <c r="J410" s="6" t="n">
        <v>0.9125</v>
      </c>
      <c r="K410" s="11">
        <f>ROUND(I410+H410,4)</f>
        <v/>
      </c>
    </row>
    <row r="411">
      <c r="A411" s="9" t="n">
        <v>2020</v>
      </c>
      <c r="B411" s="9" t="inlineStr">
        <is>
          <t>CHL</t>
        </is>
      </c>
      <c r="C411" s="9" t="inlineStr">
        <is>
          <t>Chile</t>
        </is>
      </c>
      <c r="D411" s="9" t="inlineStr">
        <is>
          <t>B09</t>
        </is>
      </c>
      <c r="E411" s="9" t="n">
        <v>49.7</v>
      </c>
      <c r="F411" s="9" t="n">
        <v>0.8729</v>
      </c>
      <c r="G411" s="9" t="n">
        <v>40.5</v>
      </c>
      <c r="H411" s="9" t="n">
        <v>0.2077</v>
      </c>
      <c r="I411" s="9" t="n">
        <v>0.7923</v>
      </c>
      <c r="J411" s="9" t="n">
        <v>0.5642</v>
      </c>
      <c r="K411" s="11">
        <f>ROUND(I411+H411,4)</f>
        <v/>
      </c>
    </row>
    <row r="412">
      <c r="A412" s="6" t="n">
        <v>2020</v>
      </c>
      <c r="B412" s="6" t="inlineStr">
        <is>
          <t>AUS</t>
        </is>
      </c>
      <c r="C412" s="6" t="inlineStr">
        <is>
          <t>Australia</t>
        </is>
      </c>
      <c r="D412" s="6" t="inlineStr">
        <is>
          <t>B05_06</t>
        </is>
      </c>
      <c r="E412" s="6" t="n">
        <v>65006.1</v>
      </c>
      <c r="F412" s="6" t="n">
        <v>0.8889</v>
      </c>
      <c r="G412" s="6" t="n">
        <v>32349.4</v>
      </c>
      <c r="H412" s="6" t="n">
        <v>0.0183</v>
      </c>
      <c r="I412" s="6" t="n">
        <v>0.9817</v>
      </c>
      <c r="J412" s="6" t="n">
        <v>0.8739</v>
      </c>
      <c r="K412" s="11">
        <f>ROUND(I412+H412,4)</f>
        <v/>
      </c>
    </row>
    <row r="413">
      <c r="A413" s="9" t="n">
        <v>2020</v>
      </c>
      <c r="B413" s="9" t="inlineStr">
        <is>
          <t>AUS</t>
        </is>
      </c>
      <c r="C413" s="9" t="inlineStr">
        <is>
          <t>Australia</t>
        </is>
      </c>
      <c r="D413" s="9" t="inlineStr">
        <is>
          <t>B07_08</t>
        </is>
      </c>
      <c r="E413" s="9" t="n">
        <v>88060.89999999999</v>
      </c>
      <c r="F413" s="9" t="n">
        <v>0.9205</v>
      </c>
      <c r="G413" s="9" t="n">
        <v>83529.39999999999</v>
      </c>
      <c r="H413" s="9" t="n">
        <v>0.2551</v>
      </c>
      <c r="I413" s="9" t="n">
        <v>0.7449</v>
      </c>
      <c r="J413" s="9" t="n">
        <v>0.7771</v>
      </c>
      <c r="K413" s="11">
        <f>ROUND(I413+H413,4)</f>
        <v/>
      </c>
    </row>
    <row r="414">
      <c r="A414" s="6" t="n">
        <v>2020</v>
      </c>
      <c r="B414" s="6" t="inlineStr">
        <is>
          <t>AUS</t>
        </is>
      </c>
      <c r="C414" s="6" t="inlineStr">
        <is>
          <t>Australia</t>
        </is>
      </c>
      <c r="D414" s="6" t="inlineStr">
        <is>
          <t>B09</t>
        </is>
      </c>
      <c r="E414" s="6" t="n">
        <v>261.9</v>
      </c>
      <c r="F414" s="6" t="n">
        <v>0.9133</v>
      </c>
      <c r="G414" s="6" t="n">
        <v>4094</v>
      </c>
      <c r="H414" s="6" t="n">
        <v>0.1581</v>
      </c>
      <c r="I414" s="6" t="n">
        <v>0.8419</v>
      </c>
      <c r="J414" s="6" t="n">
        <v>0.6017</v>
      </c>
      <c r="K414" s="11">
        <f>ROUND(I414+H414,4)</f>
        <v/>
      </c>
    </row>
    <row r="415">
      <c r="A415" s="9" t="n">
        <v>2020</v>
      </c>
      <c r="B415" s="9" t="inlineStr">
        <is>
          <t>FIN</t>
        </is>
      </c>
      <c r="C415" s="9" t="inlineStr">
        <is>
          <t>Finlandia</t>
        </is>
      </c>
      <c r="D415" s="9" t="inlineStr">
        <is>
          <t>B05_06</t>
        </is>
      </c>
      <c r="E415" s="9" t="n">
        <v>29.9</v>
      </c>
      <c r="F415" s="9" t="n">
        <v>0.6539</v>
      </c>
      <c r="G415" s="9" t="n">
        <v>64</v>
      </c>
      <c r="H415" s="9" t="n">
        <v>0.8285</v>
      </c>
      <c r="I415" s="9" t="n">
        <v>0.1715</v>
      </c>
      <c r="J415" s="9" t="n">
        <v>0.2905</v>
      </c>
      <c r="K415" s="11">
        <f>ROUND(I415+H415,4)</f>
        <v/>
      </c>
    </row>
    <row r="416">
      <c r="A416" s="6" t="n">
        <v>2020</v>
      </c>
      <c r="B416" s="6" t="inlineStr">
        <is>
          <t>FIN</t>
        </is>
      </c>
      <c r="C416" s="6" t="inlineStr">
        <is>
          <t>Finlandia</t>
        </is>
      </c>
      <c r="D416" s="6" t="inlineStr">
        <is>
          <t>B07_08</t>
        </is>
      </c>
      <c r="E416" s="6" t="n">
        <v>483.8</v>
      </c>
      <c r="F416" s="6" t="n">
        <v>0.6595</v>
      </c>
      <c r="G416" s="6" t="n">
        <v>379.8</v>
      </c>
      <c r="H416" s="6" t="n">
        <v>0.4921</v>
      </c>
      <c r="I416" s="6" t="n">
        <v>0.5079</v>
      </c>
      <c r="J416" s="6" t="n">
        <v>0.4823</v>
      </c>
      <c r="K416" s="11">
        <f>ROUND(I416+H416,4)</f>
        <v/>
      </c>
    </row>
    <row r="417">
      <c r="A417" s="9" t="n">
        <v>2020</v>
      </c>
      <c r="B417" s="9" t="inlineStr">
        <is>
          <t>FIN</t>
        </is>
      </c>
      <c r="C417" s="9" t="inlineStr">
        <is>
          <t>Finlandia</t>
        </is>
      </c>
      <c r="D417" s="9" t="inlineStr">
        <is>
          <t>B09</t>
        </is>
      </c>
      <c r="E417" s="9" t="n">
        <v>25.9</v>
      </c>
      <c r="F417" s="9" t="n">
        <v>0.6812</v>
      </c>
      <c r="G417" s="9" t="n">
        <v>51.3</v>
      </c>
      <c r="H417" s="9" t="n">
        <v>0.7428</v>
      </c>
      <c r="I417" s="9" t="n">
        <v>0.2572</v>
      </c>
      <c r="J417" s="9" t="n">
        <v>0.4617</v>
      </c>
      <c r="K417" s="11">
        <f>ROUND(I417+H417,4)</f>
        <v/>
      </c>
    </row>
    <row r="418">
      <c r="A418" s="6" t="n">
        <v>2020</v>
      </c>
      <c r="B418" s="6" t="inlineStr">
        <is>
          <t>SWE</t>
        </is>
      </c>
      <c r="C418" s="6" t="inlineStr">
        <is>
          <t>Suecia</t>
        </is>
      </c>
      <c r="D418" s="6" t="inlineStr">
        <is>
          <t>B05_06</t>
        </is>
      </c>
      <c r="E418" s="6" t="n">
        <v>25.2</v>
      </c>
      <c r="F418" s="6" t="n">
        <v>0.6977</v>
      </c>
      <c r="G418" s="6" t="n">
        <v>52.9</v>
      </c>
      <c r="H418" s="6" t="n">
        <v>0.8603</v>
      </c>
      <c r="I418" s="6" t="n">
        <v>0.1397</v>
      </c>
      <c r="J418" s="6" t="n">
        <v>0.4896</v>
      </c>
      <c r="K418" s="11">
        <f>ROUND(I418+H418,4)</f>
        <v/>
      </c>
    </row>
    <row r="419">
      <c r="A419" s="9" t="n">
        <v>2020</v>
      </c>
      <c r="B419" s="9" t="inlineStr">
        <is>
          <t>SWE</t>
        </is>
      </c>
      <c r="C419" s="9" t="inlineStr">
        <is>
          <t>Suecia</t>
        </is>
      </c>
      <c r="D419" s="9" t="inlineStr">
        <is>
          <t>B07_08</t>
        </is>
      </c>
      <c r="E419" s="9" t="n">
        <v>1764.3</v>
      </c>
      <c r="F419" s="9" t="n">
        <v>0.8482</v>
      </c>
      <c r="G419" s="9" t="n">
        <v>2520.7</v>
      </c>
      <c r="H419" s="9" t="n">
        <v>0.5434</v>
      </c>
      <c r="I419" s="9" t="n">
        <v>0.4566</v>
      </c>
      <c r="J419" s="9" t="n">
        <v>0.7838000000000001</v>
      </c>
      <c r="K419" s="11">
        <f>ROUND(I419+H419,4)</f>
        <v/>
      </c>
    </row>
    <row r="420">
      <c r="A420" s="6" t="n">
        <v>2020</v>
      </c>
      <c r="B420" s="6" t="inlineStr">
        <is>
          <t>SWE</t>
        </is>
      </c>
      <c r="C420" s="6" t="inlineStr">
        <is>
          <t>Suecia</t>
        </is>
      </c>
      <c r="D420" s="6" t="inlineStr">
        <is>
          <t>B09</t>
        </is>
      </c>
      <c r="E420" s="6" t="n">
        <v>164.8</v>
      </c>
      <c r="F420" s="6" t="n">
        <v>0.6863</v>
      </c>
      <c r="G420" s="6" t="n">
        <v>27.5</v>
      </c>
      <c r="H420" s="6" t="n">
        <v>0.0195</v>
      </c>
      <c r="I420" s="6" t="n">
        <v>0.9805</v>
      </c>
      <c r="J420" s="6" t="n">
        <v>0.975</v>
      </c>
      <c r="K420" s="11">
        <f>ROUND(I420+H420,4)</f>
        <v/>
      </c>
    </row>
    <row r="421">
      <c r="A421" s="9" t="n">
        <v>2020</v>
      </c>
      <c r="B421" s="9" t="inlineStr">
        <is>
          <t>CHN</t>
        </is>
      </c>
      <c r="C421" s="9" t="inlineStr">
        <is>
          <t>China</t>
        </is>
      </c>
      <c r="D421" s="9" t="inlineStr">
        <is>
          <t>B05_06</t>
        </is>
      </c>
      <c r="E421" s="9" t="n">
        <v>1287.3</v>
      </c>
      <c r="F421" s="9" t="n">
        <v>0.8632</v>
      </c>
      <c r="G421" s="9" t="n">
        <v>43461.6</v>
      </c>
      <c r="H421" s="9" t="n">
        <v>0.9839</v>
      </c>
      <c r="I421" s="9" t="n">
        <v>0.0161</v>
      </c>
      <c r="J421" s="9" t="n">
        <v>0.1758</v>
      </c>
      <c r="K421" s="11">
        <f>ROUND(I421+H421,4)</f>
        <v/>
      </c>
    </row>
    <row r="422">
      <c r="A422" s="6" t="n">
        <v>2020</v>
      </c>
      <c r="B422" s="6" t="inlineStr">
        <is>
          <t>CHN</t>
        </is>
      </c>
      <c r="C422" s="6" t="inlineStr">
        <is>
          <t>China</t>
        </is>
      </c>
      <c r="D422" s="6" t="inlineStr">
        <is>
          <t>B07_08</t>
        </is>
      </c>
      <c r="E422" s="6" t="n">
        <v>3861.2</v>
      </c>
      <c r="F422" s="6" t="n">
        <v>0.7789</v>
      </c>
      <c r="G422" s="6" t="n">
        <v>16555.9</v>
      </c>
      <c r="H422" s="6" t="n">
        <v>0.9321</v>
      </c>
      <c r="I422" s="6" t="n">
        <v>0.0679</v>
      </c>
      <c r="J422" s="6" t="n">
        <v>0.1745</v>
      </c>
      <c r="K422" s="11">
        <f>ROUND(I422+H422,4)</f>
        <v/>
      </c>
    </row>
    <row r="423">
      <c r="A423" s="9" t="n">
        <v>2020</v>
      </c>
      <c r="B423" s="9" t="inlineStr">
        <is>
          <t>CHN</t>
        </is>
      </c>
      <c r="C423" s="9" t="inlineStr">
        <is>
          <t>China</t>
        </is>
      </c>
      <c r="D423" s="9" t="inlineStr">
        <is>
          <t>B09</t>
        </is>
      </c>
      <c r="E423" s="9" t="n">
        <v>629.7</v>
      </c>
      <c r="F423" s="9" t="n">
        <v>0.8043</v>
      </c>
      <c r="G423" s="9" t="n">
        <v>1523</v>
      </c>
      <c r="H423" s="9" t="n">
        <v>0.8774</v>
      </c>
      <c r="I423" s="9" t="n">
        <v>0.1226</v>
      </c>
      <c r="J423" s="9" t="n">
        <v>0.1858</v>
      </c>
      <c r="K423" s="11">
        <f>ROUND(I423+H423,4)</f>
        <v/>
      </c>
    </row>
    <row r="424">
      <c r="A424" s="6" t="n">
        <v>2020</v>
      </c>
      <c r="B424" s="6" t="inlineStr">
        <is>
          <t>BRA</t>
        </is>
      </c>
      <c r="C424" s="6" t="inlineStr">
        <is>
          <t>Brasil</t>
        </is>
      </c>
      <c r="D424" s="6" t="inlineStr">
        <is>
          <t>B05_06</t>
        </is>
      </c>
      <c r="E424" s="6" t="n">
        <v>19346.8</v>
      </c>
      <c r="F424" s="6" t="n">
        <v>0.824</v>
      </c>
      <c r="G424" s="6" t="n">
        <v>11695.2</v>
      </c>
      <c r="H424" s="6" t="n">
        <v>0.1411</v>
      </c>
      <c r="I424" s="6" t="n">
        <v>0.8589</v>
      </c>
      <c r="J424" s="6" t="n">
        <v>0.5705</v>
      </c>
      <c r="K424" s="11">
        <f>ROUND(I424+H424,4)</f>
        <v/>
      </c>
    </row>
    <row r="425">
      <c r="A425" s="9" t="n">
        <v>2020</v>
      </c>
      <c r="B425" s="9" t="inlineStr">
        <is>
          <t>BRA</t>
        </is>
      </c>
      <c r="C425" s="9" t="inlineStr">
        <is>
          <t>Brasil</t>
        </is>
      </c>
      <c r="D425" s="9" t="inlineStr">
        <is>
          <t>B07_08</t>
        </is>
      </c>
      <c r="E425" s="9" t="n">
        <v>26567.4</v>
      </c>
      <c r="F425" s="9" t="n">
        <v>0.8085</v>
      </c>
      <c r="G425" s="9" t="n">
        <v>11996.6</v>
      </c>
      <c r="H425" s="9" t="n">
        <v>0.0702</v>
      </c>
      <c r="I425" s="9" t="n">
        <v>0.9298</v>
      </c>
      <c r="J425" s="9" t="n">
        <v>0.8118</v>
      </c>
      <c r="K425" s="11">
        <f>ROUND(I425+H425,4)</f>
        <v/>
      </c>
    </row>
    <row r="426">
      <c r="A426" s="6" t="n">
        <v>2020</v>
      </c>
      <c r="B426" s="6" t="inlineStr">
        <is>
          <t>BRA</t>
        </is>
      </c>
      <c r="C426" s="6" t="inlineStr">
        <is>
          <t>Brasil</t>
        </is>
      </c>
      <c r="D426" s="6" t="inlineStr">
        <is>
          <t>B09</t>
        </is>
      </c>
      <c r="E426" s="6" t="n">
        <v>56.9</v>
      </c>
      <c r="F426" s="6" t="n">
        <v>0.8798</v>
      </c>
      <c r="G426" s="6" t="n">
        <v>680</v>
      </c>
      <c r="H426" s="6" t="n">
        <v>0.2721</v>
      </c>
      <c r="I426" s="6" t="n">
        <v>0.7279</v>
      </c>
      <c r="J426" s="6" t="n">
        <v>0.4749</v>
      </c>
      <c r="K426" s="11">
        <f>ROUND(I426+H426,4)</f>
        <v/>
      </c>
    </row>
    <row r="427">
      <c r="A427" s="9" t="n">
        <v>2020</v>
      </c>
      <c r="B427" s="9" t="inlineStr">
        <is>
          <t>PER</t>
        </is>
      </c>
      <c r="C427" s="9" t="inlineStr">
        <is>
          <t>Peru</t>
        </is>
      </c>
      <c r="D427" s="9" t="inlineStr">
        <is>
          <t>B05_06</t>
        </is>
      </c>
      <c r="E427" s="9" t="n">
        <v>472.5</v>
      </c>
      <c r="F427" s="9" t="n">
        <v>0.8985</v>
      </c>
      <c r="G427" s="9" t="n">
        <v>856.4</v>
      </c>
      <c r="H427" s="9" t="n">
        <v>0.375</v>
      </c>
      <c r="I427" s="9" t="n">
        <v>0.625</v>
      </c>
      <c r="J427" s="9" t="n">
        <v>0.3417</v>
      </c>
      <c r="K427" s="11">
        <f>ROUND(I427+H427,4)</f>
        <v/>
      </c>
    </row>
    <row r="428">
      <c r="A428" s="6" t="n">
        <v>2020</v>
      </c>
      <c r="B428" s="6" t="inlineStr">
        <is>
          <t>PER</t>
        </is>
      </c>
      <c r="C428" s="6" t="inlineStr">
        <is>
          <t>Peru</t>
        </is>
      </c>
      <c r="D428" s="6" t="inlineStr">
        <is>
          <t>B07_08</t>
        </is>
      </c>
      <c r="E428" s="6" t="n">
        <v>22189.2</v>
      </c>
      <c r="F428" s="6" t="n">
        <v>0.8796</v>
      </c>
      <c r="G428" s="6" t="n">
        <v>14118.3</v>
      </c>
      <c r="H428" s="6" t="n">
        <v>0.018</v>
      </c>
      <c r="I428" s="6" t="n">
        <v>0.982</v>
      </c>
      <c r="J428" s="6" t="n">
        <v>0.9151</v>
      </c>
      <c r="K428" s="11">
        <f>ROUND(I428+H428,4)</f>
        <v/>
      </c>
    </row>
    <row r="429">
      <c r="A429" s="9" t="n">
        <v>2020</v>
      </c>
      <c r="B429" s="9" t="inlineStr">
        <is>
          <t>PER</t>
        </is>
      </c>
      <c r="C429" s="9" t="inlineStr">
        <is>
          <t>Peru</t>
        </is>
      </c>
      <c r="D429" s="9" t="inlineStr">
        <is>
          <t>B09</t>
        </is>
      </c>
      <c r="E429" s="9" t="n">
        <v>2.4</v>
      </c>
      <c r="F429" s="9" t="n">
        <v>0.9157</v>
      </c>
      <c r="G429" s="9" t="n">
        <v>210.6</v>
      </c>
      <c r="H429" s="9" t="n">
        <v>0.1072</v>
      </c>
      <c r="I429" s="9" t="n">
        <v>0.8928</v>
      </c>
      <c r="J429" s="9" t="n">
        <v>0.5827</v>
      </c>
      <c r="K429" s="11">
        <f>ROUND(I429+H429,4)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8" customWidth="1" min="7" max="7"/>
    <col width="10" customWidth="1" min="8" max="8"/>
    <col width="10" customWidth="1" min="9" max="9"/>
  </cols>
  <sheetData>
    <row r="1" ht="24" customHeight="1">
      <c r="A1" s="1" t="inlineStr">
        <is>
          <t>Criticidad por producto</t>
        </is>
      </c>
    </row>
    <row r="2" ht="40" customHeight="1">
      <c r="A2" s="2" t="inlineStr">
        <is>
          <t>Eslabon de mayor criticidad de cada mineral (estrategico &gt; critico &gt; medio &gt; bajo) y si Mexico lo usa/exporta/importa. Base oficial USGS (2022/2025), UE (CRMA 2023), IEA. Muestra que la criticidad se concentra en productos y grados, no en el mineral.</t>
        </is>
      </c>
    </row>
    <row r="3">
      <c r="A3" s="3" t="inlineStr">
        <is>
          <t>mineral</t>
        </is>
      </c>
      <c r="B3" s="3" t="inlineStr">
        <is>
          <t>etapa</t>
        </is>
      </c>
      <c r="C3" s="3" t="inlineStr">
        <is>
          <t>producto</t>
        </is>
      </c>
      <c r="D3" s="3" t="inlineStr">
        <is>
          <t>sector</t>
        </is>
      </c>
      <c r="E3" s="3" t="inlineStr">
        <is>
          <t>base_oficial</t>
        </is>
      </c>
      <c r="F3" s="3" t="inlineStr">
        <is>
          <t>nivel_criticidad</t>
        </is>
      </c>
      <c r="G3" s="3" t="inlineStr">
        <is>
          <t>mx_usa</t>
        </is>
      </c>
      <c r="H3" s="3" t="inlineStr">
        <is>
          <t>mx_exporta</t>
        </is>
      </c>
      <c r="I3" s="3" t="inlineStr">
        <is>
          <t>mx_importa</t>
        </is>
      </c>
    </row>
    <row r="4">
      <c r="A4" s="6" t="inlineStr">
        <is>
          <t>cobre</t>
        </is>
      </c>
      <c r="B4" s="6" t="inlineStr">
        <is>
          <t>E1</t>
        </is>
      </c>
      <c r="C4" s="5" t="inlineStr">
        <is>
          <t>concentrado de cobre</t>
        </is>
      </c>
      <c r="D4" s="6" t="inlineStr">
        <is>
          <t>insumo metalurgico (feed fundicion)</t>
        </is>
      </c>
      <c r="E4" s="6" t="inlineStr">
        <is>
          <t>UE-SRM;USGS2025</t>
        </is>
      </c>
      <c r="F4" s="6" t="inlineStr">
        <is>
          <t>alto</t>
        </is>
      </c>
      <c r="G4" s="6" t="inlineStr">
        <is>
          <t>no</t>
        </is>
      </c>
      <c r="H4" s="6" t="inlineStr">
        <is>
          <t>si</t>
        </is>
      </c>
      <c r="I4" s="6" t="inlineStr">
        <is>
          <t>no</t>
        </is>
      </c>
    </row>
    <row r="5">
      <c r="A5" s="9" t="inlineStr">
        <is>
          <t>cobre</t>
        </is>
      </c>
      <c r="B5" s="9" t="inlineStr">
        <is>
          <t>E2</t>
        </is>
      </c>
      <c r="C5" s="8" t="inlineStr">
        <is>
          <t>catodo de cobre refinado</t>
        </is>
      </c>
      <c r="D5" s="9" t="inlineStr">
        <is>
          <t>electrificacion/red electrica/EV/construccion</t>
        </is>
      </c>
      <c r="E5" s="9" t="inlineStr">
        <is>
          <t>UE-SRM;USGS2025;IEA</t>
        </is>
      </c>
      <c r="F5" s="9" t="inlineStr">
        <is>
          <t>estrategico</t>
        </is>
      </c>
      <c r="G5" s="9" t="inlineStr">
        <is>
          <t>si</t>
        </is>
      </c>
      <c r="H5" s="9" t="inlineStr">
        <is>
          <t>si</t>
        </is>
      </c>
      <c r="I5" s="9" t="inlineStr">
        <is>
          <t>parcial</t>
        </is>
      </c>
    </row>
    <row r="6">
      <c r="A6" s="6" t="inlineStr">
        <is>
          <t>cobre</t>
        </is>
      </c>
      <c r="B6" s="6" t="inlineStr">
        <is>
          <t>E3</t>
        </is>
      </c>
      <c r="C6" s="5" t="inlineStr">
        <is>
          <t>alambron/laminados/tubos</t>
        </is>
      </c>
      <c r="D6" s="6" t="inlineStr">
        <is>
          <t>cableado electrico/plomeria</t>
        </is>
      </c>
      <c r="E6" s="6" t="inlineStr">
        <is>
          <t>derivado</t>
        </is>
      </c>
      <c r="F6" s="6" t="inlineStr">
        <is>
          <t>medio</t>
        </is>
      </c>
      <c r="G6" s="6" t="inlineStr">
        <is>
          <t>si</t>
        </is>
      </c>
      <c r="H6" s="6" t="inlineStr">
        <is>
          <t>parcial</t>
        </is>
      </c>
      <c r="I6" s="6" t="inlineStr">
        <is>
          <t>si</t>
        </is>
      </c>
    </row>
    <row r="7">
      <c r="A7" s="9" t="inlineStr">
        <is>
          <t>cobre</t>
        </is>
      </c>
      <c r="B7" s="9" t="inlineStr">
        <is>
          <t>E4</t>
        </is>
      </c>
      <c r="C7" s="8" t="inlineStr">
        <is>
          <t>cable y conductores</t>
        </is>
      </c>
      <c r="D7" s="9" t="inlineStr">
        <is>
          <t>electrico/automotriz</t>
        </is>
      </c>
      <c r="E7" s="9" t="inlineStr">
        <is>
          <t>derivado</t>
        </is>
      </c>
      <c r="F7" s="9" t="inlineStr">
        <is>
          <t>medio</t>
        </is>
      </c>
      <c r="G7" s="9" t="inlineStr">
        <is>
          <t>si</t>
        </is>
      </c>
      <c r="H7" s="9" t="inlineStr">
        <is>
          <t>no</t>
        </is>
      </c>
      <c r="I7" s="9" t="inlineStr">
        <is>
          <t>si</t>
        </is>
      </c>
    </row>
    <row r="8">
      <c r="A8" s="6" t="inlineStr">
        <is>
          <t>fluorita</t>
        </is>
      </c>
      <c r="B8" s="6" t="inlineStr">
        <is>
          <t>E1</t>
        </is>
      </c>
      <c r="C8" s="5" t="inlineStr">
        <is>
          <t>espato fluor grado acido (acidspar)</t>
        </is>
      </c>
      <c r="D8" s="6" t="inlineStr">
        <is>
          <t>precursor quimica del fluor</t>
        </is>
      </c>
      <c r="E8" s="6" t="inlineStr">
        <is>
          <t>UE-CRM;USGS</t>
        </is>
      </c>
      <c r="F8" s="6" t="inlineStr">
        <is>
          <t>alto</t>
        </is>
      </c>
      <c r="G8" s="6" t="inlineStr">
        <is>
          <t>si</t>
        </is>
      </c>
      <c r="H8" s="6" t="inlineStr">
        <is>
          <t>si</t>
        </is>
      </c>
      <c r="I8" s="6" t="inlineStr">
        <is>
          <t>no</t>
        </is>
      </c>
    </row>
    <row r="9">
      <c r="A9" s="9" t="inlineStr">
        <is>
          <t>fluorita</t>
        </is>
      </c>
      <c r="B9" s="9" t="inlineStr">
        <is>
          <t>E1</t>
        </is>
      </c>
      <c r="C9" s="8" t="inlineStr">
        <is>
          <t>espato fluor grado metalurgico (metspar)</t>
        </is>
      </c>
      <c r="D9" s="9" t="inlineStr">
        <is>
          <t>siderurgia/cemento (fundente)</t>
        </is>
      </c>
      <c r="E9" s="9" t="inlineStr">
        <is>
          <t>commodity</t>
        </is>
      </c>
      <c r="F9" s="9" t="inlineStr">
        <is>
          <t>bajo</t>
        </is>
      </c>
      <c r="G9" s="9" t="inlineStr">
        <is>
          <t>si</t>
        </is>
      </c>
      <c r="H9" s="9" t="inlineStr">
        <is>
          <t>si</t>
        </is>
      </c>
      <c r="I9" s="9" t="inlineStr">
        <is>
          <t>no</t>
        </is>
      </c>
    </row>
    <row r="10">
      <c r="A10" s="6" t="inlineStr">
        <is>
          <t>fluorita</t>
        </is>
      </c>
      <c r="B10" s="6" t="inlineStr">
        <is>
          <t>E2</t>
        </is>
      </c>
      <c r="C10" s="5" t="inlineStr">
        <is>
          <t>acido fluorhidrico HF</t>
        </is>
      </c>
      <c r="D10" s="6" t="inlineStr">
        <is>
          <t>aluminio(AlF3)/refrigerantes/semiconductores/precursor LiPF6 baterias</t>
        </is>
      </c>
      <c r="E10" s="6" t="inlineStr">
        <is>
          <t>UE-CRM;IEA</t>
        </is>
      </c>
      <c r="F10" s="6" t="inlineStr">
        <is>
          <t>estrategico</t>
        </is>
      </c>
      <c r="G10" s="6" t="inlineStr">
        <is>
          <t>si</t>
        </is>
      </c>
      <c r="H10" s="6" t="inlineStr">
        <is>
          <t>si</t>
        </is>
      </c>
      <c r="I10" s="6" t="inlineStr">
        <is>
          <t>no</t>
        </is>
      </c>
    </row>
    <row r="11">
      <c r="A11" s="9" t="inlineStr">
        <is>
          <t>fluorita</t>
        </is>
      </c>
      <c r="B11" s="9" t="inlineStr">
        <is>
          <t>E3-E4</t>
        </is>
      </c>
      <c r="C11" s="8" t="inlineStr">
        <is>
          <t>fluoropolimeros(PTFE)/refrigerantes/LiPF6</t>
        </is>
      </c>
      <c r="D11" s="9" t="inlineStr">
        <is>
          <t>quimica avanzada/baterias/electronica</t>
        </is>
      </c>
      <c r="E11" s="9" t="inlineStr">
        <is>
          <t>UE;IEA</t>
        </is>
      </c>
      <c r="F11" s="9" t="inlineStr">
        <is>
          <t>estrategico</t>
        </is>
      </c>
      <c r="G11" s="9" t="inlineStr">
        <is>
          <t>no</t>
        </is>
      </c>
      <c r="H11" s="9" t="inlineStr">
        <is>
          <t>no</t>
        </is>
      </c>
      <c r="I11" s="9" t="inlineStr">
        <is>
          <t>si</t>
        </is>
      </c>
    </row>
    <row r="12">
      <c r="A12" s="6" t="inlineStr">
        <is>
          <t>grafito</t>
        </is>
      </c>
      <c r="B12" s="6" t="inlineStr">
        <is>
          <t>E1</t>
        </is>
      </c>
      <c r="C12" s="5" t="inlineStr">
        <is>
          <t>grafito natural amorfo/hojuela</t>
        </is>
      </c>
      <c r="D12" s="6" t="inlineStr">
        <is>
          <t>refractarios/fundicion/lubricantes</t>
        </is>
      </c>
      <c r="E12" s="6" t="inlineStr">
        <is>
          <t>USGS;UE</t>
        </is>
      </c>
      <c r="F12" s="6" t="inlineStr">
        <is>
          <t>medio</t>
        </is>
      </c>
      <c r="G12" s="6" t="inlineStr">
        <is>
          <t>si</t>
        </is>
      </c>
      <c r="H12" s="6" t="inlineStr">
        <is>
          <t>parcial</t>
        </is>
      </c>
      <c r="I12" s="6" t="inlineStr">
        <is>
          <t>no</t>
        </is>
      </c>
    </row>
    <row r="13">
      <c r="A13" s="9" t="inlineStr">
        <is>
          <t>grafito</t>
        </is>
      </c>
      <c r="B13" s="9" t="inlineStr">
        <is>
          <t>E1</t>
        </is>
      </c>
      <c r="C13" s="8" t="inlineStr">
        <is>
          <t>grafito natural grado bateria (esferico)</t>
        </is>
      </c>
      <c r="D13" s="9" t="inlineStr">
        <is>
          <t>anodos baterias Li-ion/EV</t>
        </is>
      </c>
      <c r="E13" s="9" t="inlineStr">
        <is>
          <t>UE-SRM;IEA</t>
        </is>
      </c>
      <c r="F13" s="9" t="inlineStr">
        <is>
          <t>estrategico</t>
        </is>
      </c>
      <c r="G13" s="9" t="inlineStr">
        <is>
          <t>no</t>
        </is>
      </c>
      <c r="H13" s="9" t="inlineStr">
        <is>
          <t>no</t>
        </is>
      </c>
      <c r="I13" s="9" t="inlineStr">
        <is>
          <t>no</t>
        </is>
      </c>
    </row>
    <row r="14">
      <c r="A14" s="6" t="inlineStr">
        <is>
          <t>grafito</t>
        </is>
      </c>
      <c r="B14" s="6" t="inlineStr">
        <is>
          <t>E2-E3</t>
        </is>
      </c>
      <c r="C14" s="5" t="inlineStr">
        <is>
          <t>grafito sintetico y electrodos</t>
        </is>
      </c>
      <c r="D14" s="6" t="inlineStr">
        <is>
          <t>acero EAF/baterias</t>
        </is>
      </c>
      <c r="E14" s="6" t="inlineStr">
        <is>
          <t>UE-SRM;USGS</t>
        </is>
      </c>
      <c r="F14" s="6" t="inlineStr">
        <is>
          <t>estrategico</t>
        </is>
      </c>
      <c r="G14" s="6" t="inlineStr">
        <is>
          <t>si(uso)</t>
        </is>
      </c>
      <c r="H14" s="6" t="inlineStr">
        <is>
          <t>no</t>
        </is>
      </c>
      <c r="I14" s="6" t="inlineStr">
        <is>
          <t>si</t>
        </is>
      </c>
    </row>
    <row r="15">
      <c r="A15" s="9" t="inlineStr">
        <is>
          <t>manganeso</t>
        </is>
      </c>
      <c r="B15" s="9" t="inlineStr">
        <is>
          <t>E1</t>
        </is>
      </c>
      <c r="C15" s="8" t="inlineStr">
        <is>
          <t>mena/nodulos de manganeso</t>
        </is>
      </c>
      <c r="D15" s="9" t="inlineStr">
        <is>
          <t>insumo siderurgico y quimico</t>
        </is>
      </c>
      <c r="E15" s="9" t="inlineStr">
        <is>
          <t>USGS;UE</t>
        </is>
      </c>
      <c r="F15" s="9" t="inlineStr">
        <is>
          <t>alto</t>
        </is>
      </c>
      <c r="G15" s="9" t="inlineStr">
        <is>
          <t>si</t>
        </is>
      </c>
      <c r="H15" s="9" t="inlineStr">
        <is>
          <t>no</t>
        </is>
      </c>
      <c r="I15" s="9" t="inlineStr">
        <is>
          <t>si</t>
        </is>
      </c>
    </row>
    <row r="16">
      <c r="A16" s="6" t="inlineStr">
        <is>
          <t>manganeso</t>
        </is>
      </c>
      <c r="B16" s="6" t="inlineStr">
        <is>
          <t>E2</t>
        </is>
      </c>
      <c r="C16" s="5" t="inlineStr">
        <is>
          <t>ferro/silicomanganeso</t>
        </is>
      </c>
      <c r="D16" s="6" t="inlineStr">
        <is>
          <t>acero (aleante/desoxidante)</t>
        </is>
      </c>
      <c r="E16" s="6" t="inlineStr">
        <is>
          <t>USGS</t>
        </is>
      </c>
      <c r="F16" s="6" t="inlineStr">
        <is>
          <t>alto</t>
        </is>
      </c>
      <c r="G16" s="6" t="inlineStr">
        <is>
          <t>si</t>
        </is>
      </c>
      <c r="H16" s="6" t="inlineStr">
        <is>
          <t>si</t>
        </is>
      </c>
      <c r="I16" s="6" t="inlineStr">
        <is>
          <t>no</t>
        </is>
      </c>
    </row>
    <row r="17">
      <c r="A17" s="9" t="inlineStr">
        <is>
          <t>manganeso</t>
        </is>
      </c>
      <c r="B17" s="9" t="inlineStr">
        <is>
          <t>E3</t>
        </is>
      </c>
      <c r="C17" s="8" t="inlineStr">
        <is>
          <t>sulfato de manganeso grado bateria / Mn metal</t>
        </is>
      </c>
      <c r="D17" s="9" t="inlineStr">
        <is>
          <t>catodos baterias NMC/EV</t>
        </is>
      </c>
      <c r="E17" s="9" t="inlineStr">
        <is>
          <t>UE-SRM;IEA</t>
        </is>
      </c>
      <c r="F17" s="9" t="inlineStr">
        <is>
          <t>estrategico</t>
        </is>
      </c>
      <c r="G17" s="9" t="inlineStr">
        <is>
          <t>no</t>
        </is>
      </c>
      <c r="H17" s="9" t="inlineStr">
        <is>
          <t>no</t>
        </is>
      </c>
      <c r="I17" s="9" t="inlineStr">
        <is>
          <t>si</t>
        </is>
      </c>
    </row>
    <row r="18">
      <c r="A18" s="6" t="inlineStr">
        <is>
          <t>silice</t>
        </is>
      </c>
      <c r="B18" s="6" t="inlineStr">
        <is>
          <t>E1</t>
        </is>
      </c>
      <c r="C18" s="5" t="inlineStr">
        <is>
          <t>arena silica/cuarzo</t>
        </is>
      </c>
      <c r="D18" s="6" t="inlineStr">
        <is>
          <t>vidrio/cemento/ceramica/fundicion</t>
        </is>
      </c>
      <c r="E18" s="6" t="inlineStr">
        <is>
          <t>no-listado(arena)</t>
        </is>
      </c>
      <c r="F18" s="6" t="inlineStr">
        <is>
          <t>bajo</t>
        </is>
      </c>
      <c r="G18" s="6" t="inlineStr">
        <is>
          <t>si</t>
        </is>
      </c>
      <c r="H18" s="6" t="inlineStr">
        <is>
          <t>parcial</t>
        </is>
      </c>
      <c r="I18" s="6" t="inlineStr">
        <is>
          <t>no</t>
        </is>
      </c>
    </row>
    <row r="19">
      <c r="A19" s="9" t="inlineStr">
        <is>
          <t>silice</t>
        </is>
      </c>
      <c r="B19" s="9" t="inlineStr">
        <is>
          <t>E2</t>
        </is>
      </c>
      <c r="C19" s="8" t="inlineStr">
        <is>
          <t>silicio metalico</t>
        </is>
      </c>
      <c r="D19" s="9" t="inlineStr">
        <is>
          <t>electronica/semiconductores/fotovoltaica/aleaciones Al/siliconas</t>
        </is>
      </c>
      <c r="E19" s="9" t="inlineStr">
        <is>
          <t>UE-SRM;USGS2025</t>
        </is>
      </c>
      <c r="F19" s="9" t="inlineStr">
        <is>
          <t>estrategico</t>
        </is>
      </c>
      <c r="G19" s="9" t="inlineStr">
        <is>
          <t>no</t>
        </is>
      </c>
      <c r="H19" s="9" t="inlineStr">
        <is>
          <t>no</t>
        </is>
      </c>
      <c r="I19" s="9" t="inlineStr">
        <is>
          <t>si</t>
        </is>
      </c>
    </row>
    <row r="20">
      <c r="A20" s="6" t="inlineStr">
        <is>
          <t>silice</t>
        </is>
      </c>
      <c r="B20" s="6" t="inlineStr">
        <is>
          <t>E2</t>
        </is>
      </c>
      <c r="C20" s="5" t="inlineStr">
        <is>
          <t>ferrosilicio</t>
        </is>
      </c>
      <c r="D20" s="6" t="inlineStr">
        <is>
          <t>siderurgia</t>
        </is>
      </c>
      <c r="E20" s="6" t="inlineStr">
        <is>
          <t>derivado</t>
        </is>
      </c>
      <c r="F20" s="6" t="inlineStr">
        <is>
          <t>medio</t>
        </is>
      </c>
      <c r="G20" s="6" t="inlineStr">
        <is>
          <t>si(uso)</t>
        </is>
      </c>
      <c r="H20" s="6" t="inlineStr">
        <is>
          <t>no</t>
        </is>
      </c>
      <c r="I20" s="6" t="inlineStr">
        <is>
          <t>si</t>
        </is>
      </c>
    </row>
    <row r="21">
      <c r="A21" s="9" t="inlineStr">
        <is>
          <t>silice</t>
        </is>
      </c>
      <c r="B21" s="9" t="inlineStr">
        <is>
          <t>E3-E4</t>
        </is>
      </c>
      <c r="C21" s="8" t="inlineStr">
        <is>
          <t>cuarzo alta pureza/obleas</t>
        </is>
      </c>
      <c r="D21" s="9" t="inlineStr">
        <is>
          <t>semiconductores/solar</t>
        </is>
      </c>
      <c r="E21" s="9" t="inlineStr">
        <is>
          <t>UE;IEA</t>
        </is>
      </c>
      <c r="F21" s="9" t="inlineStr">
        <is>
          <t>estrategico</t>
        </is>
      </c>
      <c r="G21" s="9" t="inlineStr">
        <is>
          <t>no</t>
        </is>
      </c>
      <c r="H21" s="9" t="inlineStr">
        <is>
          <t>no</t>
        </is>
      </c>
      <c r="I21" s="9" t="inlineStr">
        <is>
          <t>si</t>
        </is>
      </c>
    </row>
    <row r="22">
      <c r="A22" s="6" t="inlineStr">
        <is>
          <t>barita</t>
        </is>
      </c>
      <c r="B22" s="6" t="inlineStr">
        <is>
          <t>E1</t>
        </is>
      </c>
      <c r="C22" s="5" t="inlineStr">
        <is>
          <t>barita grado API (perforacion)</t>
        </is>
      </c>
      <c r="D22" s="6" t="inlineStr">
        <is>
          <t>petroleo y gas (lodos de perforacion)</t>
        </is>
      </c>
      <c r="E22" s="6" t="inlineStr">
        <is>
          <t>UE-CRM;USGS</t>
        </is>
      </c>
      <c r="F22" s="6" t="inlineStr">
        <is>
          <t>alto</t>
        </is>
      </c>
      <c r="G22" s="6" t="inlineStr">
        <is>
          <t>si</t>
        </is>
      </c>
      <c r="H22" s="6" t="inlineStr">
        <is>
          <t>si</t>
        </is>
      </c>
      <c r="I22" s="6" t="inlineStr">
        <is>
          <t>si</t>
        </is>
      </c>
    </row>
    <row r="23">
      <c r="A23" s="9" t="inlineStr">
        <is>
          <t>barita</t>
        </is>
      </c>
      <c r="B23" s="9" t="inlineStr">
        <is>
          <t>E2</t>
        </is>
      </c>
      <c r="C23" s="8" t="inlineStr">
        <is>
          <t>quimicos de bario (sulfato/carbonato)</t>
        </is>
      </c>
      <c r="D23" s="9" t="inlineStr">
        <is>
          <t>pinturas/vidrio/electronica/quimica</t>
        </is>
      </c>
      <c r="E23" s="9" t="inlineStr">
        <is>
          <t>derivado</t>
        </is>
      </c>
      <c r="F23" s="9" t="inlineStr">
        <is>
          <t>medio</t>
        </is>
      </c>
      <c r="G23" s="9" t="inlineStr">
        <is>
          <t>no</t>
        </is>
      </c>
      <c r="H23" s="9" t="inlineStr">
        <is>
          <t>no</t>
        </is>
      </c>
      <c r="I23" s="9" t="inlineStr">
        <is>
          <t>si</t>
        </is>
      </c>
    </row>
    <row r="24">
      <c r="A24" s="6" t="inlineStr">
        <is>
          <t>plomo</t>
        </is>
      </c>
      <c r="B24" s="6" t="inlineStr">
        <is>
          <t>E1</t>
        </is>
      </c>
      <c r="C24" s="5" t="inlineStr">
        <is>
          <t>concentrado de plomo</t>
        </is>
      </c>
      <c r="D24" s="6" t="inlineStr">
        <is>
          <t>insumo de refinacion</t>
        </is>
      </c>
      <c r="E24" s="6" t="inlineStr">
        <is>
          <t>USGS2025</t>
        </is>
      </c>
      <c r="F24" s="6" t="inlineStr">
        <is>
          <t>alto</t>
        </is>
      </c>
      <c r="G24" s="6" t="inlineStr">
        <is>
          <t>no</t>
        </is>
      </c>
      <c r="H24" s="6" t="inlineStr">
        <is>
          <t>si</t>
        </is>
      </c>
      <c r="I24" s="6" t="inlineStr">
        <is>
          <t>no</t>
        </is>
      </c>
    </row>
    <row r="25">
      <c r="A25" s="9" t="inlineStr">
        <is>
          <t>plomo</t>
        </is>
      </c>
      <c r="B25" s="9" t="inlineStr">
        <is>
          <t>E2</t>
        </is>
      </c>
      <c r="C25" s="8" t="inlineStr">
        <is>
          <t>plomo refinado</t>
        </is>
      </c>
      <c r="D25" s="9" t="inlineStr">
        <is>
          <t>baterias Pb-acido/blindaje/municiones</t>
        </is>
      </c>
      <c r="E25" s="9" t="inlineStr">
        <is>
          <t>USGS2025</t>
        </is>
      </c>
      <c r="F25" s="9" t="inlineStr">
        <is>
          <t>medio</t>
        </is>
      </c>
      <c r="G25" s="9" t="inlineStr">
        <is>
          <t>si</t>
        </is>
      </c>
      <c r="H25" s="9" t="inlineStr">
        <is>
          <t>parcial</t>
        </is>
      </c>
      <c r="I25" s="9" t="inlineStr">
        <is>
          <t>no</t>
        </is>
      </c>
    </row>
    <row r="26">
      <c r="A26" s="6" t="inlineStr">
        <is>
          <t>plomo</t>
        </is>
      </c>
      <c r="B26" s="6" t="inlineStr">
        <is>
          <t>E4</t>
        </is>
      </c>
      <c r="C26" s="5" t="inlineStr">
        <is>
          <t>baterias plomo-acido</t>
        </is>
      </c>
      <c r="D26" s="6" t="inlineStr">
        <is>
          <t>automotriz/almacenamiento</t>
        </is>
      </c>
      <c r="E26" s="6" t="inlineStr">
        <is>
          <t>uso-final</t>
        </is>
      </c>
      <c r="F26" s="6" t="inlineStr">
        <is>
          <t>medio</t>
        </is>
      </c>
      <c r="G26" s="6" t="inlineStr">
        <is>
          <t>si</t>
        </is>
      </c>
      <c r="H26" s="6" t="inlineStr">
        <is>
          <t>parcial</t>
        </is>
      </c>
      <c r="I26" s="6" t="inlineStr">
        <is>
          <t>si</t>
        </is>
      </c>
    </row>
    <row r="27">
      <c r="A27" s="9" t="inlineStr">
        <is>
          <t>zinc</t>
        </is>
      </c>
      <c r="B27" s="9" t="inlineStr">
        <is>
          <t>E1</t>
        </is>
      </c>
      <c r="C27" s="8" t="inlineStr">
        <is>
          <t>concentrado de zinc</t>
        </is>
      </c>
      <c r="D27" s="9" t="inlineStr">
        <is>
          <t>insumo de refinacion</t>
        </is>
      </c>
      <c r="E27" s="9" t="inlineStr">
        <is>
          <t>USGS2022</t>
        </is>
      </c>
      <c r="F27" s="9" t="inlineStr">
        <is>
          <t>alto</t>
        </is>
      </c>
      <c r="G27" s="9" t="inlineStr">
        <is>
          <t>no</t>
        </is>
      </c>
      <c r="H27" s="9" t="inlineStr">
        <is>
          <t>si</t>
        </is>
      </c>
      <c r="I27" s="9" t="inlineStr">
        <is>
          <t>no</t>
        </is>
      </c>
    </row>
    <row r="28">
      <c r="A28" s="6" t="inlineStr">
        <is>
          <t>zinc</t>
        </is>
      </c>
      <c r="B28" s="6" t="inlineStr">
        <is>
          <t>E2</t>
        </is>
      </c>
      <c r="C28" s="5" t="inlineStr">
        <is>
          <t>zinc refinado</t>
        </is>
      </c>
      <c r="D28" s="6" t="inlineStr">
        <is>
          <t>galvanizado del acero/aleaciones/quimica</t>
        </is>
      </c>
      <c r="E28" s="6" t="inlineStr">
        <is>
          <t>USGS2022</t>
        </is>
      </c>
      <c r="F28" s="6" t="inlineStr">
        <is>
          <t>medio</t>
        </is>
      </c>
      <c r="G28" s="6" t="inlineStr">
        <is>
          <t>si</t>
        </is>
      </c>
      <c r="H28" s="6" t="inlineStr">
        <is>
          <t>si</t>
        </is>
      </c>
      <c r="I28" s="6" t="inlineStr">
        <is>
          <t>parcial</t>
        </is>
      </c>
    </row>
    <row r="29">
      <c r="A29" s="9" t="inlineStr">
        <is>
          <t>zinc</t>
        </is>
      </c>
      <c r="B29" s="9" t="inlineStr">
        <is>
          <t>E3-E4</t>
        </is>
      </c>
      <c r="C29" s="8" t="inlineStr">
        <is>
          <t>semis y galvanizado</t>
        </is>
      </c>
      <c r="D29" s="9" t="inlineStr">
        <is>
          <t>construccion/automotriz</t>
        </is>
      </c>
      <c r="E29" s="9" t="inlineStr">
        <is>
          <t>derivado</t>
        </is>
      </c>
      <c r="F29" s="9" t="inlineStr">
        <is>
          <t>medio</t>
        </is>
      </c>
      <c r="G29" s="9" t="inlineStr">
        <is>
          <t>si(uso)</t>
        </is>
      </c>
      <c r="H29" s="9" t="inlineStr">
        <is>
          <t>no</t>
        </is>
      </c>
      <c r="I29" s="9" t="inlineStr">
        <is>
          <t>si</t>
        </is>
      </c>
    </row>
    <row r="30">
      <c r="A30" s="6" t="inlineStr">
        <is>
          <t>oro</t>
        </is>
      </c>
      <c r="B30" s="6" t="inlineStr">
        <is>
          <t>E2</t>
        </is>
      </c>
      <c r="C30" s="5" t="inlineStr">
        <is>
          <t>oro refinado/dore</t>
        </is>
      </c>
      <c r="D30" s="6" t="inlineStr">
        <is>
          <t>reserva de valor/financiero/electronica/joyeria</t>
        </is>
      </c>
      <c r="E30" s="6" t="inlineStr">
        <is>
          <t>EO-EEUU2025(seguridad nacional)</t>
        </is>
      </c>
      <c r="F30" s="6" t="inlineStr">
        <is>
          <t>estrategico</t>
        </is>
      </c>
      <c r="G30" s="6" t="inlineStr">
        <is>
          <t>si</t>
        </is>
      </c>
      <c r="H30" s="6" t="inlineStr">
        <is>
          <t>si</t>
        </is>
      </c>
      <c r="I30" s="6" t="inlineStr">
        <is>
          <t>no</t>
        </is>
      </c>
    </row>
    <row r="31">
      <c r="A31" s="9" t="inlineStr">
        <is>
          <t>oro</t>
        </is>
      </c>
      <c r="B31" s="9" t="inlineStr">
        <is>
          <t>E4</t>
        </is>
      </c>
      <c r="C31" s="8" t="inlineStr">
        <is>
          <t>joyeria y orfebreria</t>
        </is>
      </c>
      <c r="D31" s="9" t="inlineStr">
        <is>
          <t>consumo</t>
        </is>
      </c>
      <c r="E31" s="9" t="inlineStr">
        <is>
          <t>uso-final</t>
        </is>
      </c>
      <c r="F31" s="9" t="inlineStr">
        <is>
          <t>bajo</t>
        </is>
      </c>
      <c r="G31" s="9" t="inlineStr">
        <is>
          <t>si(uso)</t>
        </is>
      </c>
      <c r="H31" s="9" t="inlineStr">
        <is>
          <t>no</t>
        </is>
      </c>
      <c r="I31" s="9" t="inlineStr">
        <is>
          <t>si</t>
        </is>
      </c>
    </row>
    <row r="32">
      <c r="A32" s="6" t="inlineStr">
        <is>
          <t>plata</t>
        </is>
      </c>
      <c r="B32" s="6" t="inlineStr">
        <is>
          <t>E2</t>
        </is>
      </c>
      <c r="C32" s="5" t="inlineStr">
        <is>
          <t>plata refinada</t>
        </is>
      </c>
      <c r="D32" s="6" t="inlineStr">
        <is>
          <t>fotovoltaica/electronica/catalisis/joyeria</t>
        </is>
      </c>
      <c r="E32" s="6" t="inlineStr">
        <is>
          <t>USGS2025;IEA</t>
        </is>
      </c>
      <c r="F32" s="6" t="inlineStr">
        <is>
          <t>alto</t>
        </is>
      </c>
      <c r="G32" s="6" t="inlineStr">
        <is>
          <t>si</t>
        </is>
      </c>
      <c r="H32" s="6" t="inlineStr">
        <is>
          <t>si</t>
        </is>
      </c>
      <c r="I32" s="6" t="inlineStr">
        <is>
          <t>no</t>
        </is>
      </c>
    </row>
    <row r="33">
      <c r="A33" s="9" t="inlineStr">
        <is>
          <t>plata</t>
        </is>
      </c>
      <c r="B33" s="9" t="inlineStr">
        <is>
          <t>E4</t>
        </is>
      </c>
      <c r="C33" s="8" t="inlineStr">
        <is>
          <t>plateria/joyeria</t>
        </is>
      </c>
      <c r="D33" s="9" t="inlineStr">
        <is>
          <t>consumo/industria</t>
        </is>
      </c>
      <c r="E33" s="9" t="inlineStr">
        <is>
          <t>uso-final</t>
        </is>
      </c>
      <c r="F33" s="9" t="inlineStr">
        <is>
          <t>bajo</t>
        </is>
      </c>
      <c r="G33" s="9" t="inlineStr">
        <is>
          <t>si(uso)</t>
        </is>
      </c>
      <c r="H33" s="9" t="inlineStr">
        <is>
          <t>no</t>
        </is>
      </c>
      <c r="I33" s="9" t="inlineStr">
        <is>
          <t>si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3" customWidth="1" min="4" max="4"/>
    <col width="15" customWidth="1" min="5" max="5"/>
    <col width="15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</cols>
  <sheetData>
    <row r="1" ht="24" customHeight="1">
      <c r="A1" s="1" t="inlineStr">
        <is>
          <t>Extraccion hipotetica (HEM) por mineral, 2013/2018</t>
        </is>
      </c>
    </row>
    <row r="2" ht="40" customHeight="1">
      <c r="A2" s="2" t="inlineStr">
        <is>
          <t>HEM = % del VBP nacional que se perderia al extraer las compras (hacia atras) o ventas (hacia adelante) del mineral (Miller-Lahr 2001, casos 3/4; metodo de Morales-Lopez 2023). Inversion de matriz validada por Sherman-Morrison vs fuerza bruta a 1e-14 (script). Columna verde: hem_total recomputado = back + fwd; 'rank_*' = rango del mineral entre los n sectores. Mide PESO economico (complementa a Rasmussen, que mide intensidad).</t>
        </is>
      </c>
    </row>
    <row r="3">
      <c r="A3" s="3" t="inlineStr">
        <is>
          <t>anio</t>
        </is>
      </c>
      <c r="B3" s="3" t="inlineStr">
        <is>
          <t>codigo</t>
        </is>
      </c>
      <c r="C3" s="3" t="inlineStr">
        <is>
          <t>mineral</t>
        </is>
      </c>
      <c r="D3" s="3" t="inlineStr">
        <is>
          <t>vbp_mmpesos</t>
        </is>
      </c>
      <c r="E3" s="3" t="inlineStr">
        <is>
          <t>hem_backward_pct</t>
        </is>
      </c>
      <c r="F3" s="3" t="inlineStr">
        <is>
          <t>hem_forward_pct</t>
        </is>
      </c>
      <c r="G3" s="3" t="inlineStr">
        <is>
          <t>hem_total_pct</t>
        </is>
      </c>
      <c r="H3" s="3" t="inlineStr">
        <is>
          <t>rank_backward</t>
        </is>
      </c>
      <c r="I3" s="3" t="inlineStr">
        <is>
          <t>rank_forward</t>
        </is>
      </c>
      <c r="J3" s="3" t="inlineStr">
        <is>
          <t>rank_total</t>
        </is>
      </c>
      <c r="K3" s="3" t="inlineStr">
        <is>
          <t>n_sectores</t>
        </is>
      </c>
      <c r="L3" s="10" t="inlineStr">
        <is>
          <t>hem_total (=formula)</t>
        </is>
      </c>
      <c r="M3" s="10" t="inlineStr">
        <is>
          <t>dif</t>
        </is>
      </c>
    </row>
    <row r="4">
      <c r="A4" s="6" t="n">
        <v>2013</v>
      </c>
      <c r="B4" s="6" t="n">
        <v>212393</v>
      </c>
      <c r="C4" s="6" t="inlineStr">
        <is>
          <t>barita</t>
        </is>
      </c>
      <c r="D4" s="6" t="n">
        <v>368.345</v>
      </c>
      <c r="E4" s="6" t="n">
        <v>0.0005999999999999999</v>
      </c>
      <c r="F4" s="6" t="n">
        <v>0.0003</v>
      </c>
      <c r="G4" s="6" t="n">
        <v>0.0009</v>
      </c>
      <c r="H4" s="6" t="n">
        <v>741</v>
      </c>
      <c r="I4" s="6" t="n">
        <v>587</v>
      </c>
      <c r="J4" s="6" t="n">
        <v>756</v>
      </c>
      <c r="K4" s="6" t="n">
        <v>822</v>
      </c>
      <c r="L4" s="11">
        <f>ROUND(E4+F4,4)</f>
        <v/>
      </c>
      <c r="M4" s="11">
        <f>ROUND(L4-G4,4)</f>
        <v/>
      </c>
    </row>
    <row r="5">
      <c r="A5" s="9" t="n">
        <v>2013</v>
      </c>
      <c r="B5" s="9" t="n">
        <v>212231</v>
      </c>
      <c r="C5" s="9" t="inlineStr">
        <is>
          <t>cobre</t>
        </is>
      </c>
      <c r="D5" s="9" t="n">
        <v>39971.368</v>
      </c>
      <c r="E5" s="9" t="n">
        <v>0.0486</v>
      </c>
      <c r="F5" s="9" t="n">
        <v>0.1239</v>
      </c>
      <c r="G5" s="9" t="n">
        <v>0.1725</v>
      </c>
      <c r="H5" s="9" t="n">
        <v>162</v>
      </c>
      <c r="I5" s="9" t="n">
        <v>64</v>
      </c>
      <c r="J5" s="9" t="n">
        <v>101</v>
      </c>
      <c r="K5" s="9" t="n">
        <v>822</v>
      </c>
      <c r="L5" s="11">
        <f>ROUND(E5+F5,4)</f>
        <v/>
      </c>
      <c r="M5" s="11">
        <f>ROUND(L5-G5,4)</f>
        <v/>
      </c>
    </row>
    <row r="6">
      <c r="A6" s="6" t="n">
        <v>2013</v>
      </c>
      <c r="B6" s="6" t="n">
        <v>212395</v>
      </c>
      <c r="C6" s="6" t="inlineStr">
        <is>
          <t>fluorita</t>
        </is>
      </c>
      <c r="D6" s="6" t="n">
        <v>2218.245</v>
      </c>
      <c r="E6" s="6" t="n">
        <v>0.0022</v>
      </c>
      <c r="F6" s="6" t="n">
        <v>0.003</v>
      </c>
      <c r="G6" s="6" t="n">
        <v>0.0052</v>
      </c>
      <c r="H6" s="6" t="n">
        <v>607</v>
      </c>
      <c r="I6" s="6" t="n">
        <v>449</v>
      </c>
      <c r="J6" s="6" t="n">
        <v>597</v>
      </c>
      <c r="K6" s="6" t="n">
        <v>822</v>
      </c>
      <c r="L6" s="11">
        <f>ROUND(E6+F6,4)</f>
        <v/>
      </c>
      <c r="M6" s="11">
        <f>ROUND(L6-G6,4)</f>
        <v/>
      </c>
    </row>
    <row r="7">
      <c r="A7" s="9" t="n">
        <v>2013</v>
      </c>
      <c r="B7" s="9" t="n">
        <v>212396</v>
      </c>
      <c r="C7" s="9" t="inlineStr">
        <is>
          <t>grafito</t>
        </is>
      </c>
      <c r="D7" s="9" t="n">
        <v>164.102</v>
      </c>
      <c r="E7" s="9" t="n">
        <v>0.0002</v>
      </c>
      <c r="F7" s="9" t="n">
        <v>0.0005999999999999999</v>
      </c>
      <c r="G7" s="9" t="n">
        <v>0.0007</v>
      </c>
      <c r="H7" s="9" t="n">
        <v>794</v>
      </c>
      <c r="I7" s="9" t="n">
        <v>554</v>
      </c>
      <c r="J7" s="9" t="n">
        <v>764</v>
      </c>
      <c r="K7" s="9" t="n">
        <v>822</v>
      </c>
      <c r="L7" s="11">
        <f>ROUND(E7+F7,4)</f>
        <v/>
      </c>
      <c r="M7" s="11">
        <f>ROUND(L7-G7,4)</f>
        <v/>
      </c>
    </row>
    <row r="8">
      <c r="A8" s="6" t="n">
        <v>2013</v>
      </c>
      <c r="B8" s="6" t="n">
        <v>212291</v>
      </c>
      <c r="C8" s="6" t="inlineStr">
        <is>
          <t>manganeso</t>
        </is>
      </c>
      <c r="D8" s="6" t="n">
        <v>486.019</v>
      </c>
      <c r="E8" s="6" t="n">
        <v>0.0004</v>
      </c>
      <c r="F8" s="6" t="n">
        <v>0.0032</v>
      </c>
      <c r="G8" s="6" t="n">
        <v>0.0036</v>
      </c>
      <c r="H8" s="6" t="n">
        <v>761</v>
      </c>
      <c r="I8" s="6" t="n">
        <v>439</v>
      </c>
      <c r="J8" s="6" t="n">
        <v>641</v>
      </c>
      <c r="K8" s="6" t="n">
        <v>822</v>
      </c>
      <c r="L8" s="11">
        <f>ROUND(E8+F8,4)</f>
        <v/>
      </c>
      <c r="M8" s="11">
        <f>ROUND(L8-G8,4)</f>
        <v/>
      </c>
    </row>
    <row r="9">
      <c r="A9" s="9" t="n">
        <v>2013</v>
      </c>
      <c r="B9" s="9" t="n">
        <v>212221</v>
      </c>
      <c r="C9" s="9" t="inlineStr">
        <is>
          <t>oro</t>
        </is>
      </c>
      <c r="D9" s="9" t="n">
        <v>49607.237</v>
      </c>
      <c r="E9" s="9" t="n">
        <v>0.06759999999999999</v>
      </c>
      <c r="F9" s="9" t="n">
        <v>0.198</v>
      </c>
      <c r="G9" s="9" t="n">
        <v>0.2656</v>
      </c>
      <c r="H9" s="9" t="n">
        <v>126</v>
      </c>
      <c r="I9" s="9" t="n">
        <v>33</v>
      </c>
      <c r="J9" s="9" t="n">
        <v>59</v>
      </c>
      <c r="K9" s="9" t="n">
        <v>822</v>
      </c>
      <c r="L9" s="11">
        <f>ROUND(E9+F9,4)</f>
        <v/>
      </c>
      <c r="M9" s="11">
        <f>ROUND(L9-G9,4)</f>
        <v/>
      </c>
    </row>
    <row r="10">
      <c r="A10" s="6" t="n">
        <v>2013</v>
      </c>
      <c r="B10" s="6" t="n">
        <v>212222</v>
      </c>
      <c r="C10" s="6" t="inlineStr">
        <is>
          <t>plata</t>
        </is>
      </c>
      <c r="D10" s="6" t="n">
        <v>44680.402</v>
      </c>
      <c r="E10" s="6" t="n">
        <v>0.0599</v>
      </c>
      <c r="F10" s="6" t="n">
        <v>0.1686</v>
      </c>
      <c r="G10" s="6" t="n">
        <v>0.2285</v>
      </c>
      <c r="H10" s="6" t="n">
        <v>139</v>
      </c>
      <c r="I10" s="6" t="n">
        <v>45</v>
      </c>
      <c r="J10" s="6" t="n">
        <v>77</v>
      </c>
      <c r="K10" s="6" t="n">
        <v>822</v>
      </c>
      <c r="L10" s="11">
        <f>ROUND(E10+F10,4)</f>
        <v/>
      </c>
      <c r="M10" s="11">
        <f>ROUND(L10-G10,4)</f>
        <v/>
      </c>
    </row>
    <row r="11">
      <c r="A11" s="9" t="n">
        <v>2013</v>
      </c>
      <c r="B11" s="9" t="n">
        <v>212232</v>
      </c>
      <c r="C11" s="9" t="inlineStr">
        <is>
          <t>plomo-zinc</t>
        </is>
      </c>
      <c r="D11" s="9" t="n">
        <v>20045.785</v>
      </c>
      <c r="E11" s="9" t="n">
        <v>0.0251</v>
      </c>
      <c r="F11" s="9" t="n">
        <v>0.0095</v>
      </c>
      <c r="G11" s="9" t="n">
        <v>0.0346</v>
      </c>
      <c r="H11" s="9" t="n">
        <v>247</v>
      </c>
      <c r="I11" s="9" t="n">
        <v>312</v>
      </c>
      <c r="J11" s="9" t="n">
        <v>304</v>
      </c>
      <c r="K11" s="9" t="n">
        <v>822</v>
      </c>
      <c r="L11" s="11">
        <f>ROUND(E11+F11,4)</f>
        <v/>
      </c>
      <c r="M11" s="11">
        <f>ROUND(L11-G11,4)</f>
        <v/>
      </c>
    </row>
    <row r="12">
      <c r="A12" s="6" t="n">
        <v>2013</v>
      </c>
      <c r="B12" s="6" t="n">
        <v>212324</v>
      </c>
      <c r="C12" s="6" t="inlineStr">
        <is>
          <t>silice</t>
        </is>
      </c>
      <c r="D12" s="6" t="n">
        <v>4898.266</v>
      </c>
      <c r="E12" s="6" t="n">
        <v>0.0066</v>
      </c>
      <c r="F12" s="6" t="n">
        <v>0.0326</v>
      </c>
      <c r="G12" s="6" t="n">
        <v>0.0393</v>
      </c>
      <c r="H12" s="6" t="n">
        <v>474</v>
      </c>
      <c r="I12" s="6" t="n">
        <v>160</v>
      </c>
      <c r="J12" s="6" t="n">
        <v>278</v>
      </c>
      <c r="K12" s="6" t="n">
        <v>822</v>
      </c>
      <c r="L12" s="11">
        <f>ROUND(E12+F12,4)</f>
        <v/>
      </c>
      <c r="M12" s="11">
        <f>ROUND(L12-G12,4)</f>
        <v/>
      </c>
    </row>
    <row r="13">
      <c r="A13" s="9" t="n">
        <v>2018</v>
      </c>
      <c r="B13" s="9" t="n">
        <v>212393</v>
      </c>
      <c r="C13" s="9" t="inlineStr">
        <is>
          <t>barita</t>
        </is>
      </c>
      <c r="D13" s="9" t="n">
        <v>685.596</v>
      </c>
      <c r="E13" s="9" t="n">
        <v>0.0005999999999999999</v>
      </c>
      <c r="F13" s="9" t="n">
        <v>0.0001</v>
      </c>
      <c r="G13" s="9" t="n">
        <v>0.0007</v>
      </c>
      <c r="H13" s="9" t="n">
        <v>745</v>
      </c>
      <c r="I13" s="9" t="n">
        <v>680</v>
      </c>
      <c r="J13" s="9" t="n">
        <v>781</v>
      </c>
      <c r="K13" s="9" t="n">
        <v>834</v>
      </c>
      <c r="L13" s="11">
        <f>ROUND(E13+F13,4)</f>
        <v/>
      </c>
      <c r="M13" s="11">
        <f>ROUND(L13-G13,4)</f>
        <v/>
      </c>
    </row>
    <row r="14">
      <c r="A14" s="6" t="n">
        <v>2018</v>
      </c>
      <c r="B14" s="6" t="n">
        <v>212231</v>
      </c>
      <c r="C14" s="6" t="inlineStr">
        <is>
          <t>cobre</t>
        </is>
      </c>
      <c r="D14" s="6" t="n">
        <v>92892.952</v>
      </c>
      <c r="E14" s="6" t="n">
        <v>0.0757</v>
      </c>
      <c r="F14" s="6" t="n">
        <v>0.2497</v>
      </c>
      <c r="G14" s="6" t="n">
        <v>0.3253</v>
      </c>
      <c r="H14" s="6" t="n">
        <v>106</v>
      </c>
      <c r="I14" s="6" t="n">
        <v>25</v>
      </c>
      <c r="J14" s="6" t="n">
        <v>46</v>
      </c>
      <c r="K14" s="6" t="n">
        <v>834</v>
      </c>
      <c r="L14" s="11">
        <f>ROUND(E14+F14,4)</f>
        <v/>
      </c>
      <c r="M14" s="11">
        <f>ROUND(L14-G14,4)</f>
        <v/>
      </c>
    </row>
    <row r="15">
      <c r="A15" s="9" t="n">
        <v>2018</v>
      </c>
      <c r="B15" s="9" t="n">
        <v>212395</v>
      </c>
      <c r="C15" s="9" t="inlineStr">
        <is>
          <t>fluorita</t>
        </is>
      </c>
      <c r="D15" s="9" t="n">
        <v>5861.771</v>
      </c>
      <c r="E15" s="9" t="n">
        <v>0.0055</v>
      </c>
      <c r="F15" s="9" t="n">
        <v>0.0154</v>
      </c>
      <c r="G15" s="9" t="n">
        <v>0.0209</v>
      </c>
      <c r="H15" s="9" t="n">
        <v>475</v>
      </c>
      <c r="I15" s="9" t="n">
        <v>281</v>
      </c>
      <c r="J15" s="9" t="n">
        <v>395</v>
      </c>
      <c r="K15" s="9" t="n">
        <v>834</v>
      </c>
      <c r="L15" s="11">
        <f>ROUND(E15+F15,4)</f>
        <v/>
      </c>
      <c r="M15" s="11">
        <f>ROUND(L15-G15,4)</f>
        <v/>
      </c>
    </row>
    <row r="16">
      <c r="A16" s="6" t="n">
        <v>2018</v>
      </c>
      <c r="B16" s="6" t="n">
        <v>212396</v>
      </c>
      <c r="C16" s="6" t="inlineStr">
        <is>
          <t>grafito</t>
        </is>
      </c>
      <c r="D16" s="6" t="n">
        <v>719.8150000000001</v>
      </c>
      <c r="E16" s="6" t="n">
        <v>0.0004</v>
      </c>
      <c r="F16" s="6" t="n">
        <v>0.003</v>
      </c>
      <c r="G16" s="6" t="n">
        <v>0.0035</v>
      </c>
      <c r="H16" s="6" t="n">
        <v>764</v>
      </c>
      <c r="I16" s="6" t="n">
        <v>490</v>
      </c>
      <c r="J16" s="6" t="n">
        <v>663</v>
      </c>
      <c r="K16" s="6" t="n">
        <v>834</v>
      </c>
      <c r="L16" s="11">
        <f>ROUND(E16+F16,4)</f>
        <v/>
      </c>
      <c r="M16" s="11">
        <f>ROUND(L16-G16,4)</f>
        <v/>
      </c>
    </row>
    <row r="17">
      <c r="A17" s="9" t="n">
        <v>2018</v>
      </c>
      <c r="B17" s="9" t="n">
        <v>212291</v>
      </c>
      <c r="C17" s="9" t="inlineStr">
        <is>
          <t>manganeso</t>
        </is>
      </c>
      <c r="D17" s="9" t="n">
        <v>634.992</v>
      </c>
      <c r="E17" s="9" t="n">
        <v>0.0008</v>
      </c>
      <c r="F17" s="9" t="n">
        <v>0.0022</v>
      </c>
      <c r="G17" s="9" t="n">
        <v>0.003</v>
      </c>
      <c r="H17" s="9" t="n">
        <v>728</v>
      </c>
      <c r="I17" s="9" t="n">
        <v>515</v>
      </c>
      <c r="J17" s="9" t="n">
        <v>683</v>
      </c>
      <c r="K17" s="9" t="n">
        <v>834</v>
      </c>
      <c r="L17" s="11">
        <f>ROUND(E17+F17,4)</f>
        <v/>
      </c>
      <c r="M17" s="11">
        <f>ROUND(L17-G17,4)</f>
        <v/>
      </c>
    </row>
    <row r="18">
      <c r="A18" s="6" t="n">
        <v>2018</v>
      </c>
      <c r="B18" s="6" t="n">
        <v>212221</v>
      </c>
      <c r="C18" s="6" t="inlineStr">
        <is>
          <t>oro</t>
        </is>
      </c>
      <c r="D18" s="6" t="n">
        <v>69491.057</v>
      </c>
      <c r="E18" s="6" t="n">
        <v>0.0789</v>
      </c>
      <c r="F18" s="6" t="n">
        <v>0.1594</v>
      </c>
      <c r="G18" s="6" t="n">
        <v>0.2383</v>
      </c>
      <c r="H18" s="6" t="n">
        <v>101</v>
      </c>
      <c r="I18" s="6" t="n">
        <v>49</v>
      </c>
      <c r="J18" s="6" t="n">
        <v>72</v>
      </c>
      <c r="K18" s="6" t="n">
        <v>834</v>
      </c>
      <c r="L18" s="11">
        <f>ROUND(E18+F18,4)</f>
        <v/>
      </c>
      <c r="M18" s="11">
        <f>ROUND(L18-G18,4)</f>
        <v/>
      </c>
    </row>
    <row r="19">
      <c r="A19" s="9" t="n">
        <v>2018</v>
      </c>
      <c r="B19" s="9" t="n">
        <v>212222</v>
      </c>
      <c r="C19" s="9" t="inlineStr">
        <is>
          <t>plata</t>
        </is>
      </c>
      <c r="D19" s="9" t="n">
        <v>49784.436</v>
      </c>
      <c r="E19" s="9" t="n">
        <v>0.0507</v>
      </c>
      <c r="F19" s="9" t="n">
        <v>0.1058</v>
      </c>
      <c r="G19" s="9" t="n">
        <v>0.1564</v>
      </c>
      <c r="H19" s="9" t="n">
        <v>145</v>
      </c>
      <c r="I19" s="9" t="n">
        <v>70</v>
      </c>
      <c r="J19" s="9" t="n">
        <v>104</v>
      </c>
      <c r="K19" s="9" t="n">
        <v>834</v>
      </c>
      <c r="L19" s="11">
        <f>ROUND(E19+F19,4)</f>
        <v/>
      </c>
      <c r="M19" s="11">
        <f>ROUND(L19-G19,4)</f>
        <v/>
      </c>
    </row>
    <row r="20">
      <c r="A20" s="6" t="n">
        <v>2018</v>
      </c>
      <c r="B20" s="6" t="n">
        <v>212232</v>
      </c>
      <c r="C20" s="6" t="inlineStr">
        <is>
          <t>plomo-zinc</t>
        </is>
      </c>
      <c r="D20" s="6" t="n">
        <v>34724.742</v>
      </c>
      <c r="E20" s="6" t="n">
        <v>0.0346</v>
      </c>
      <c r="F20" s="6" t="n">
        <v>0.0117</v>
      </c>
      <c r="G20" s="6" t="n">
        <v>0.0463</v>
      </c>
      <c r="H20" s="6" t="n">
        <v>191</v>
      </c>
      <c r="I20" s="6" t="n">
        <v>328</v>
      </c>
      <c r="J20" s="6" t="n">
        <v>257</v>
      </c>
      <c r="K20" s="6" t="n">
        <v>834</v>
      </c>
      <c r="L20" s="11">
        <f>ROUND(E20+F20,4)</f>
        <v/>
      </c>
      <c r="M20" s="11">
        <f>ROUND(L20-G20,4)</f>
        <v/>
      </c>
    </row>
    <row r="21">
      <c r="A21" s="9" t="n">
        <v>2018</v>
      </c>
      <c r="B21" s="9" t="n">
        <v>212324</v>
      </c>
      <c r="C21" s="9" t="inlineStr">
        <is>
          <t>silice</t>
        </is>
      </c>
      <c r="D21" s="9" t="n">
        <v>6959.054</v>
      </c>
      <c r="E21" s="9" t="n">
        <v>0.0058</v>
      </c>
      <c r="F21" s="9" t="n">
        <v>0.0347</v>
      </c>
      <c r="G21" s="9" t="n">
        <v>0.0406</v>
      </c>
      <c r="H21" s="9" t="n">
        <v>468</v>
      </c>
      <c r="I21" s="9" t="n">
        <v>170</v>
      </c>
      <c r="J21" s="9" t="n">
        <v>276</v>
      </c>
      <c r="K21" s="9" t="n">
        <v>834</v>
      </c>
      <c r="L21" s="11">
        <f>ROUND(E21+F21,4)</f>
        <v/>
      </c>
      <c r="M21" s="11">
        <f>ROUND(L21-G21,4)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5" customWidth="1" min="4" max="4"/>
    <col width="15" customWidth="1" min="5" max="5"/>
    <col width="13" customWidth="1" min="6" max="6"/>
  </cols>
  <sheetData>
    <row r="1" ht="24" customHeight="1">
      <c r="A1" s="1" t="inlineStr">
        <is>
          <t>Extraccion hipotetica (HEM) de la mineria por entidad, 2018</t>
        </is>
      </c>
    </row>
    <row r="2" ht="40" customHeight="1">
      <c r="A2" s="2" t="inlineStr">
        <is>
          <t>HEM = % del VBP birregional (entidad + resto del pais) que se perderia al extraer la mineria de la entidad. MIP birregional INEGI 2018; inversion validada por Sherman-Morrison vs fuerza bruta a 1e-14. Columna verde: hem_total = back + fwd.</t>
        </is>
      </c>
    </row>
    <row r="3">
      <c r="A3" s="3" t="inlineStr">
        <is>
          <t>estado</t>
        </is>
      </c>
      <c r="B3" s="3" t="inlineStr">
        <is>
          <t>abrev</t>
        </is>
      </c>
      <c r="C3" s="3" t="inlineStr">
        <is>
          <t>vbp_mineria_mdp</t>
        </is>
      </c>
      <c r="D3" s="3" t="inlineStr">
        <is>
          <t>hem_backward_pct</t>
        </is>
      </c>
      <c r="E3" s="3" t="inlineStr">
        <is>
          <t>hem_forward_pct</t>
        </is>
      </c>
      <c r="F3" s="3" t="inlineStr">
        <is>
          <t>hem_total_pct</t>
        </is>
      </c>
      <c r="G3" s="10" t="inlineStr">
        <is>
          <t>hem_total (=formula)</t>
        </is>
      </c>
      <c r="H3" s="10" t="inlineStr">
        <is>
          <t>dif</t>
        </is>
      </c>
    </row>
    <row r="4">
      <c r="A4" s="6" t="inlineStr">
        <is>
          <t>Sonora</t>
        </is>
      </c>
      <c r="B4" s="6" t="inlineStr">
        <is>
          <t>son</t>
        </is>
      </c>
      <c r="C4" s="6" t="n">
        <v>140608.2</v>
      </c>
      <c r="D4" s="6" t="n">
        <v>0.1404</v>
      </c>
      <c r="E4" s="6" t="n">
        <v>0.3875</v>
      </c>
      <c r="F4" s="6" t="n">
        <v>0.5278</v>
      </c>
      <c r="G4" s="11">
        <f>ROUND(D4+E4,4)</f>
        <v/>
      </c>
      <c r="H4" s="11">
        <f>ROUND(G4-F4,4)</f>
        <v/>
      </c>
    </row>
    <row r="5">
      <c r="A5" s="9" t="inlineStr">
        <is>
          <t>Coahuila</t>
        </is>
      </c>
      <c r="B5" s="9" t="inlineStr">
        <is>
          <t>coah</t>
        </is>
      </c>
      <c r="C5" s="9" t="n">
        <v>42338.9</v>
      </c>
      <c r="D5" s="9" t="n">
        <v>0.037</v>
      </c>
      <c r="E5" s="9" t="n">
        <v>0.1577</v>
      </c>
      <c r="F5" s="9" t="n">
        <v>0.1948</v>
      </c>
      <c r="G5" s="11">
        <f>ROUND(D5+E5,4)</f>
        <v/>
      </c>
      <c r="H5" s="11">
        <f>ROUND(G5-F5,4)</f>
        <v/>
      </c>
    </row>
    <row r="6">
      <c r="A6" s="6" t="inlineStr">
        <is>
          <t>Durango</t>
        </is>
      </c>
      <c r="B6" s="6" t="inlineStr">
        <is>
          <t>dgo</t>
        </is>
      </c>
      <c r="C6" s="6" t="n">
        <v>36058.7</v>
      </c>
      <c r="D6" s="6" t="n">
        <v>0.0405</v>
      </c>
      <c r="E6" s="6" t="n">
        <v>0.0895</v>
      </c>
      <c r="F6" s="6" t="n">
        <v>0.13</v>
      </c>
      <c r="G6" s="11">
        <f>ROUND(D6+E6,4)</f>
        <v/>
      </c>
      <c r="H6" s="11">
        <f>ROUND(G6-F6,4)</f>
        <v/>
      </c>
    </row>
    <row r="7">
      <c r="A7" s="9" t="inlineStr">
        <is>
          <t>San Luis Potosi</t>
        </is>
      </c>
      <c r="B7" s="9" t="inlineStr">
        <is>
          <t>slp</t>
        </is>
      </c>
      <c r="C7" s="9" t="n">
        <v>19628.6</v>
      </c>
      <c r="D7" s="9" t="n">
        <v>0.0149</v>
      </c>
      <c r="E7" s="9" t="n">
        <v>0.07679999999999999</v>
      </c>
      <c r="F7" s="9" t="n">
        <v>0.0917</v>
      </c>
      <c r="G7" s="11">
        <f>ROUND(D7+E7,4)</f>
        <v/>
      </c>
      <c r="H7" s="11">
        <f>ROUND(G7-F7,4)</f>
        <v/>
      </c>
    </row>
    <row r="8">
      <c r="A8" s="6" t="inlineStr">
        <is>
          <t>Zacatecas</t>
        </is>
      </c>
      <c r="B8" s="6" t="inlineStr">
        <is>
          <t>zac</t>
        </is>
      </c>
      <c r="C8" s="6" t="n">
        <v>34470.9</v>
      </c>
      <c r="D8" s="6" t="n">
        <v>0.0342</v>
      </c>
      <c r="E8" s="6" t="n">
        <v>0.0547</v>
      </c>
      <c r="F8" s="6" t="n">
        <v>0.089</v>
      </c>
      <c r="G8" s="11">
        <f>ROUND(D8+E8,4)</f>
        <v/>
      </c>
      <c r="H8" s="11">
        <f>ROUND(G8-F8,4)</f>
        <v/>
      </c>
    </row>
    <row r="9">
      <c r="A9" s="9" t="inlineStr">
        <is>
          <t>Jalisco</t>
        </is>
      </c>
      <c r="B9" s="9" t="inlineStr">
        <is>
          <t>jal</t>
        </is>
      </c>
      <c r="C9" s="9" t="n">
        <v>12982.8</v>
      </c>
      <c r="D9" s="9" t="n">
        <v>0.0117</v>
      </c>
      <c r="E9" s="9" t="n">
        <v>0.0498</v>
      </c>
      <c r="F9" s="9" t="n">
        <v>0.0616</v>
      </c>
      <c r="G9" s="11">
        <f>ROUND(D9+E9,4)</f>
        <v/>
      </c>
      <c r="H9" s="11">
        <f>ROUND(G9-F9,4)</f>
        <v/>
      </c>
    </row>
    <row r="10">
      <c r="A10" s="6" t="inlineStr">
        <is>
          <t>Nuevo Leon</t>
        </is>
      </c>
      <c r="B10" s="6" t="inlineStr">
        <is>
          <t>nl</t>
        </is>
      </c>
      <c r="C10" s="6" t="n">
        <v>11947.1</v>
      </c>
      <c r="D10" s="6" t="n">
        <v>0.0105</v>
      </c>
      <c r="E10" s="6" t="n">
        <v>0.0457</v>
      </c>
      <c r="F10" s="6" t="n">
        <v>0.0562</v>
      </c>
      <c r="G10" s="11">
        <f>ROUND(D10+E10,4)</f>
        <v/>
      </c>
      <c r="H10" s="11">
        <f>ROUND(G10-F10,4)</f>
        <v/>
      </c>
    </row>
    <row r="11">
      <c r="A11" s="9" t="inlineStr">
        <is>
          <t>Chihuahua</t>
        </is>
      </c>
      <c r="B11" s="9" t="inlineStr">
        <is>
          <t>chih</t>
        </is>
      </c>
      <c r="C11" s="9" t="n">
        <v>23906.3</v>
      </c>
      <c r="D11" s="9" t="n">
        <v>0.0256</v>
      </c>
      <c r="E11" s="9" t="n">
        <v>0.0192</v>
      </c>
      <c r="F11" s="9" t="n">
        <v>0.0449</v>
      </c>
      <c r="G11" s="11">
        <f>ROUND(D11+E11,4)</f>
        <v/>
      </c>
      <c r="H11" s="11">
        <f>ROUND(G11-F11,4)</f>
        <v/>
      </c>
    </row>
    <row r="12">
      <c r="A12" s="6" t="inlineStr">
        <is>
          <t>Aguascalientes</t>
        </is>
      </c>
      <c r="B12" s="6" t="inlineStr">
        <is>
          <t>ags</t>
        </is>
      </c>
      <c r="C12" s="6" t="n">
        <v>9530.5</v>
      </c>
      <c r="D12" s="6" t="n">
        <v>0.0076</v>
      </c>
      <c r="E12" s="6" t="n">
        <v>0.0362</v>
      </c>
      <c r="F12" s="6" t="n">
        <v>0.0437</v>
      </c>
      <c r="G12" s="11">
        <f>ROUND(D12+E12,4)</f>
        <v/>
      </c>
      <c r="H12" s="11">
        <f>ROUND(G12-F12,4)</f>
        <v/>
      </c>
    </row>
    <row r="13">
      <c r="A13" s="9" t="inlineStr">
        <is>
          <t>Michoacan</t>
        </is>
      </c>
      <c r="B13" s="9" t="inlineStr">
        <is>
          <t>mich</t>
        </is>
      </c>
      <c r="C13" s="9" t="n">
        <v>8896.6</v>
      </c>
      <c r="D13" s="9" t="n">
        <v>0.0077</v>
      </c>
      <c r="E13" s="9" t="n">
        <v>0.0302</v>
      </c>
      <c r="F13" s="9" t="n">
        <v>0.0379</v>
      </c>
      <c r="G13" s="11">
        <f>ROUND(D13+E13,4)</f>
        <v/>
      </c>
      <c r="H13" s="11">
        <f>ROUND(G13-F13,4)</f>
        <v/>
      </c>
    </row>
    <row r="14">
      <c r="A14" s="6" t="inlineStr">
        <is>
          <t>Mexico</t>
        </is>
      </c>
      <c r="B14" s="6" t="inlineStr">
        <is>
          <t>mex</t>
        </is>
      </c>
      <c r="C14" s="6" t="n">
        <v>8584.5</v>
      </c>
      <c r="D14" s="6" t="n">
        <v>0.0052</v>
      </c>
      <c r="E14" s="6" t="n">
        <v>0.0319</v>
      </c>
      <c r="F14" s="6" t="n">
        <v>0.0372</v>
      </c>
      <c r="G14" s="11">
        <f>ROUND(D14+E14,4)</f>
        <v/>
      </c>
      <c r="H14" s="11">
        <f>ROUND(G14-F14,4)</f>
        <v/>
      </c>
    </row>
    <row r="15">
      <c r="A15" s="9" t="inlineStr">
        <is>
          <t>Hidalgo</t>
        </is>
      </c>
      <c r="B15" s="9" t="inlineStr">
        <is>
          <t>hgo</t>
        </is>
      </c>
      <c r="C15" s="9" t="n">
        <v>7493.7</v>
      </c>
      <c r="D15" s="9" t="n">
        <v>0.0077</v>
      </c>
      <c r="E15" s="9" t="n">
        <v>0.0292</v>
      </c>
      <c r="F15" s="9" t="n">
        <v>0.0369</v>
      </c>
      <c r="G15" s="11">
        <f>ROUND(D15+E15,4)</f>
        <v/>
      </c>
      <c r="H15" s="11">
        <f>ROUND(G15-F15,4)</f>
        <v/>
      </c>
    </row>
    <row r="16">
      <c r="A16" s="6" t="inlineStr">
        <is>
          <t>Veracruz</t>
        </is>
      </c>
      <c r="B16" s="6" t="inlineStr">
        <is>
          <t>ver</t>
        </is>
      </c>
      <c r="C16" s="6" t="n">
        <v>7749.3</v>
      </c>
      <c r="D16" s="6" t="n">
        <v>0.0072</v>
      </c>
      <c r="E16" s="6" t="n">
        <v>0.0269</v>
      </c>
      <c r="F16" s="6" t="n">
        <v>0.0341</v>
      </c>
      <c r="G16" s="11">
        <f>ROUND(D16+E16,4)</f>
        <v/>
      </c>
      <c r="H16" s="11">
        <f>ROUND(G16-F16,4)</f>
        <v/>
      </c>
    </row>
    <row r="17">
      <c r="A17" s="9" t="inlineStr">
        <is>
          <t>Sinaloa</t>
        </is>
      </c>
      <c r="B17" s="9" t="inlineStr">
        <is>
          <t>sin</t>
        </is>
      </c>
      <c r="C17" s="9" t="n">
        <v>6801.2</v>
      </c>
      <c r="D17" s="9" t="n">
        <v>0.0063</v>
      </c>
      <c r="E17" s="9" t="n">
        <v>0.0233</v>
      </c>
      <c r="F17" s="9" t="n">
        <v>0.0297</v>
      </c>
      <c r="G17" s="11">
        <f>ROUND(D17+E17,4)</f>
        <v/>
      </c>
      <c r="H17" s="11">
        <f>ROUND(G17-F17,4)</f>
        <v/>
      </c>
    </row>
    <row r="18">
      <c r="A18" s="6" t="inlineStr">
        <is>
          <t>Baja California Sur</t>
        </is>
      </c>
      <c r="B18" s="6" t="inlineStr">
        <is>
          <t>bcs</t>
        </is>
      </c>
      <c r="C18" s="6" t="n">
        <v>8986.799999999999</v>
      </c>
      <c r="D18" s="6" t="n">
        <v>0.0072</v>
      </c>
      <c r="E18" s="6" t="n">
        <v>0.0224</v>
      </c>
      <c r="F18" s="6" t="n">
        <v>0.0296</v>
      </c>
      <c r="G18" s="11">
        <f>ROUND(D18+E18,4)</f>
        <v/>
      </c>
      <c r="H18" s="11">
        <f>ROUND(G18-F18,4)</f>
        <v/>
      </c>
    </row>
    <row r="19">
      <c r="A19" s="9" t="inlineStr">
        <is>
          <t>Queretaro</t>
        </is>
      </c>
      <c r="B19" s="9" t="inlineStr">
        <is>
          <t>qro</t>
        </is>
      </c>
      <c r="C19" s="9" t="n">
        <v>6071.3</v>
      </c>
      <c r="D19" s="9" t="n">
        <v>0.0045</v>
      </c>
      <c r="E19" s="9" t="n">
        <v>0.0232</v>
      </c>
      <c r="F19" s="9" t="n">
        <v>0.0278</v>
      </c>
      <c r="G19" s="11">
        <f>ROUND(D19+E19,4)</f>
        <v/>
      </c>
      <c r="H19" s="11">
        <f>ROUND(G19-F19,4)</f>
        <v/>
      </c>
    </row>
    <row r="20">
      <c r="A20" s="6" t="inlineStr">
        <is>
          <t>Quintana Roo</t>
        </is>
      </c>
      <c r="B20" s="6" t="inlineStr">
        <is>
          <t>qr</t>
        </is>
      </c>
      <c r="C20" s="6" t="n">
        <v>6135.3</v>
      </c>
      <c r="D20" s="6" t="n">
        <v>0.0047</v>
      </c>
      <c r="E20" s="6" t="n">
        <v>0.0228</v>
      </c>
      <c r="F20" s="6" t="n">
        <v>0.0275</v>
      </c>
      <c r="G20" s="11">
        <f>ROUND(D20+E20,4)</f>
        <v/>
      </c>
      <c r="H20" s="11">
        <f>ROUND(G20-F20,4)</f>
        <v/>
      </c>
    </row>
    <row r="21">
      <c r="A21" s="9" t="inlineStr">
        <is>
          <t>Guerrero</t>
        </is>
      </c>
      <c r="B21" s="9" t="inlineStr">
        <is>
          <t>gro</t>
        </is>
      </c>
      <c r="C21" s="9" t="n">
        <v>11208.4</v>
      </c>
      <c r="D21" s="9" t="n">
        <v>0.009900000000000001</v>
      </c>
      <c r="E21" s="9" t="n">
        <v>0.0171</v>
      </c>
      <c r="F21" s="9" t="n">
        <v>0.027</v>
      </c>
      <c r="G21" s="11">
        <f>ROUND(D21+E21,4)</f>
        <v/>
      </c>
      <c r="H21" s="11">
        <f>ROUND(G21-F21,4)</f>
        <v/>
      </c>
    </row>
    <row r="22">
      <c r="A22" s="6" t="inlineStr">
        <is>
          <t>Guanajuato</t>
        </is>
      </c>
      <c r="B22" s="6" t="inlineStr">
        <is>
          <t>gto</t>
        </is>
      </c>
      <c r="C22" s="6" t="n">
        <v>5465.6</v>
      </c>
      <c r="D22" s="6" t="n">
        <v>0.0048</v>
      </c>
      <c r="E22" s="6" t="n">
        <v>0.0209</v>
      </c>
      <c r="F22" s="6" t="n">
        <v>0.0257</v>
      </c>
      <c r="G22" s="11">
        <f>ROUND(D22+E22,4)</f>
        <v/>
      </c>
      <c r="H22" s="11">
        <f>ROUND(G22-F22,4)</f>
        <v/>
      </c>
    </row>
    <row r="23">
      <c r="A23" s="9" t="inlineStr">
        <is>
          <t>Yucatan</t>
        </is>
      </c>
      <c r="B23" s="9" t="inlineStr">
        <is>
          <t>yuc</t>
        </is>
      </c>
      <c r="C23" s="9" t="n">
        <v>5171.4</v>
      </c>
      <c r="D23" s="9" t="n">
        <v>0.0037</v>
      </c>
      <c r="E23" s="9" t="n">
        <v>0.0197</v>
      </c>
      <c r="F23" s="9" t="n">
        <v>0.0234</v>
      </c>
      <c r="G23" s="11">
        <f>ROUND(D23+E23,4)</f>
        <v/>
      </c>
      <c r="H23" s="11">
        <f>ROUND(G23-F23,4)</f>
        <v/>
      </c>
    </row>
    <row r="24">
      <c r="A24" s="6" t="inlineStr">
        <is>
          <t>Oaxaca</t>
        </is>
      </c>
      <c r="B24" s="6" t="inlineStr">
        <is>
          <t>oax</t>
        </is>
      </c>
      <c r="C24" s="6" t="n">
        <v>4309</v>
      </c>
      <c r="D24" s="6" t="n">
        <v>0.006</v>
      </c>
      <c r="E24" s="6" t="n">
        <v>0.0166</v>
      </c>
      <c r="F24" s="6" t="n">
        <v>0.0226</v>
      </c>
      <c r="G24" s="11">
        <f>ROUND(D24+E24,4)</f>
        <v/>
      </c>
      <c r="H24" s="11">
        <f>ROUND(G24-F24,4)</f>
        <v/>
      </c>
    </row>
    <row r="25">
      <c r="A25" s="9" t="inlineStr">
        <is>
          <t>Colima</t>
        </is>
      </c>
      <c r="B25" s="9" t="inlineStr">
        <is>
          <t>col</t>
        </is>
      </c>
      <c r="C25" s="9" t="n">
        <v>6548.1</v>
      </c>
      <c r="D25" s="9" t="n">
        <v>0.0063</v>
      </c>
      <c r="E25" s="9" t="n">
        <v>0.0149</v>
      </c>
      <c r="F25" s="9" t="n">
        <v>0.0213</v>
      </c>
      <c r="G25" s="11">
        <f>ROUND(D25+E25,4)</f>
        <v/>
      </c>
      <c r="H25" s="11">
        <f>ROUND(G25-F25,4)</f>
        <v/>
      </c>
    </row>
    <row r="26">
      <c r="A26" s="6" t="inlineStr">
        <is>
          <t>Puebla</t>
        </is>
      </c>
      <c r="B26" s="6" t="inlineStr">
        <is>
          <t>pue</t>
        </is>
      </c>
      <c r="C26" s="6" t="n">
        <v>4097.9</v>
      </c>
      <c r="D26" s="6" t="n">
        <v>0.0028</v>
      </c>
      <c r="E26" s="6" t="n">
        <v>0.0159</v>
      </c>
      <c r="F26" s="6" t="n">
        <v>0.0186</v>
      </c>
      <c r="G26" s="11">
        <f>ROUND(D26+E26,4)</f>
        <v/>
      </c>
      <c r="H26" s="11">
        <f>ROUND(G26-F26,4)</f>
        <v/>
      </c>
    </row>
    <row r="27">
      <c r="A27" s="9" t="inlineStr">
        <is>
          <t>Tabasco</t>
        </is>
      </c>
      <c r="B27" s="9" t="inlineStr">
        <is>
          <t>tab</t>
        </is>
      </c>
      <c r="C27" s="9" t="n">
        <v>3473.6</v>
      </c>
      <c r="D27" s="9" t="n">
        <v>0.0031</v>
      </c>
      <c r="E27" s="9" t="n">
        <v>0.0129</v>
      </c>
      <c r="F27" s="9" t="n">
        <v>0.016</v>
      </c>
      <c r="G27" s="11">
        <f>ROUND(D27+E27,4)</f>
        <v/>
      </c>
      <c r="H27" s="11">
        <f>ROUND(G27-F27,4)</f>
        <v/>
      </c>
    </row>
    <row r="28">
      <c r="A28" s="6" t="inlineStr">
        <is>
          <t>Baja California</t>
        </is>
      </c>
      <c r="B28" s="6" t="inlineStr">
        <is>
          <t>bc</t>
        </is>
      </c>
      <c r="C28" s="6" t="n">
        <v>2917</v>
      </c>
      <c r="D28" s="6" t="n">
        <v>0.0027</v>
      </c>
      <c r="E28" s="6" t="n">
        <v>0.0101</v>
      </c>
      <c r="F28" s="6" t="n">
        <v>0.0128</v>
      </c>
      <c r="G28" s="11">
        <f>ROUND(D28+E28,4)</f>
        <v/>
      </c>
      <c r="H28" s="11">
        <f>ROUND(G28-F28,4)</f>
        <v/>
      </c>
    </row>
    <row r="29">
      <c r="A29" s="9" t="inlineStr">
        <is>
          <t>Nayarit</t>
        </is>
      </c>
      <c r="B29" s="9" t="inlineStr">
        <is>
          <t>nay</t>
        </is>
      </c>
      <c r="C29" s="9" t="n">
        <v>2491.4</v>
      </c>
      <c r="D29" s="9" t="n">
        <v>0.0019</v>
      </c>
      <c r="E29" s="9" t="n">
        <v>0.0092</v>
      </c>
      <c r="F29" s="9" t="n">
        <v>0.0111</v>
      </c>
      <c r="G29" s="11">
        <f>ROUND(D29+E29,4)</f>
        <v/>
      </c>
      <c r="H29" s="11">
        <f>ROUND(G29-F29,4)</f>
        <v/>
      </c>
    </row>
    <row r="30">
      <c r="A30" s="6" t="inlineStr">
        <is>
          <t>Chiapas</t>
        </is>
      </c>
      <c r="B30" s="6" t="inlineStr">
        <is>
          <t>chis</t>
        </is>
      </c>
      <c r="C30" s="6" t="n">
        <v>1486.3</v>
      </c>
      <c r="D30" s="6" t="n">
        <v>0.0013</v>
      </c>
      <c r="E30" s="6" t="n">
        <v>0.0057</v>
      </c>
      <c r="F30" s="6" t="n">
        <v>0.007</v>
      </c>
      <c r="G30" s="11">
        <f>ROUND(D30+E30,4)</f>
        <v/>
      </c>
      <c r="H30" s="11">
        <f>ROUND(G30-F30,4)</f>
        <v/>
      </c>
    </row>
    <row r="31">
      <c r="A31" s="9" t="inlineStr">
        <is>
          <t>Tamaulipas</t>
        </is>
      </c>
      <c r="B31" s="9" t="inlineStr">
        <is>
          <t>tamps</t>
        </is>
      </c>
      <c r="C31" s="9" t="n">
        <v>1038.9</v>
      </c>
      <c r="D31" s="9" t="n">
        <v>0.0012</v>
      </c>
      <c r="E31" s="9" t="n">
        <v>0.0041</v>
      </c>
      <c r="F31" s="9" t="n">
        <v>0.0053</v>
      </c>
      <c r="G31" s="11">
        <f>ROUND(D31+E31,4)</f>
        <v/>
      </c>
      <c r="H31" s="11">
        <f>ROUND(G31-F31,4)</f>
        <v/>
      </c>
    </row>
    <row r="32">
      <c r="A32" s="6" t="inlineStr">
        <is>
          <t>Morelos</t>
        </is>
      </c>
      <c r="B32" s="6" t="inlineStr">
        <is>
          <t>mor</t>
        </is>
      </c>
      <c r="C32" s="6" t="n">
        <v>923.4</v>
      </c>
      <c r="D32" s="6" t="n">
        <v>0.0005999999999999999</v>
      </c>
      <c r="E32" s="6" t="n">
        <v>0.0035</v>
      </c>
      <c r="F32" s="6" t="n">
        <v>0.0041</v>
      </c>
      <c r="G32" s="11">
        <f>ROUND(D32+E32,4)</f>
        <v/>
      </c>
      <c r="H32" s="11">
        <f>ROUND(G32-F32,4)</f>
        <v/>
      </c>
    </row>
    <row r="33">
      <c r="A33" s="9" t="inlineStr">
        <is>
          <t>Campeche</t>
        </is>
      </c>
      <c r="B33" s="9" t="inlineStr">
        <is>
          <t>camp</t>
        </is>
      </c>
      <c r="C33" s="9" t="n">
        <v>707.6</v>
      </c>
      <c r="D33" s="9" t="n">
        <v>0.0007</v>
      </c>
      <c r="E33" s="9" t="n">
        <v>0.0028</v>
      </c>
      <c r="F33" s="9" t="n">
        <v>0.0035</v>
      </c>
      <c r="G33" s="11">
        <f>ROUND(D33+E33,4)</f>
        <v/>
      </c>
      <c r="H33" s="11">
        <f>ROUND(G33-F33,4)</f>
        <v/>
      </c>
    </row>
    <row r="34">
      <c r="A34" s="6" t="inlineStr">
        <is>
          <t>Tlaxcala</t>
        </is>
      </c>
      <c r="B34" s="6" t="inlineStr">
        <is>
          <t>tlax</t>
        </is>
      </c>
      <c r="C34" s="6" t="n">
        <v>646.1</v>
      </c>
      <c r="D34" s="6" t="n">
        <v>0.0005</v>
      </c>
      <c r="E34" s="6" t="n">
        <v>0.0025</v>
      </c>
      <c r="F34" s="6" t="n">
        <v>0.003</v>
      </c>
      <c r="G34" s="11">
        <f>ROUND(D34+E34,4)</f>
        <v/>
      </c>
      <c r="H34" s="11">
        <f>ROUND(G34-F34,4)</f>
        <v/>
      </c>
    </row>
    <row r="35">
      <c r="A35" s="9" t="inlineStr">
        <is>
          <t>Ciudad de Mexico</t>
        </is>
      </c>
      <c r="B35" s="9" t="inlineStr">
        <is>
          <t>cdmx</t>
        </is>
      </c>
      <c r="C35" s="9" t="n">
        <v>429.5</v>
      </c>
      <c r="D35" s="9" t="n">
        <v>0.0005999999999999999</v>
      </c>
      <c r="E35" s="9" t="n">
        <v>0.0007</v>
      </c>
      <c r="F35" s="9" t="n">
        <v>0.0013</v>
      </c>
      <c r="G35" s="11">
        <f>ROUND(D35+E35,4)</f>
        <v/>
      </c>
      <c r="H35" s="11">
        <f>ROUND(G35-F35,4)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2026-09-29T16:12:38Z</dcterms:created>
  <dcterms:modified xmlns:dcterms="http://purl.org/dc/terms/" xmlns:xsi="http://www.w3.org/2001/XMLSchema-instance" xsi:type="dcterms:W3CDTF">2026-09-29T16:12:43Z</dcterms:modified>
</cp:coreProperties>
</file>